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<sst xmlns="http://schemas.openxmlformats.org/spreadsheetml/2006/main" count="3021" uniqueCount="1132">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</sst>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4">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6" fillId="3" borderId="2"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7" fillId="2" borderId="3" xfId="0" applyFont="true" applyBorder="true" applyAlignment="true" applyProtection="true">
      <alignment horizontal="general" vertical="center" textRotation="0" wrapText="true" indent="0" shrinkToFit="false"/>
      <protection locked="true" hidden="false"/>
    </xf>
    <xf numFmtId="164" fontId="6" fillId="3" borderId="4" xfId="0" applyFont="true" applyBorder="true" applyAlignment="true" applyProtection="true">
      <alignment horizontal="general" vertical="center" textRotation="0" wrapText="true" indent="0" shrinkToFit="false"/>
      <protection locked="true" hidden="false"/>
    </xf>
    <xf numFmtId="164" fontId="10" fillId="2" borderId="5" xfId="0" applyFont="true" applyBorder="true" applyAlignment="true" applyProtection="true">
      <alignment horizontal="center" vertical="top" textRotation="0" wrapText="false" indent="0" shrinkToFit="false"/>
      <protection locked="true" hidden="false"/>
    </xf>
    <xf numFmtId="164" fontId="11" fillId="0" borderId="6" xfId="0" applyFont="true" applyBorder="true" applyAlignment="true" applyProtection="true">
      <alignment horizontal="center" vertical="center" textRotation="0" wrapText="true" indent="0" shrinkToFit="false"/>
      <protection locked="true" hidden="false"/>
    </xf>
    <xf numFmtId="164" fontId="4" fillId="2" borderId="7" xfId="0" applyFont="true" applyBorder="true" applyAlignment="true" applyProtection="true">
      <alignment horizontal="left" vertical="bottom" textRotation="0" wrapText="true" indent="0" shrinkToFit="false"/>
      <protection locked="true" hidden="false"/>
    </xf>
    <xf numFmtId="164" fontId="12" fillId="3" borderId="8" xfId="0" applyFont="true" applyBorder="true" applyAlignment="true" applyProtection="true">
      <alignment horizontal="general" vertical="bottom" textRotation="0" wrapText="false" indent="0" shrinkToFit="false"/>
      <protection locked="true" hidden="false"/>
    </xf>
    <xf numFmtId="167" fontId="4" fillId="4" borderId="9" xfId="0" applyFont="true" applyBorder="true" applyAlignment="true" applyProtection="true">
      <alignment horizontal="center" vertical="bottom" textRotation="0" wrapText="false" indent="0" shrinkToFit="false"/>
      <protection locked="true" hidden="false"/>
    </xf>
    <xf numFmtId="168" fontId="4" fillId="3" borderId="0" xfId="0" applyFont="true" applyBorder="false" applyAlignment="true" applyProtection="true">
      <alignment horizontal="general" vertical="bottom" textRotation="0" wrapText="false" indent="0" shrinkToFit="false"/>
      <protection locked="true" hidden="false"/>
    </xf>
    <xf numFmtId="164" fontId="6" fillId="0" borderId="10" xfId="0" applyFont="true" applyBorder="true" applyAlignment="true" applyProtection="tru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true" applyProtection="true">
      <alignment horizontal="general" vertical="bottom" textRotation="0" wrapText="false" indent="0" shrinkToFit="false"/>
      <protection locked="true" hidden="false"/>
    </xf>
    <xf numFmtId="164" fontId="4" fillId="3" borderId="12" xfId="0" applyFont="true" applyBorder="true" applyAlignment="true" applyProtection="true">
      <alignment horizontal="general" vertical="bottom" textRotation="0" wrapText="false" indent="0" shrinkToFit="false"/>
      <protection locked="true" hidden="false"/>
    </xf>
    <xf numFmtId="164" fontId="4" fillId="3" borderId="13" xfId="0" applyFont="true" applyBorder="true" applyAlignment="true" applyProtection="true">
      <alignment horizontal="general" vertical="bottom" textRotation="0" wrapText="false" indent="0" shrinkToFit="false"/>
      <protection locked="true" hidden="false"/>
    </xf>
    <xf numFmtId="169" fontId="4" fillId="4" borderId="14"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false" applyAlignment="true" applyProtection="tru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true">
      <alignment horizontal="center" vertical="bottom" textRotation="0" wrapText="false" indent="0" shrinkToFit="false"/>
      <protection locked="true" hidden="false"/>
    </xf>
    <xf numFmtId="164" fontId="4" fillId="3" borderId="0" xfId="0" applyFont="true" applyBorder="true" applyAlignment="true" applyProtection="true">
      <alignment horizontal="general" vertical="top" textRotation="0" wrapText="true" indent="0" shrinkToFit="false"/>
      <protection locked="true" hidden="false"/>
    </xf>
    <xf numFmtId="169" fontId="4" fillId="0" borderId="15" xfId="0" applyFont="true" applyBorder="true" applyAlignment="true" applyProtection="true">
      <alignment horizontal="center" vertical="bottom" textRotation="0" wrapText="false" indent="0" shrinkToFit="false"/>
      <protection locked="true" hidden="false"/>
    </xf>
    <xf numFmtId="169" fontId="4" fillId="3"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center"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true"/>
      <protection locked="true" hidden="false"/>
    </xf>
    <xf numFmtId="164" fontId="4" fillId="0" borderId="16" xfId="0" applyFont="true" applyBorder="true" applyAlignment="true" applyProtection="true">
      <alignment horizontal="general" vertical="bottom" textRotation="0" wrapText="false" indent="0" shrinkToFit="false"/>
      <protection locked="true" hidden="false"/>
    </xf>
    <xf numFmtId="171" fontId="4" fillId="4" borderId="6" xfId="0" applyFont="true" applyBorder="true" applyAlignment="true" applyProtection="true">
      <alignment horizontal="center" vertical="bottom" textRotation="0" wrapText="false" indent="0" shrinkToFit="false"/>
      <protection locked="true" hidden="false"/>
    </xf>
    <xf numFmtId="164" fontId="14" fillId="3" borderId="12"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left" vertical="bottom" textRotation="0" wrapText="false" indent="0" shrinkToFit="false"/>
      <protection locked="true" hidden="false"/>
    </xf>
    <xf numFmtId="168" fontId="4" fillId="0" borderId="0" xfId="0" applyFont="true" applyBorder="false" applyAlignment="true" applyProtection="true">
      <alignment horizontal="center" vertical="bottom" textRotation="0" wrapText="fals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true"/>
    </xf>
    <xf numFmtId="164" fontId="4" fillId="3" borderId="0" xfId="0" applyFont="true" applyBorder="true" applyAlignment="true" applyProtection="tru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true"/>
    </xf>
    <xf numFmtId="173" fontId="4" fillId="3" borderId="0" xfId="0" applyFont="true" applyBorder="false" applyAlignment="true" applyProtection="true">
      <alignment horizontal="general" vertical="bottom" textRotation="0" wrapText="false" indent="0" shrinkToFit="false"/>
      <protection locked="true" hidden="true"/>
    </xf>
    <xf numFmtId="168" fontId="4" fillId="3" borderId="0" xfId="0" applyFont="true" applyBorder="false" applyAlignment="true" applyProtection="true">
      <alignment horizontal="right" vertical="bottom" textRotation="0" wrapText="false" indent="0" shrinkToFit="false"/>
      <protection locked="true" hidden="false"/>
    </xf>
    <xf numFmtId="173" fontId="4" fillId="3" borderId="10" xfId="0" applyFont="true" applyBorder="true" applyAlignment="true" applyProtection="true">
      <alignment horizontal="general" vertical="bottom" textRotation="0" wrapText="false" indent="0" shrinkToFit="false"/>
      <protection locked="true" hidden="true"/>
    </xf>
    <xf numFmtId="164" fontId="4" fillId="3" borderId="10" xfId="0" applyFont="true" applyBorder="true" applyAlignment="true" applyProtection="true">
      <alignment horizontal="general" vertical="bottom" textRotation="0" wrapText="false" indent="0" shrinkToFit="false"/>
      <protection locked="true" hidden="false"/>
    </xf>
    <xf numFmtId="168" fontId="4" fillId="3" borderId="10" xfId="0" applyFont="true" applyBorder="true" applyAlignment="true" applyProtection="true">
      <alignment horizontal="right" vertical="bottom" textRotation="0" wrapText="false" indent="0" shrinkToFit="false"/>
      <protection locked="true" hidden="false"/>
    </xf>
    <xf numFmtId="164" fontId="4" fillId="0" borderId="10" xfId="0" applyFont="true" applyBorder="true" applyAlignment="true" applyProtection="tru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true" applyProtection="true">
      <alignment horizontal="general" vertical="bottom" textRotation="0" wrapText="false" indent="0" shrinkToFit="false"/>
      <protection locked="true" hidden="false"/>
    </xf>
    <xf numFmtId="164" fontId="12" fillId="3" borderId="0" xfId="0" applyFont="true" applyBorder="true" applyAlignment="true" applyProtection="true">
      <alignment horizontal="general" vertical="bottom" textRotation="0" wrapText="false" indent="0" shrinkToFit="false"/>
      <protection locked="true" hidden="false"/>
    </xf>
    <xf numFmtId="164" fontId="4" fillId="0" borderId="18" xfId="0" applyFont="true" applyBorder="true" applyAlignment="true" applyProtection="true">
      <alignment horizontal="general" vertical="bottom"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4" fillId="0" borderId="10" xfId="0" applyFont="true" applyBorder="true" applyAlignment="true" applyProtection="true">
      <alignment horizontal="center" vertical="bottom" textRotation="0" wrapText="false" indent="0" shrinkToFit="false"/>
      <protection locked="true" hidden="false"/>
    </xf>
    <xf numFmtId="164" fontId="4" fillId="0" borderId="17" xfId="0" applyFont="true" applyBorder="true" applyAlignment="true" applyProtection="true">
      <alignment horizontal="center" vertical="bottom" textRotation="0" wrapText="false" indent="0" shrinkToFit="false"/>
      <protection locked="true" hidden="false"/>
    </xf>
    <xf numFmtId="164" fontId="15" fillId="0" borderId="19" xfId="0" applyFont="true" applyBorder="true" applyAlignment="true" applyProtection="true">
      <alignment horizontal="left" vertical="bottom" textRotation="0" wrapText="false" indent="0" shrinkToFit="false"/>
      <protection locked="true" hidden="false"/>
    </xf>
    <xf numFmtId="164" fontId="4" fillId="3" borderId="20"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20" xfId="0" applyFont="true" applyBorder="true" applyAlignment="true" applyProtection="true">
      <alignment horizontal="left" vertical="bottom" textRotation="0" wrapText="false" indent="0" shrinkToFit="false"/>
      <protection locked="true" hidden="false"/>
    </xf>
    <xf numFmtId="164" fontId="4" fillId="0" borderId="21" xfId="0" applyFont="true" applyBorder="true" applyAlignment="true" applyProtection="true">
      <alignment horizontal="left" vertical="bottom" textRotation="0" wrapText="false" indent="0" shrinkToFit="false"/>
      <protection locked="true" hidden="false"/>
    </xf>
    <xf numFmtId="164" fontId="4" fillId="0" borderId="13" xfId="0" applyFont="true" applyBorder="true" applyAlignment="true" applyProtection="true">
      <alignment horizontal="left" vertical="bottom"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14" fillId="3" borderId="0" xfId="0" applyFont="true" applyBorder="false" applyAlignment="true" applyProtection="true">
      <alignment horizontal="general" vertical="bottom" textRotation="0" wrapText="false" indent="0" shrinkToFit="false"/>
      <protection locked="true" hidden="false"/>
    </xf>
    <xf numFmtId="168" fontId="4" fillId="0" borderId="20" xfId="0" applyFont="true" applyBorder="true" applyAlignment="true" applyProtection="true">
      <alignment horizontal="general" vertical="bottom" textRotation="0" wrapText="false" indent="0" shrinkToFit="false"/>
      <protection locked="true" hidden="false"/>
    </xf>
    <xf numFmtId="168" fontId="4" fillId="0" borderId="21" xfId="0" applyFont="true" applyBorder="true" applyAlignment="true" applyProtection="tru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true" applyProtection="true">
      <alignment horizontal="general" vertical="bottom" textRotation="0" wrapText="false" indent="0" shrinkToFit="false"/>
      <protection locked="true" hidden="false"/>
    </xf>
    <xf numFmtId="172" fontId="4" fillId="0" borderId="11" xfId="0" applyFont="true" applyBorder="true" applyAlignment="true" applyProtection="true">
      <alignment horizontal="left"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tru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false"/>
    </xf>
    <xf numFmtId="168" fontId="4" fillId="0" borderId="12" xfId="0" applyFont="true" applyBorder="true" applyAlignment="true" applyProtection="true">
      <alignment horizontal="general" vertical="bottom" textRotation="0" wrapText="false" indent="0" shrinkToFit="false"/>
      <protection locked="true" hidden="false"/>
    </xf>
    <xf numFmtId="168" fontId="4" fillId="0" borderId="11"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8" fontId="4" fillId="0" borderId="0" xfId="0" applyFont="true" applyBorder="false" applyAlignment="true" applyProtection="true">
      <alignment horizontal="general" vertical="bottom" textRotation="0" wrapText="false" indent="0" shrinkToFit="false"/>
      <protection locked="true" hidden="false"/>
    </xf>
    <xf numFmtId="168" fontId="4" fillId="0" borderId="23" xfId="0" applyFont="true" applyBorder="true" applyAlignment="true" applyProtection="true">
      <alignment horizontal="general" vertical="bottom" textRotation="0" wrapText="false" indent="0" shrinkToFit="false"/>
      <protection locked="true" hidden="false"/>
    </xf>
    <xf numFmtId="168" fontId="4" fillId="0" borderId="24" xfId="0" applyFont="true" applyBorder="true" applyAlignment="true" applyProtection="true">
      <alignment horizontal="general" vertical="bottom" textRotation="0" wrapText="false" indent="0" shrinkToFit="false"/>
      <protection locked="true" hidden="false"/>
    </xf>
    <xf numFmtId="168" fontId="4" fillId="0" borderId="25" xfId="0" applyFont="true" applyBorder="true" applyAlignment="true" applyProtection="true">
      <alignment horizontal="general" vertical="bottom" textRotation="0" wrapText="false" indent="0" shrinkToFit="false"/>
      <protection locked="true" hidden="false"/>
    </xf>
    <xf numFmtId="173" fontId="4" fillId="0" borderId="13" xfId="0" applyFont="true" applyBorder="true" applyAlignment="true" applyProtection="true">
      <alignment horizontal="general" vertical="bottom" textRotation="0" wrapText="false" indent="0" shrinkToFit="false"/>
      <protection locked="true" hidden="false"/>
    </xf>
    <xf numFmtId="168" fontId="6" fillId="0" borderId="11" xfId="0" applyFont="true" applyBorder="true" applyAlignment="true" applyProtection="true">
      <alignment horizontal="general" vertical="bottom" textRotation="0" wrapText="false" indent="0" shrinkToFit="false"/>
      <protection locked="true" hidden="false"/>
    </xf>
    <xf numFmtId="168" fontId="6" fillId="0" borderId="12" xfId="0"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72" fontId="4" fillId="0" borderId="23" xfId="0" applyFont="true" applyBorder="true" applyAlignment="true" applyProtection="true">
      <alignment horizontal="general" vertical="bottom" textRotation="0" wrapText="false" indent="0" shrinkToFit="false"/>
      <protection locked="true" hidden="false"/>
    </xf>
    <xf numFmtId="172" fontId="4" fillId="0" borderId="24"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7" fontId="16" fillId="5" borderId="26" xfId="0" applyFont="true" applyBorder="true" applyAlignment="true" applyProtection="true">
      <alignment horizontal="general" vertical="bottom" textRotation="0" wrapText="false" indent="0" shrinkToFit="false"/>
      <protection locked="true" hidden="false"/>
    </xf>
    <xf numFmtId="168" fontId="16" fillId="5" borderId="27" xfId="0" applyFont="true" applyBorder="true" applyAlignment="true" applyProtection="true">
      <alignment horizontal="general" vertical="bottom" textRotation="0" wrapText="false" indent="0" shrinkToFit="false"/>
      <protection locked="true" hidden="false"/>
    </xf>
    <xf numFmtId="167" fontId="16" fillId="6" borderId="28" xfId="0" applyFont="true" applyBorder="true" applyAlignment="true" applyProtection="true">
      <alignment horizontal="general" vertical="bottom" textRotation="0" wrapText="false" indent="0" shrinkToFit="false"/>
      <protection locked="true" hidden="false"/>
    </xf>
    <xf numFmtId="168" fontId="16" fillId="6" borderId="29"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7" fontId="16" fillId="5" borderId="28" xfId="0" applyFont="true" applyBorder="true" applyAlignment="true" applyProtection="true">
      <alignment horizontal="general" vertical="bottom" textRotation="0" wrapText="false" indent="0" shrinkToFit="false"/>
      <protection locked="true" hidden="false"/>
    </xf>
    <xf numFmtId="168" fontId="16" fillId="5" borderId="29" xfId="0" applyFont="true" applyBorder="true" applyAlignment="true" applyProtection="true">
      <alignment horizontal="general" vertical="bottom" textRotation="0" wrapText="false" indent="0" shrinkToFit="false"/>
      <protection locked="true" hidden="false"/>
    </xf>
    <xf numFmtId="168" fontId="6" fillId="0" borderId="10" xfId="0" applyFont="true" applyBorder="true" applyAlignment="true" applyProtection="tru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67" fontId="16" fillId="6" borderId="30" xfId="0" applyFont="true" applyBorder="true" applyAlignment="true" applyProtection="true">
      <alignment horizontal="general" vertical="bottom" textRotation="0" wrapText="false" indent="0" shrinkToFit="false"/>
      <protection locked="true" hidden="false"/>
    </xf>
    <xf numFmtId="168" fontId="16" fillId="6" borderId="31" xfId="0"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center" vertical="bottom"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8" fontId="18" fillId="7" borderId="0" xfId="0" applyFont="true" applyBorder="false" applyAlignment="true" applyProtection="true">
      <alignment horizontal="general" vertical="bottom" textRotation="0" wrapText="false" indent="0" shrinkToFit="false"/>
      <protection locked="true" hidden="false"/>
    </xf>
    <xf numFmtId="167" fontId="16" fillId="6" borderId="32" xfId="0" applyFont="true" applyBorder="true" applyAlignment="true" applyProtection="true">
      <alignment horizontal="general" vertical="bottom" textRotation="0" wrapText="false" indent="0" shrinkToFit="false"/>
      <protection locked="true" hidden="false"/>
    </xf>
    <xf numFmtId="168" fontId="16" fillId="6" borderId="33" xfId="0" applyFont="true" applyBorder="true" applyAlignment="true" applyProtection="true">
      <alignment horizontal="general" vertical="bottom" textRotation="0" wrapText="false" indent="0" shrinkToFit="false"/>
      <protection locked="true" hidden="false"/>
    </xf>
    <xf numFmtId="167" fontId="16" fillId="5" borderId="32" xfId="0" applyFont="true" applyBorder="true" applyAlignment="true" applyProtection="true">
      <alignment horizontal="general" vertical="bottom" textRotation="0" wrapText="false" indent="0" shrinkToFit="false"/>
      <protection locked="true" hidden="false"/>
    </xf>
    <xf numFmtId="168" fontId="16" fillId="5" borderId="3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3" borderId="0" xfId="0" applyFont="true" applyBorder="false" applyAlignment="true" applyProtection="true">
      <alignment horizontal="center" vertical="bottom" textRotation="0" wrapText="false" indent="0" shrinkToFit="false"/>
      <protection locked="true" hidden="false"/>
    </xf>
    <xf numFmtId="175" fontId="4" fillId="0" borderId="0" xfId="0" applyFont="true" applyBorder="false" applyAlignment="true" applyProtection="true">
      <alignment horizontal="general" vertical="bottom" textRotation="0" wrapText="false" indent="0" shrinkToFit="false"/>
      <protection locked="true" hidden="false"/>
    </xf>
    <xf numFmtId="167" fontId="4" fillId="0" borderId="10" xfId="0" applyFont="true" applyBorder="true" applyAlignment="true" applyProtection="tru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true" applyProtection="true">
      <alignment horizontal="general" vertical="bottom" textRotation="0" wrapText="false" indent="0" shrinkToFit="false"/>
      <protection locked="true" hidden="false"/>
    </xf>
    <xf numFmtId="168" fontId="18" fillId="8" borderId="10" xfId="0" applyFont="tru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center"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6" fontId="14" fillId="0" borderId="0" xfId="0" applyFont="true" applyBorder="false" applyAlignment="true" applyProtection="true">
      <alignment horizontal="general" vertical="bottom" textRotation="0" wrapText="false" indent="0" shrinkToFit="false"/>
      <protection locked="true" hidden="false"/>
    </xf>
    <xf numFmtId="172" fontId="14" fillId="0" borderId="0" xfId="0" applyFont="true" applyBorder="false" applyAlignment="true" applyProtection="true">
      <alignment horizontal="general" vertical="bottom" textRotation="0" wrapText="false" indent="0" shrinkToFit="false"/>
      <protection locked="true" hidden="false"/>
    </xf>
    <xf numFmtId="172" fontId="22"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center" vertical="bottom" textRotation="0" wrapText="false" indent="0" shrinkToFit="false"/>
      <protection locked="true" hidden="false"/>
    </xf>
    <xf numFmtId="167" fontId="4"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true" indent="0" shrinkToFit="false"/>
      <protection locked="true" hidden="false"/>
    </xf>
    <xf numFmtId="172" fontId="4" fillId="9" borderId="0" xfId="0" applyFont="true" applyBorder="false" applyAlignment="true" applyProtection="true">
      <alignment horizontal="center" vertical="bottom" textRotation="0" wrapText="false" indent="0" shrinkToFit="false"/>
      <protection locked="true" hidden="false"/>
    </xf>
    <xf numFmtId="170" fontId="4" fillId="9"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true" applyProtection="true">
      <alignment horizontal="general" vertical="bottom" textRotation="0" wrapText="false" indent="0" shrinkToFit="false"/>
      <protection locked="true" hidden="false"/>
    </xf>
    <xf numFmtId="172"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tru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72"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false" indent="0" shrinkToFit="false"/>
      <protection locked="true" hidden="false"/>
    </xf>
    <xf numFmtId="170" fontId="4" fillId="9"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center" vertical="bottom" textRotation="0" wrapText="false" indent="0" shrinkToFit="false"/>
      <protection locked="true" hidden="false"/>
    </xf>
    <xf numFmtId="168" fontId="4" fillId="9" borderId="0" xfId="0" applyFont="true" applyBorder="false" applyAlignment="true" applyProtection="tru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true" applyProtection="true">
      <alignment horizontal="general" vertical="bottom" textRotation="0" wrapText="false" indent="0" shrinkToFit="false"/>
      <protection locked="true" hidden="false"/>
    </xf>
    <xf numFmtId="166"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general" vertical="bottom" textRotation="0" wrapText="false" indent="0" shrinkToFit="false"/>
      <protection locked="true" hidden="false"/>
    </xf>
    <xf numFmtId="164"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center" vertical="bottom" textRotation="0" wrapText="false" indent="0" shrinkToFit="false"/>
      <protection locked="true" hidden="false"/>
    </xf>
    <xf numFmtId="168" fontId="6" fillId="9" borderId="0" xfId="0" applyFont="true" applyBorder="false" applyAlignment="true" applyProtection="true">
      <alignment horizontal="general" vertical="bottom" textRotation="0" wrapText="false" indent="0" shrinkToFit="false"/>
      <protection locked="true" hidden="false"/>
    </xf>
    <xf numFmtId="177" fontId="6" fillId="0" borderId="0" xfId="0" applyFont="true" applyBorder="false" applyAlignment="true" applyProtection="true">
      <alignment horizontal="general" vertical="bottom" textRotation="0" wrapText="false" indent="0" shrinkToFit="false"/>
      <protection locked="true" hidden="false"/>
    </xf>
    <xf numFmtId="166" fontId="6" fillId="0" borderId="0" xfId="0" applyFont="true" applyBorder="false" applyAlignment="true" applyProtection="true">
      <alignment horizontal="general" vertical="bottom" textRotation="0" wrapText="false" indent="0" shrinkToFit="false"/>
      <protection locked="true" hidden="false"/>
    </xf>
    <xf numFmtId="174" fontId="6" fillId="0"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general" vertical="bottom" textRotation="0" wrapText="false" indent="0" shrinkToFit="false"/>
      <protection locked="true" hidden="false"/>
    </xf>
    <xf numFmtId="170" fontId="6"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top" textRotation="0" wrapText="false" indent="0" shrinkToFit="false"/>
      <protection locked="true" hidden="false"/>
    </xf>
    <xf numFmtId="178" fontId="4"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6" fillId="0" borderId="0" xfId="0" applyFont="true" applyBorder="false" applyAlignment="true" applyProtection="true">
      <alignment horizontal="right" vertical="bottom" textRotation="0" wrapText="false" indent="0" shrinkToFit="false"/>
      <protection locked="true" hidden="false"/>
    </xf>
    <xf numFmtId="167" fontId="6" fillId="0" borderId="11" xfId="0" applyFont="true" applyBorder="tru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left" vertical="top" textRotation="0" wrapText="true" indent="0" shrinkToFit="false"/>
      <protection locked="true" hidden="false"/>
    </xf>
    <xf numFmtId="167" fontId="6" fillId="0" borderId="12" xfId="0" applyFont="true" applyBorder="true" applyAlignment="true" applyProtection="true">
      <alignment horizontal="center" vertical="top" textRotation="0" wrapText="true" indent="0" shrinkToFit="false"/>
      <protection locked="true" hidden="false"/>
    </xf>
    <xf numFmtId="172" fontId="4" fillId="5" borderId="0" xfId="0" applyFont="true" applyBorder="false" applyAlignment="true" applyProtection="true">
      <alignment horizontal="center" vertical="bottom" textRotation="0" wrapText="false" indent="0" shrinkToFit="false"/>
      <protection locked="true" hidden="false"/>
    </xf>
    <xf numFmtId="168" fontId="4" fillId="0" borderId="0" xfId="0" applyFont="true" applyBorder="false" applyAlignment="true" applyProtection="true">
      <alignment horizontal="right" vertical="bottom" textRotation="0" wrapText="false" indent="0" shrinkToFit="false"/>
      <protection locked="true" hidden="false"/>
    </xf>
    <xf numFmtId="172" fontId="4" fillId="0" borderId="0" xfId="0" applyFont="true" applyBorder="false" applyAlignment="true" applyProtection="true">
      <alignment horizontal="right" vertical="bottom" textRotation="0" wrapText="false" indent="0" shrinkToFit="false"/>
      <protection locked="true" hidden="false"/>
    </xf>
    <xf numFmtId="170" fontId="4" fillId="10" borderId="0" xfId="0" applyFont="true" applyBorder="false" applyAlignment="true" applyProtection="true">
      <alignment horizontal="general" vertical="bottom" textRotation="0" wrapText="false" indent="0" shrinkToFit="false"/>
      <protection locked="true" hidden="false"/>
    </xf>
    <xf numFmtId="168" fontId="16" fillId="11" borderId="33" xfId="0" applyFont="true" applyBorder="true" applyAlignment="true" applyProtection="true">
      <alignment horizontal="center" vertical="bottom" textRotation="0" wrapText="false" indent="0" shrinkToFit="false"/>
      <protection locked="true" hidden="false"/>
    </xf>
    <xf numFmtId="168" fontId="16" fillId="12" borderId="33" xfId="0" applyFont="true" applyBorder="true" applyAlignment="true" applyProtection="true">
      <alignment horizontal="center" vertical="bottom" textRotation="0" wrapText="false" indent="0" shrinkToFit="false"/>
      <protection locked="true" hidden="false"/>
    </xf>
    <xf numFmtId="168" fontId="16" fillId="13" borderId="33" xfId="0" applyFont="true" applyBorder="true" applyAlignment="true" applyProtection="true">
      <alignment horizontal="center" vertical="bottom" textRotation="0" wrapText="false" indent="0" shrinkToFit="false"/>
      <protection locked="true" hidden="false"/>
    </xf>
    <xf numFmtId="168" fontId="16" fillId="14" borderId="33" xfId="0" applyFont="true" applyBorder="true" applyAlignment="true" applyProtection="true">
      <alignment horizontal="center" vertical="bottom" textRotation="0" wrapText="false" indent="0" shrinkToFit="false"/>
      <protection locked="true" hidden="false"/>
    </xf>
    <xf numFmtId="168" fontId="16" fillId="15" borderId="33" xfId="0" applyFont="true" applyBorder="true" applyAlignment="true" applyProtection="true">
      <alignment horizontal="center" vertical="bottom" textRotation="0" wrapText="false" indent="0" shrinkToFit="false"/>
      <protection locked="true" hidden="false"/>
    </xf>
    <xf numFmtId="168" fontId="16" fillId="16" borderId="33" xfId="0" applyFont="true" applyBorder="true" applyAlignment="true" applyProtection="true">
      <alignment horizontal="center" vertical="bottom" textRotation="0" wrapText="false" indent="0" shrinkToFit="false"/>
      <protection locked="true" hidden="false"/>
    </xf>
    <xf numFmtId="168" fontId="16" fillId="17" borderId="33" xfId="0" applyFont="true" applyBorder="true" applyAlignment="true" applyProtection="true">
      <alignment horizontal="center" vertical="bottom" textRotation="0" wrapText="false" indent="0" shrinkToFit="false"/>
      <protection locked="true" hidden="false"/>
    </xf>
    <xf numFmtId="168" fontId="4" fillId="5" borderId="0" xfId="0" applyFont="true" applyBorder="fals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general" vertical="bottom" textRotation="0" wrapText="false" indent="0" shrinkToFit="false"/>
      <protection locked="true" hidden="false"/>
    </xf>
    <xf numFmtId="172" fontId="16" fillId="5" borderId="33" xfId="0" applyFont="true" applyBorder="true" applyAlignment="true" applyProtection="true">
      <alignment horizontal="general" vertical="bottom" textRotation="0" wrapText="false" indent="0" shrinkToFit="false"/>
      <protection locked="true" hidden="false"/>
    </xf>
    <xf numFmtId="172" fontId="16" fillId="18" borderId="33" xfId="0" applyFont="true" applyBorder="true" applyAlignment="true" applyProtection="true">
      <alignment horizontal="center" vertical="bottom" textRotation="0" wrapText="false" indent="0" shrinkToFit="false"/>
      <protection locked="true" hidden="false"/>
    </xf>
    <xf numFmtId="172" fontId="16" fillId="11" borderId="33" xfId="0" applyFont="true" applyBorder="true" applyAlignment="true" applyProtection="true">
      <alignment horizontal="center" vertical="bottom" textRotation="0" wrapText="false" indent="0" shrinkToFit="false"/>
      <protection locked="true" hidden="false"/>
    </xf>
    <xf numFmtId="172" fontId="16" fillId="12" borderId="33" xfId="0" applyFont="true" applyBorder="true" applyAlignment="true" applyProtection="true">
      <alignment horizontal="center" vertical="bottom" textRotation="0" wrapText="false" indent="0" shrinkToFit="false"/>
      <protection locked="true" hidden="false"/>
    </xf>
    <xf numFmtId="172" fontId="16" fillId="13" borderId="33" xfId="0" applyFont="true" applyBorder="true" applyAlignment="true" applyProtection="true">
      <alignment horizontal="center" vertical="bottom" textRotation="0" wrapText="false" indent="0" shrinkToFit="false"/>
      <protection locked="true" hidden="false"/>
    </xf>
    <xf numFmtId="172" fontId="16" fillId="14" borderId="33" xfId="0" applyFont="true" applyBorder="true" applyAlignment="true" applyProtection="true">
      <alignment horizontal="center" vertical="bottom" textRotation="0" wrapText="false" indent="0" shrinkToFit="false"/>
      <protection locked="true" hidden="false"/>
    </xf>
    <xf numFmtId="172" fontId="16" fillId="15" borderId="33" xfId="0" applyFont="true" applyBorder="true" applyAlignment="true" applyProtection="true">
      <alignment horizontal="center" vertical="bottom" textRotation="0" wrapText="false" indent="0" shrinkToFit="false"/>
      <protection locked="true" hidden="false"/>
    </xf>
    <xf numFmtId="172" fontId="16" fillId="16" borderId="33" xfId="0" applyFont="true" applyBorder="true" applyAlignment="true" applyProtection="true">
      <alignment horizontal="center" vertical="bottom" textRotation="0" wrapText="false" indent="0" shrinkToFit="false"/>
      <protection locked="true" hidden="false"/>
    </xf>
    <xf numFmtId="172" fontId="16" fillId="17" borderId="33" xfId="0" applyFont="true" applyBorder="true" applyAlignment="true" applyProtection="true">
      <alignment horizontal="center" vertical="bottom" textRotation="0" wrapText="false" indent="0" shrinkToFit="false"/>
      <protection locked="true" hidden="false"/>
    </xf>
    <xf numFmtId="168" fontId="4" fillId="19" borderId="0" xfId="0" applyFont="true" applyBorder="false" applyAlignment="true" applyProtection="true">
      <alignment horizontal="center" vertical="bottom" textRotation="0" wrapText="false" indent="0" shrinkToFit="false"/>
      <protection locked="true" hidden="false"/>
    </xf>
    <xf numFmtId="168" fontId="4" fillId="12" borderId="0" xfId="0" applyFont="true" applyBorder="false" applyAlignment="true" applyProtection="true">
      <alignment horizontal="center" vertical="bottom" textRotation="0" wrapText="false" indent="0" shrinkToFit="false"/>
      <protection locked="true" hidden="false"/>
    </xf>
    <xf numFmtId="172" fontId="4" fillId="13" borderId="0" xfId="0" applyFont="true" applyBorder="false" applyAlignment="true" applyProtection="true">
      <alignment horizontal="center" vertical="bottom" textRotation="0" wrapText="false" indent="0" shrinkToFit="false"/>
      <protection locked="true" hidden="false"/>
    </xf>
    <xf numFmtId="168" fontId="4" fillId="20" borderId="0" xfId="0" applyFont="true" applyBorder="false" applyAlignment="true" applyProtection="true">
      <alignment horizontal="center" vertical="bottom" textRotation="0" wrapText="false" indent="0" shrinkToFit="false"/>
      <protection locked="true" hidden="false"/>
    </xf>
    <xf numFmtId="168" fontId="4" fillId="21" borderId="0" xfId="0" applyFont="true" applyBorder="false" applyAlignment="true" applyProtection="true">
      <alignment horizontal="center" vertical="bottom" textRotation="0" wrapText="false" indent="0" shrinkToFit="false"/>
      <protection locked="true" hidden="false"/>
    </xf>
    <xf numFmtId="168" fontId="4" fillId="16" borderId="0" xfId="0" applyFont="true" applyBorder="false" applyAlignment="true" applyProtection="true">
      <alignment horizontal="center" vertical="bottom" textRotation="0" wrapText="false" indent="0" shrinkToFit="false"/>
      <protection locked="true" hidden="false"/>
    </xf>
    <xf numFmtId="168" fontId="4" fillId="17" borderId="0" xfId="0" applyFont="true" applyBorder="false" applyAlignment="true" applyProtection="true">
      <alignment horizontal="center" vertical="bottom" textRotation="0" wrapText="false" indent="0" shrinkToFit="false"/>
      <protection locked="true" hidden="false"/>
    </xf>
    <xf numFmtId="168" fontId="4" fillId="11" borderId="0" xfId="0" applyFont="true" applyBorder="false" applyAlignment="true" applyProtection="true">
      <alignment horizontal="center" vertical="bottom" textRotation="0" wrapText="false" indent="0" shrinkToFit="false"/>
      <protection locked="true" hidden="false"/>
    </xf>
    <xf numFmtId="168" fontId="4" fillId="13" borderId="0" xfId="0" applyFont="true" applyBorder="false" applyAlignment="true" applyProtection="true">
      <alignment horizontal="center" vertical="bottom" textRotation="0" wrapText="false" indent="0" shrinkToFit="false"/>
      <protection locked="true" hidden="false"/>
    </xf>
    <xf numFmtId="168" fontId="4" fillId="14" borderId="0" xfId="0" applyFont="true" applyBorder="false" applyAlignment="true" applyProtection="true">
      <alignment horizontal="center" vertical="bottom" textRotation="0" wrapText="false" indent="0" shrinkToFit="false"/>
      <protection locked="true" hidden="false"/>
    </xf>
    <xf numFmtId="168" fontId="4" fillId="15" borderId="0" xfId="0" applyFont="true" applyBorder="false" applyAlignment="true" applyProtection="true">
      <alignment horizontal="center" vertical="bottom" textRotation="0" wrapText="false" indent="0" shrinkToFit="false"/>
      <protection locked="true" hidden="false"/>
    </xf>
    <xf numFmtId="172" fontId="4" fillId="18" borderId="0" xfId="0" applyFont="true" applyBorder="false" applyAlignment="true" applyProtection="true">
      <alignment horizontal="center" vertical="bottom" textRotation="0" wrapText="false" indent="0" shrinkToFit="false"/>
      <protection locked="true" hidden="false"/>
    </xf>
    <xf numFmtId="172" fontId="4" fillId="11" borderId="0" xfId="0" applyFont="true" applyBorder="false" applyAlignment="true" applyProtection="true">
      <alignment horizontal="center" vertical="bottom" textRotation="0" wrapText="false" indent="0" shrinkToFit="false"/>
      <protection locked="true" hidden="false"/>
    </xf>
    <xf numFmtId="172" fontId="4" fillId="12" borderId="0" xfId="0" applyFont="true" applyBorder="false" applyAlignment="true" applyProtection="true">
      <alignment horizontal="center" vertical="bottom" textRotation="0" wrapText="false" indent="0" shrinkToFit="false"/>
      <protection locked="true" hidden="false"/>
    </xf>
    <xf numFmtId="172" fontId="4" fillId="14" borderId="0" xfId="0" applyFont="true" applyBorder="false" applyAlignment="true" applyProtection="true">
      <alignment horizontal="center" vertical="bottom" textRotation="0" wrapText="false" indent="0" shrinkToFit="false"/>
      <protection locked="true" hidden="false"/>
    </xf>
    <xf numFmtId="172" fontId="4" fillId="15" borderId="0" xfId="0" applyFont="true" applyBorder="false" applyAlignment="true" applyProtection="true">
      <alignment horizontal="center" vertical="bottom" textRotation="0" wrapText="false" indent="0" shrinkToFit="false"/>
      <protection locked="true" hidden="false"/>
    </xf>
    <xf numFmtId="172" fontId="4" fillId="16" borderId="0" xfId="0" applyFont="true" applyBorder="false" applyAlignment="true" applyProtection="true">
      <alignment horizontal="center" vertical="bottom" textRotation="0" wrapText="false" indent="0" shrinkToFit="false"/>
      <protection locked="true" hidden="false"/>
    </xf>
    <xf numFmtId="172" fontId="4" fillId="17" borderId="0" xfId="0" applyFont="true" applyBorder="false" applyAlignment="true" applyProtection="true">
      <alignment horizontal="center" vertical="bottom" textRotation="0" wrapText="false" indent="0" shrinkToFit="false"/>
      <protection locked="true" hidden="false"/>
    </xf>
    <xf numFmtId="172" fontId="6" fillId="5" borderId="0" xfId="0" applyFont="true" applyBorder="false" applyAlignment="true" applyProtection="true">
      <alignment horizontal="center" vertical="bottom" textRotation="0" wrapText="false" indent="0" shrinkToFit="false"/>
      <protection locked="true" hidden="false"/>
    </xf>
    <xf numFmtId="168" fontId="6" fillId="22" borderId="0" xfId="0" applyFont="true" applyBorder="false" applyAlignment="true" applyProtection="true">
      <alignment horizontal="right" vertical="bottom" textRotation="0" wrapText="false" indent="0" shrinkToFit="false"/>
      <protection locked="true" hidden="false"/>
    </xf>
    <xf numFmtId="172" fontId="6" fillId="22" borderId="0" xfId="0" applyFont="true" applyBorder="false" applyAlignment="true" applyProtection="true">
      <alignment horizontal="right" vertical="bottom" textRotation="0" wrapText="false" indent="0" shrinkToFit="false"/>
      <protection locked="true" hidden="false"/>
    </xf>
    <xf numFmtId="170" fontId="6" fillId="10" borderId="0" xfId="0" applyFont="true" applyBorder="fals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center" vertical="bottom" textRotation="0" wrapText="false" indent="0" shrinkToFit="false"/>
      <protection locked="true" hidden="false"/>
    </xf>
    <xf numFmtId="168" fontId="6" fillId="11" borderId="0" xfId="0" applyFont="true" applyBorder="false" applyAlignment="true" applyProtection="true">
      <alignment horizontal="center" vertical="bottom" textRotation="0" wrapText="false" indent="0" shrinkToFit="false"/>
      <protection locked="true" hidden="false"/>
    </xf>
    <xf numFmtId="168" fontId="6" fillId="12" borderId="0" xfId="0" applyFont="true" applyBorder="false" applyAlignment="true" applyProtection="true">
      <alignment horizontal="center" vertical="bottom" textRotation="0" wrapText="false" indent="0" shrinkToFit="false"/>
      <protection locked="true" hidden="false"/>
    </xf>
    <xf numFmtId="168" fontId="6" fillId="13" borderId="0" xfId="0" applyFont="true" applyBorder="false" applyAlignment="true" applyProtection="true">
      <alignment horizontal="center" vertical="bottom" textRotation="0" wrapText="false" indent="0" shrinkToFit="false"/>
      <protection locked="true" hidden="false"/>
    </xf>
    <xf numFmtId="168" fontId="6" fillId="14" borderId="0" xfId="0" applyFont="true" applyBorder="false" applyAlignment="true" applyProtection="true">
      <alignment horizontal="center" vertical="bottom" textRotation="0" wrapText="false" indent="0" shrinkToFit="false"/>
      <protection locked="true" hidden="false"/>
    </xf>
    <xf numFmtId="168" fontId="6" fillId="15" borderId="0" xfId="0" applyFont="true" applyBorder="false" applyAlignment="true" applyProtection="true">
      <alignment horizontal="center" vertical="bottom" textRotation="0" wrapText="false" indent="0" shrinkToFit="false"/>
      <protection locked="true" hidden="false"/>
    </xf>
    <xf numFmtId="168" fontId="6" fillId="16" borderId="0" xfId="0" applyFont="true" applyBorder="false" applyAlignment="true" applyProtection="true">
      <alignment horizontal="center" vertical="bottom" textRotation="0" wrapText="false" indent="0" shrinkToFit="false"/>
      <protection locked="true" hidden="false"/>
    </xf>
    <xf numFmtId="168" fontId="6" fillId="17" borderId="0" xfId="0" applyFont="true" applyBorder="false" applyAlignment="true" applyProtection="true">
      <alignment horizontal="center" vertical="bottom" textRotation="0" wrapText="false" indent="0" shrinkToFit="false"/>
      <protection locked="true" hidden="false"/>
    </xf>
    <xf numFmtId="168" fontId="6" fillId="5" borderId="0" xfId="0" applyFont="true" applyBorder="fals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general" vertical="bottom" textRotation="0" wrapText="false" indent="0" shrinkToFit="false"/>
      <protection locked="true" hidden="false"/>
    </xf>
    <xf numFmtId="170" fontId="4" fillId="22"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general" vertical="bottom" textRotation="0" wrapText="false" indent="0" shrinkToFit="false"/>
      <protection locked="true" hidden="false"/>
    </xf>
    <xf numFmtId="172" fontId="6" fillId="22" borderId="0" xfId="0" applyFont="true" applyBorder="false" applyAlignment="true" applyProtection="true">
      <alignment horizontal="center" vertical="bottom" textRotation="0" wrapText="false" indent="0" shrinkToFit="false"/>
      <protection locked="true" hidden="false"/>
    </xf>
    <xf numFmtId="172" fontId="6" fillId="11" borderId="0" xfId="0" applyFont="true" applyBorder="false" applyAlignment="true" applyProtection="true">
      <alignment horizontal="center" vertical="bottom" textRotation="0" wrapText="false" indent="0" shrinkToFit="false"/>
      <protection locked="true" hidden="false"/>
    </xf>
    <xf numFmtId="172" fontId="6" fillId="12" borderId="0" xfId="0" applyFont="true" applyBorder="false" applyAlignment="true" applyProtection="true">
      <alignment horizontal="center" vertical="bottom" textRotation="0" wrapText="false" indent="0" shrinkToFit="false"/>
      <protection locked="true" hidden="false"/>
    </xf>
    <xf numFmtId="172" fontId="6" fillId="13" borderId="0" xfId="0" applyFont="true" applyBorder="false" applyAlignment="true" applyProtection="true">
      <alignment horizontal="center" vertical="bottom" textRotation="0" wrapText="false" indent="0" shrinkToFit="false"/>
      <protection locked="true" hidden="false"/>
    </xf>
    <xf numFmtId="172" fontId="6" fillId="14" borderId="0" xfId="0" applyFont="true" applyBorder="false" applyAlignment="true" applyProtection="true">
      <alignment horizontal="center" vertical="bottom" textRotation="0" wrapText="false" indent="0" shrinkToFit="false"/>
      <protection locked="true" hidden="false"/>
    </xf>
    <xf numFmtId="172" fontId="6" fillId="15" borderId="0" xfId="0" applyFont="true" applyBorder="false" applyAlignment="true" applyProtection="true">
      <alignment horizontal="center" vertical="bottom" textRotation="0" wrapText="false" indent="0" shrinkToFit="false"/>
      <protection locked="true" hidden="false"/>
    </xf>
    <xf numFmtId="172" fontId="6" fillId="16" borderId="0" xfId="0" applyFont="true" applyBorder="false" applyAlignment="true" applyProtection="true">
      <alignment horizontal="center" vertical="bottom" textRotation="0" wrapText="false" indent="0" shrinkToFit="false"/>
      <protection locked="true" hidden="false"/>
    </xf>
    <xf numFmtId="172" fontId="6" fillId="17"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general" vertical="bottom" textRotation="0" wrapText="false" indent="0" shrinkToFit="false"/>
      <protection locked="true" hidden="false"/>
    </xf>
    <xf numFmtId="168" fontId="6" fillId="19" borderId="0" xfId="0" applyFont="true" applyBorder="false" applyAlignment="true" applyProtection="true">
      <alignment horizontal="center" vertical="bottom" textRotation="0" wrapText="false" indent="0" shrinkToFit="false"/>
      <protection locked="true" hidden="false"/>
    </xf>
    <xf numFmtId="168" fontId="6" fillId="20" borderId="0" xfId="0" applyFont="true" applyBorder="false" applyAlignment="true" applyProtection="true">
      <alignment horizontal="center" vertical="bottom" textRotation="0" wrapText="false" indent="0" shrinkToFit="false"/>
      <protection locked="true" hidden="false"/>
    </xf>
    <xf numFmtId="168" fontId="6" fillId="21" borderId="0" xfId="0" applyFont="true" applyBorder="false" applyAlignment="true" applyProtection="true">
      <alignment horizontal="center" vertical="bottom" textRotation="0" wrapText="false" indent="0" shrinkToFit="false"/>
      <protection locked="true" hidden="false"/>
    </xf>
    <xf numFmtId="172"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false" indent="0" shrinkToFit="false"/>
      <protection locked="true" hidden="false"/>
    </xf>
    <xf numFmtId="164" fontId="25" fillId="3" borderId="0" xfId="0" applyFont="true" applyBorder="false" applyAlignment="true" applyProtection="true">
      <alignment horizontal="center" vertical="bottom" textRotation="0" wrapText="false" indent="0" shrinkToFit="false"/>
      <protection locked="true" hidden="false"/>
    </xf>
    <xf numFmtId="167" fontId="6" fillId="3" borderId="0" xfId="0" applyFont="true" applyBorder="false" applyAlignment="true" applyProtection="true">
      <alignment horizontal="center" vertical="top" textRotation="0" wrapText="false" indent="0" shrinkToFit="false"/>
      <protection locked="true" hidden="false"/>
    </xf>
    <xf numFmtId="167" fontId="25" fillId="0" borderId="0" xfId="0" applyFont="true" applyBorder="fals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general" vertical="top" textRotation="0" wrapText="tru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true" hidden="false"/>
    </xf>
    <xf numFmtId="168" fontId="4" fillId="23"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true" applyProtection="true">
      <alignment horizontal="general" vertical="bottom" textRotation="0" wrapText="false" indent="0" shrinkToFit="false"/>
      <protection locked="true" hidden="false"/>
    </xf>
    <xf numFmtId="164" fontId="4" fillId="24" borderId="34" xfId="0" applyFont="true" applyBorder="true" applyAlignment="true" applyProtection="true">
      <alignment horizontal="general" vertical="bottom" textRotation="0" wrapText="false" indent="0" shrinkToFit="false"/>
      <protection locked="true" hidden="false"/>
    </xf>
    <xf numFmtId="168" fontId="4" fillId="24" borderId="34" xfId="0" applyFont="true" applyBorder="true" applyAlignment="true" applyProtection="true">
      <alignment horizontal="general" vertical="bottom" textRotation="0" wrapText="false" indent="0" shrinkToFit="false"/>
      <protection locked="true" hidden="false"/>
    </xf>
    <xf numFmtId="164"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true" applyProtection="true">
      <alignment horizontal="general" vertical="bottom" textRotation="0" wrapText="false" indent="0" shrinkToFit="false"/>
      <protection locked="true" hidden="false"/>
    </xf>
    <xf numFmtId="164" fontId="26" fillId="3" borderId="0" xfId="0" applyFont="true" applyBorder="false" applyAlignment="true" applyProtection="true">
      <alignment horizontal="right" vertical="bottom" textRotation="0" wrapText="false" indent="0" shrinkToFit="false"/>
      <protection locked="true" hidden="false"/>
    </xf>
    <xf numFmtId="164" fontId="26" fillId="3" borderId="0" xfId="0" applyFont="true" applyBorder="false" applyAlignment="true" applyProtection="true">
      <alignment horizontal="center" vertical="center" textRotation="0" wrapText="false" indent="0" shrinkToFit="false"/>
      <protection locked="true" hidden="false"/>
    </xf>
    <xf numFmtId="164" fontId="26" fillId="3" borderId="0" xfId="0" applyFont="true" applyBorder="false" applyAlignment="true" applyProtection="true">
      <alignment horizontal="center" vertical="bottom" textRotation="0" wrapText="false" indent="0" shrinkToFit="false"/>
      <protection locked="true" hidden="false"/>
    </xf>
    <xf numFmtId="164" fontId="26" fillId="3" borderId="21" xfId="0" applyFont="true" applyBorder="true" applyAlignment="true" applyProtection="true">
      <alignment horizontal="right" vertical="bottom" textRotation="0" wrapText="false" indent="0" shrinkToFit="false"/>
      <protection locked="true" hidden="false"/>
    </xf>
    <xf numFmtId="164" fontId="26" fillId="3" borderId="20" xfId="0" applyFont="true" applyBorder="true" applyAlignment="true" applyProtection="true">
      <alignment horizontal="center" vertical="center" textRotation="0" wrapText="false" indent="0" shrinkToFit="false"/>
      <protection locked="true" hidden="false"/>
    </xf>
    <xf numFmtId="164" fontId="4" fillId="3" borderId="19" xfId="0" applyFont="true" applyBorder="true" applyAlignment="true" applyProtection="true">
      <alignment horizontal="general" vertical="bottom" textRotation="0" wrapText="false" indent="0" shrinkToFit="false"/>
      <protection locked="true" hidden="false"/>
    </xf>
    <xf numFmtId="172" fontId="4" fillId="3" borderId="17" xfId="0" applyFont="true" applyBorder="tru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8" fontId="6" fillId="23"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center" vertical="bottom" textRotation="0" wrapText="false" indent="0" shrinkToFit="false"/>
      <protection locked="true" hidden="false"/>
    </xf>
    <xf numFmtId="164" fontId="6" fillId="22" borderId="0" xfId="0" applyFont="true" applyBorder="false" applyAlignment="true" applyProtection="true">
      <alignment horizontal="general" vertical="bottom" textRotation="0" wrapText="false" indent="0" shrinkToFit="false"/>
      <protection locked="true" hidden="false"/>
    </xf>
    <xf numFmtId="164" fontId="4" fillId="5" borderId="0" xfId="0" applyFont="true" applyBorder="false" applyAlignment="true" applyProtection="true">
      <alignment horizontal="center" vertical="bottom" textRotation="0" wrapText="false" indent="0" shrinkToFit="false"/>
      <protection locked="true" hidden="false"/>
    </xf>
    <xf numFmtId="170" fontId="4" fillId="5" borderId="0" xfId="0" applyFont="true" applyBorder="false" applyAlignment="true" applyProtection="true">
      <alignment horizontal="general" vertical="bottom" textRotation="0" wrapText="false" indent="0" shrinkToFit="false"/>
      <protection locked="true" hidden="false"/>
    </xf>
    <xf numFmtId="170" fontId="6" fillId="5"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true">
      <alignment horizontal="center" vertical="bottom" textRotation="0" wrapText="false" indent="0" shrinkToFit="false"/>
      <protection locked="true" hidden="false"/>
    </xf>
    <xf numFmtId="167" fontId="27"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72" fontId="2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true">
      <alignment horizontal="center" vertical="top" textRotation="0" wrapText="true" indent="0" shrinkToFit="false"/>
      <protection locked="true" hidden="false"/>
    </xf>
    <xf numFmtId="168" fontId="4" fillId="9" borderId="0" xfId="0" applyFont="true" applyBorder="false" applyAlignment="true" applyProtection="true">
      <alignment horizontal="center" vertical="bottom" textRotation="0" wrapText="false" indent="0" shrinkToFit="false"/>
      <protection locked="true" hidden="false"/>
    </xf>
    <xf numFmtId="172" fontId="16" fillId="5" borderId="0" xfId="0" applyFont="true" applyBorder="false" applyAlignment="true" applyProtection="true">
      <alignment horizontal="general" vertical="bottom" textRotation="0" wrapText="false" indent="0" shrinkToFit="false"/>
      <protection locked="true" hidden="false"/>
    </xf>
    <xf numFmtId="168" fontId="16" fillId="5" borderId="0" xfId="0" applyFont="true" applyBorder="false" applyAlignment="true" applyProtection="true">
      <alignment horizontal="general" vertical="bottom" textRotation="0" wrapText="false" indent="0" shrinkToFit="false"/>
      <protection locked="true" hidden="false"/>
    </xf>
    <xf numFmtId="171"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right" vertical="bottom" textRotation="0" wrapText="false" indent="0" shrinkToFit="false"/>
      <protection locked="true" hidden="false"/>
    </xf>
    <xf numFmtId="166" fontId="4" fillId="4" borderId="0" xfId="0" applyFont="true" applyBorder="fals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bottom" textRotation="0" wrapText="false" indent="0" shrinkToFit="false"/>
      <protection locked="true" hidden="false"/>
    </xf>
    <xf numFmtId="168" fontId="4" fillId="6" borderId="0" xfId="0" applyFont="true" applyBorder="false" applyAlignment="true" applyProtection="true">
      <alignment horizontal="general" vertical="bottom" textRotation="0" wrapText="false" indent="0" shrinkToFit="false"/>
      <protection locked="true" hidden="false"/>
    </xf>
    <xf numFmtId="180" fontId="4" fillId="0" borderId="0" xfId="0" applyFont="true" applyBorder="false" applyAlignment="true" applyProtection="true">
      <alignment horizontal="general" vertical="bottom" textRotation="0" wrapText="false" indent="0" shrinkToFit="false"/>
      <protection locked="true" hidden="false"/>
    </xf>
    <xf numFmtId="172" fontId="4" fillId="6" borderId="0" xfId="0" applyFont="true" applyBorder="false" applyAlignment="true" applyProtection="true">
      <alignment horizontal="general" vertical="bottom" textRotation="0" wrapText="false" indent="0" shrinkToFit="false"/>
      <protection locked="true" hidden="false"/>
    </xf>
    <xf numFmtId="168" fontId="6" fillId="9" borderId="0" xfId="0" applyFont="true" applyBorder="false" applyAlignment="true" applyProtection="true">
      <alignment horizontal="center" vertical="bottom" textRotation="0" wrapText="false" indent="0" shrinkToFit="false"/>
      <protection locked="true" hidden="false"/>
    </xf>
    <xf numFmtId="171" fontId="6" fillId="22"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true" applyProtection="tru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true" applyProtection="true">
      <alignment horizontal="general" vertical="bottom" textRotation="0" wrapText="false" indent="0" shrinkToFit="false"/>
      <protection locked="true" hidden="false"/>
    </xf>
    <xf numFmtId="164" fontId="6" fillId="6" borderId="0" xfId="0" applyFont="true" applyBorder="false" applyAlignment="true" applyProtection="true">
      <alignment horizontal="general" vertical="bottom" textRotation="0" wrapText="false" indent="0" shrinkToFit="false"/>
      <protection locked="true" hidden="false"/>
    </xf>
    <xf numFmtId="177" fontId="6" fillId="22" borderId="0" xfId="0" applyFont="true" applyBorder="false" applyAlignment="true" applyProtection="true">
      <alignment horizontal="general" vertical="bottom" textRotation="0" wrapText="false" indent="0" shrinkToFit="false"/>
      <protection locked="true" hidden="false"/>
    </xf>
    <xf numFmtId="168" fontId="6" fillId="6" borderId="0" xfId="0" applyFont="true" applyBorder="false" applyAlignment="true" applyProtection="true">
      <alignment horizontal="general" vertical="bottom" textRotation="0" wrapText="false" indent="0" shrinkToFit="false"/>
      <protection locked="true" hidden="false"/>
    </xf>
    <xf numFmtId="180"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true" indent="0" shrinkToFit="false"/>
      <protection locked="true" hidden="false"/>
    </xf>
    <xf numFmtId="164" fontId="25"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7" fontId="6" fillId="0" borderId="1" xfId="0" applyFont="true" applyBorder="true" applyAlignment="true" applyProtection="true">
      <alignment horizontal="center" vertical="top" textRotation="0" wrapText="true" indent="0" shrinkToFit="false"/>
      <protection locked="true" hidden="false"/>
    </xf>
    <xf numFmtId="167" fontId="29" fillId="0" borderId="0" xfId="0" applyFont="true" applyBorder="false" applyAlignment="true" applyProtection="true">
      <alignment horizontal="center" vertical="top" textRotation="0" wrapText="true" indent="0" shrinkToFit="false"/>
      <protection locked="true" hidden="false"/>
    </xf>
    <xf numFmtId="167" fontId="6" fillId="0" borderId="35" xfId="0" applyFont="true" applyBorder="true" applyAlignment="true" applyProtection="true">
      <alignment horizontal="center" vertical="top" textRotation="0" wrapText="true" indent="0" shrinkToFit="false"/>
      <protection locked="true" hidden="false"/>
    </xf>
    <xf numFmtId="167" fontId="4" fillId="0" borderId="0" xfId="0" applyFont="true" applyBorder="false" applyAlignment="true" applyProtection="true">
      <alignment horizontal="center" vertical="top" textRotation="0" wrapText="false" indent="0" shrinkToFit="false"/>
      <protection locked="true" hidden="false"/>
    </xf>
    <xf numFmtId="166" fontId="16" fillId="5" borderId="33"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center" vertical="bottom" textRotation="0" wrapText="false" indent="0" shrinkToFit="false"/>
      <protection locked="true" hidden="false"/>
    </xf>
    <xf numFmtId="172" fontId="16" fillId="5" borderId="33" xfId="0" applyFont="true" applyBorder="true" applyAlignment="true" applyProtection="true">
      <alignment horizontal="center" vertical="bottom" textRotation="0" wrapText="false" indent="0" shrinkToFit="false"/>
      <protection locked="true" hidden="false"/>
    </xf>
    <xf numFmtId="166" fontId="6" fillId="22" borderId="0" xfId="0" applyFont="true" applyBorder="false" applyAlignment="true" applyProtection="true">
      <alignment horizontal="general" vertical="bottom" textRotation="0" wrapText="false" indent="0" shrinkToFit="false"/>
      <protection locked="true" hidden="false"/>
    </xf>
    <xf numFmtId="164" fontId="6" fillId="4" borderId="1" xfId="0" applyFont="true" applyBorder="true" applyAlignment="true" applyProtection="true">
      <alignment horizontal="center" vertical="bottom" textRotation="0" wrapText="false" indent="0" shrinkToFit="false"/>
      <protection locked="true" hidden="false"/>
    </xf>
    <xf numFmtId="172" fontId="30" fillId="0" borderId="0" xfId="0" applyFont="true" applyBorder="false" applyAlignment="true" applyProtection="true">
      <alignment horizontal="center" vertical="bottom" textRotation="0" wrapText="false" indent="0" shrinkToFit="false"/>
      <protection locked="true" hidden="false"/>
    </xf>
    <xf numFmtId="172" fontId="5" fillId="0" borderId="0" xfId="0" applyFont="true" applyBorder="false" applyAlignment="true" applyProtection="true">
      <alignment horizontal="center" vertical="bottom" textRotation="0" wrapText="false" indent="0" shrinkToFit="false"/>
      <protection locked="true" hidden="false"/>
    </xf>
    <xf numFmtId="172" fontId="27"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general" vertical="top" textRotation="0" wrapText="true" indent="0" shrinkToFit="false"/>
      <protection locked="true" hidden="false"/>
    </xf>
    <xf numFmtId="164" fontId="6" fillId="0" borderId="0" xfId="0" applyFont="true" applyBorder="false" applyAlignment="true" applyProtection="true">
      <alignment horizontal="general" vertical="top" textRotation="0" wrapText="false" indent="0" shrinkToFit="false"/>
      <protection locked="true" hidden="false"/>
    </xf>
    <xf numFmtId="172" fontId="4" fillId="9" borderId="0" xfId="0" applyFont="true" applyBorder="false" applyAlignment="true" applyProtection="true">
      <alignment horizontal="center" vertical="center" textRotation="0" wrapText="false" indent="0" shrinkToFit="false"/>
      <protection locked="true" hidden="false"/>
    </xf>
    <xf numFmtId="172" fontId="4" fillId="9" borderId="0" xfId="0" applyFont="true" applyBorder="false" applyAlignment="true" applyProtection="true">
      <alignment horizontal="general" vertical="center" textRotation="0" wrapText="false" indent="0" shrinkToFit="false"/>
      <protection locked="true" hidden="false"/>
    </xf>
    <xf numFmtId="168" fontId="4" fillId="0" borderId="0" xfId="0" applyFont="true" applyBorder="false" applyAlignment="true" applyProtection="true">
      <alignment horizontal="general" vertical="center" textRotation="0" wrapText="false" indent="0" shrinkToFit="false"/>
      <protection locked="true" hidden="false"/>
    </xf>
    <xf numFmtId="168" fontId="4" fillId="9" borderId="0" xfId="0" applyFont="true" applyBorder="false" applyAlignment="true" applyProtection="tru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general" vertical="center" textRotation="0" wrapText="false" indent="0" shrinkToFit="false"/>
      <protection locked="true" hidden="false"/>
    </xf>
    <xf numFmtId="172" fontId="4" fillId="0" borderId="0" xfId="0" applyFont="true" applyBorder="false" applyAlignment="true" applyProtection="true">
      <alignment horizontal="general" vertical="center" textRotation="0" wrapText="false" indent="0" shrinkToFit="false"/>
      <protection locked="true" hidden="false"/>
    </xf>
    <xf numFmtId="181" fontId="4" fillId="0" borderId="0" xfId="0" applyFont="true" applyBorder="false" applyAlignment="true" applyProtection="true">
      <alignment horizontal="center" vertical="center" textRotation="0" wrapText="false" indent="0" shrinkToFit="false"/>
      <protection locked="true" hidden="false"/>
    </xf>
    <xf numFmtId="182" fontId="4" fillId="0" borderId="0" xfId="0" applyFont="true" applyBorder="false" applyAlignment="true" applyProtection="tru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true">
      <alignment horizontal="general" vertical="center" textRotation="0" wrapText="false" indent="0" shrinkToFit="false"/>
      <protection locked="true" hidden="false"/>
    </xf>
    <xf numFmtId="168"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7" fillId="0" borderId="0" xfId="0" applyFont="true" applyBorder="false" applyAlignment="true" applyProtection="tru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true">
      <alignment horizontal="center" vertical="bottom" textRotation="0" wrapText="false" indent="0" shrinkToFit="false"/>
      <protection locked="true" hidden="false"/>
    </xf>
    <xf numFmtId="183" fontId="4" fillId="4" borderId="0" xfId="0" applyFont="true" applyBorder="false" applyAlignment="true" applyProtection="true">
      <alignment horizontal="center" vertical="bottom" textRotation="0" wrapText="false" indent="0" shrinkToFit="false"/>
      <protection locked="true" hidden="false"/>
    </xf>
    <xf numFmtId="174" fontId="4" fillId="0" borderId="0" xfId="0" applyFont="true" applyBorder="false" applyAlignment="true" applyProtection="true">
      <alignment horizontal="center" vertical="bottom" textRotation="0" wrapText="false" indent="0" shrinkToFit="false"/>
      <protection locked="true" hidden="false"/>
    </xf>
    <xf numFmtId="168" fontId="25" fillId="0" borderId="0" xfId="0" applyFont="true" applyBorder="false" applyAlignment="true" applyProtection="true">
      <alignment horizontal="center" vertical="bottom" textRotation="0" wrapText="false" indent="0" shrinkToFit="false"/>
      <protection locked="true" hidden="false"/>
    </xf>
    <xf numFmtId="170" fontId="25" fillId="0" borderId="0" xfId="0" applyFont="true" applyBorder="false" applyAlignment="true" applyProtection="true">
      <alignment horizontal="right" vertical="bottom" textRotation="0" wrapText="false" indent="0" shrinkToFit="false"/>
      <protection locked="true" hidden="false"/>
    </xf>
    <xf numFmtId="184" fontId="25"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right" vertical="bottom" textRotation="0" wrapText="false" indent="0" shrinkToFit="false"/>
      <protection locked="true" hidden="false"/>
    </xf>
    <xf numFmtId="18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false" applyAlignment="true" applyProtection="true">
      <alignment horizontal="general" vertical="bottom" textRotation="0" wrapText="false" indent="0" shrinkToFit="false"/>
      <protection locked="true" hidden="false"/>
    </xf>
    <xf numFmtId="186" fontId="4" fillId="0" borderId="0" xfId="0" applyFont="true" applyBorder="false" applyAlignment="true" applyProtection="true">
      <alignment horizontal="general" vertical="bottom" textRotation="0" wrapText="false" indent="0" shrinkToFit="false"/>
      <protection locked="true" hidden="false"/>
    </xf>
    <xf numFmtId="187" fontId="4" fillId="0" borderId="0" xfId="0" applyFont="true" applyBorder="false" applyAlignment="true" applyProtection="tru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true">
      <alignment horizontal="center" vertical="bottom" textRotation="0" wrapText="false" indent="0" shrinkToFit="false"/>
      <protection locked="true" hidden="false"/>
    </xf>
    <xf numFmtId="183" fontId="6" fillId="4" borderId="0" xfId="0" applyFont="true" applyBorder="false" applyAlignment="true" applyProtection="true">
      <alignment horizontal="center" vertical="bottom" textRotation="0" wrapText="false" indent="0" shrinkToFit="false"/>
      <protection locked="true" hidden="false"/>
    </xf>
    <xf numFmtId="174" fontId="6" fillId="22"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right" vertical="bottom" textRotation="0" wrapText="false" indent="0" shrinkToFit="false"/>
      <protection locked="true" hidden="false"/>
    </xf>
    <xf numFmtId="184" fontId="6" fillId="22" borderId="0" xfId="0" applyFont="true" applyBorder="false" applyAlignment="true" applyProtection="true">
      <alignment horizontal="right"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6" fillId="4" borderId="34" xfId="0" applyFont="true" applyBorder="tru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7" fontId="33" fillId="0" borderId="0" xfId="0" applyFont="true" applyBorder="false" applyAlignment="true" applyProtection="true">
      <alignment horizontal="left" vertical="top" textRotation="0" wrapText="false" indent="0" shrinkToFit="false"/>
      <protection locked="true" hidden="false"/>
    </xf>
    <xf numFmtId="174" fontId="31"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true">
      <alignment horizontal="general" vertical="bottom" textRotation="0" wrapText="false" indent="0" shrinkToFit="false"/>
      <protection locked="true" hidden="false"/>
    </xf>
    <xf numFmtId="164" fontId="6" fillId="0" borderId="7" xfId="0" applyFont="true" applyBorder="true" applyAlignment="tru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6" borderId="0" xfId="0" applyFont="true" applyBorder="false" applyAlignment="true" applyProtection="true">
      <alignment horizontal="general" vertical="bottom" textRotation="0" wrapText="false" indent="0" shrinkToFit="false"/>
      <protection locked="true" hidden="false"/>
    </xf>
    <xf numFmtId="164" fontId="4" fillId="13" borderId="0" xfId="0" applyFont="true" applyBorder="false" applyAlignment="true" applyProtection="true">
      <alignment horizontal="general" vertical="bottom" textRotation="0" wrapText="false" indent="0" shrinkToFit="false"/>
      <protection locked="true" hidden="false"/>
    </xf>
    <xf numFmtId="167" fontId="4" fillId="27" borderId="0" xfId="0" applyFont="true" applyBorder="false" applyAlignment="true" applyProtection="true">
      <alignment horizontal="center" vertical="bottom" textRotation="0" wrapText="false" indent="0" shrinkToFit="false"/>
      <protection locked="true" hidden="false"/>
    </xf>
    <xf numFmtId="164" fontId="4" fillId="27" borderId="0" xfId="0" applyFont="true" applyBorder="false" applyAlignment="true" applyProtection="true">
      <alignment horizontal="general" vertical="bottom" textRotation="0" wrapText="false" indent="0" shrinkToFit="false"/>
      <protection locked="true" hidden="false"/>
    </xf>
    <xf numFmtId="164" fontId="4" fillId="15" borderId="0" xfId="0" applyFont="true" applyBorder="false" applyAlignment="true" applyProtection="true">
      <alignment horizontal="general" vertical="bottom" textRotation="0" wrapText="false" indent="0" shrinkToFit="false"/>
      <protection locked="true" hidden="false"/>
    </xf>
    <xf numFmtId="164" fontId="4" fillId="28" borderId="0" xfId="0" applyFont="true" applyBorder="false" applyAlignment="true" applyProtection="true">
      <alignment horizontal="general" vertical="bottom" textRotation="0" wrapText="false" indent="0" shrinkToFit="false"/>
      <protection locked="true" hidden="false"/>
    </xf>
    <xf numFmtId="164" fontId="4" fillId="29" borderId="0" xfId="0" applyFont="true" applyBorder="false" applyAlignment="true" applyProtection="true">
      <alignment horizontal="general" vertical="bottom" textRotation="0" wrapText="false" indent="0" shrinkToFit="false"/>
      <protection locked="true" hidden="false"/>
    </xf>
    <xf numFmtId="164" fontId="4" fillId="2" borderId="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4" fillId="0" borderId="7" xfId="0" applyFont="true" applyBorder="tru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4" fillId="0" borderId="0" xfId="0" applyFont="true" applyBorder="false" applyAlignment="true" applyProtection="tru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tru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right" vertical="center" textRotation="0" wrapText="false" indent="0" shrinkToFit="false"/>
      <protection locked="true" hidden="false"/>
    </xf>
    <xf numFmtId="164" fontId="6" fillId="0" borderId="0" xfId="0" applyFont="true" applyBorder="false" applyAlignment="true" applyProtection="tru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true">
      <alignment horizontal="general" vertical="center" textRotation="0" wrapText="false" indent="0" shrinkToFit="false"/>
      <protection locked="true" hidden="false"/>
    </xf>
    <xf numFmtId="164" fontId="4" fillId="0" borderId="11" xfId="0" applyFont="true" applyBorder="true" applyAlignment="true" applyProtection="true">
      <alignment horizontal="general" vertical="center" textRotation="0" wrapText="false" indent="0" shrinkToFit="false"/>
      <protection locked="true" hidden="false"/>
    </xf>
    <xf numFmtId="175"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true">
      <alignment horizontal="center" vertical="center" textRotation="0" wrapText="false" indent="0" shrinkToFit="false"/>
      <protection locked="true" hidden="false"/>
    </xf>
    <xf numFmtId="164" fontId="4" fillId="0" borderId="13" xfId="0" applyFont="true" applyBorder="true" applyAlignment="true" applyProtection="true">
      <alignment horizontal="general" vertical="center" textRotation="0" wrapText="false" indent="0" shrinkToFit="false"/>
      <protection locked="true" hidden="false"/>
    </xf>
    <xf numFmtId="164" fontId="4" fillId="0" borderId="1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false" indent="0" shrinkToFit="false"/>
      <protection locked="true" hidden="false"/>
    </xf>
    <xf numFmtId="164" fontId="4" fillId="0" borderId="10" xfId="0" applyFont="true" applyBorder="true" applyAlignment="true" applyProtection="true">
      <alignment horizontal="general" vertical="center" textRotation="0" wrapText="false" indent="0" shrinkToFit="false"/>
      <protection locked="true" hidden="false"/>
    </xf>
    <xf numFmtId="175"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center" vertical="center" textRotation="0" wrapText="false" indent="0" shrinkToFit="false"/>
      <protection locked="true" hidden="false"/>
    </xf>
    <xf numFmtId="164" fontId="4" fillId="0" borderId="20" xfId="0" applyFont="true" applyBorder="true" applyAlignment="true" applyProtection="true">
      <alignment horizontal="general" vertical="center" textRotation="0" wrapText="false" indent="0" shrinkToFit="false"/>
      <protection locked="true" hidden="false"/>
    </xf>
    <xf numFmtId="164" fontId="4" fillId="0" borderId="21" xfId="0" applyFont="true" applyBorder="true" applyAlignment="true" applyProtection="true">
      <alignment horizontal="general" vertical="center" textRotation="0" wrapText="false" indent="0" shrinkToFit="false"/>
      <protection locked="true" hidden="false"/>
    </xf>
    <xf numFmtId="164" fontId="4" fillId="0" borderId="13" xfId="0" applyFont="true" applyBorder="true" applyAlignment="true" applyProtection="true">
      <alignment horizontal="center" vertical="center" textRotation="0" wrapText="false" indent="0" shrinkToFit="false"/>
      <protection locked="true" hidden="false"/>
    </xf>
    <xf numFmtId="175" fontId="4" fillId="0" borderId="13" xfId="0" applyFont="true" applyBorder="true" applyAlignment="true" applyProtection="true">
      <alignment horizontal="center" vertical="center" textRotation="0" wrapText="false" indent="0" shrinkToFit="false"/>
      <protection locked="true" hidden="false"/>
    </xf>
    <xf numFmtId="166" fontId="4" fillId="0" borderId="13" xfId="0"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general" vertical="center" textRotation="0" wrapText="false" indent="0" shrinkToFit="false"/>
      <protection locked="true" hidden="false"/>
    </xf>
    <xf numFmtId="175" fontId="4" fillId="0" borderId="12" xfId="0" applyFont="true" applyBorder="true" applyAlignment="true" applyProtection="tru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true">
      <alignment horizontal="center" vertical="center" textRotation="0" wrapText="false" indent="0" shrinkToFit="false"/>
      <protection locked="true" hidden="false"/>
    </xf>
    <xf numFmtId="164" fontId="4" fillId="0" borderId="36" xfId="0" applyFont="true" applyBorder="true" applyAlignment="true" applyProtection="true">
      <alignment horizontal="general" vertical="center" textRotation="0" wrapText="false" indent="0" shrinkToFit="false"/>
      <protection locked="true" hidden="false"/>
    </xf>
    <xf numFmtId="164" fontId="4" fillId="0" borderId="37" xfId="0" applyFont="true" applyBorder="true" applyAlignment="true" applyProtection="true">
      <alignment horizontal="general" vertical="center" textRotation="0" wrapText="false" indent="0" shrinkToFit="false"/>
      <protection locked="true" hidden="false"/>
    </xf>
    <xf numFmtId="164" fontId="4" fillId="0" borderId="38" xfId="0" applyFont="true" applyBorder="true" applyAlignment="true" applyProtection="true">
      <alignment horizontal="general" vertical="center" textRotation="0" wrapText="false" indent="0" shrinkToFit="false"/>
      <protection locked="true" hidden="false"/>
    </xf>
    <xf numFmtId="166"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6" fillId="0" borderId="21"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0" fillId="4" borderId="39" xfId="0" applyFont="false" applyBorder="true" applyAlignment="true" applyProtection="true">
      <alignment horizontal="general" vertical="bottom" textRotation="0" wrapText="false" indent="0" shrinkToFit="false"/>
      <protection locked="true" hidden="false"/>
    </xf>
    <xf numFmtId="164" fontId="0" fillId="4" borderId="40" xfId="0" applyFont="false" applyBorder="true" applyAlignment="true" applyProtection="tru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true" applyProtection="true">
      <alignment horizontal="general" vertical="bottom" textRotation="0" wrapText="false" indent="0" shrinkToFit="false"/>
      <protection locked="true" hidden="false"/>
    </xf>
    <xf numFmtId="172" fontId="0" fillId="4" borderId="42" xfId="0" applyFont="false" applyBorder="true" applyAlignment="true" applyProtection="true">
      <alignment horizontal="general" vertical="bottom"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right" vertical="bottom" textRotation="0" wrapText="false" indent="0" shrinkToFit="false"/>
      <protection locked="true" hidden="false"/>
    </xf>
    <xf numFmtId="172" fontId="0" fillId="0" borderId="43"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left" vertical="bottom" textRotation="0" wrapText="false" indent="0" shrinkToFit="false"/>
      <protection locked="true" hidden="false"/>
    </xf>
    <xf numFmtId="164" fontId="6" fillId="0" borderId="11" xfId="0" applyFont="true" applyBorder="true" applyAlignment="true" applyProtection="true">
      <alignment horizontal="general" vertical="bottom" textRotation="0" wrapText="false" indent="0" shrinkToFit="false"/>
      <protection locked="true" hidden="false"/>
    </xf>
    <xf numFmtId="171" fontId="0" fillId="0" borderId="11"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4" fontId="0" fillId="4" borderId="6" xfId="0" applyFont="false" applyBorder="true" applyAlignment="true" applyProtection="true">
      <alignment horizontal="general" vertical="bottom" textRotation="0" wrapText="false" indent="0" shrinkToFit="false"/>
      <protection locked="true" hidden="false"/>
    </xf>
    <xf numFmtId="166" fontId="0" fillId="4" borderId="6" xfId="0" applyFont="false" applyBorder="true" applyAlignment="true" applyProtection="true">
      <alignment horizontal="general" vertical="bottom" textRotation="0" wrapText="false" indent="0" shrinkToFit="false"/>
      <protection locked="true" hidden="false"/>
    </xf>
    <xf numFmtId="164" fontId="0" fillId="0" borderId="44" xfId="0" applyFont="true" applyBorder="true" applyAlignment="true" applyProtection="true">
      <alignment horizontal="general" vertical="bottom" textRotation="0" wrapText="false" indent="0" shrinkToFit="false"/>
      <protection locked="true" hidden="false"/>
    </xf>
    <xf numFmtId="164" fontId="0" fillId="4" borderId="9" xfId="0" applyFont="fals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4" borderId="14" xfId="0" applyFont="false" applyBorder="true" applyAlignment="true" applyProtection="true">
      <alignment horizontal="general" vertical="bottom" textRotation="0" wrapText="false" indent="0" shrinkToFit="false"/>
      <protection locked="true" hidden="false"/>
    </xf>
    <xf numFmtId="164" fontId="0" fillId="0" borderId="45" xfId="0" applyFont="false" applyBorder="true" applyAlignment="true" applyProtection="true">
      <alignment horizontal="general" vertical="bottom" textRotation="0" wrapText="false" indent="0" shrinkToFit="false"/>
      <protection locked="true" hidden="false"/>
    </xf>
    <xf numFmtId="164" fontId="0" fillId="4" borderId="4" xfId="0" applyFont="false" applyBorder="true" applyAlignment="true" applyProtection="true">
      <alignment horizontal="general" vertical="bottom" textRotation="0" wrapText="false" indent="0" shrinkToFit="false"/>
      <protection locked="true" hidden="false"/>
    </xf>
    <xf numFmtId="168" fontId="0" fillId="4" borderId="14" xfId="0" applyFont="false" applyBorder="true" applyAlignment="true" applyProtection="true">
      <alignment horizontal="general" vertical="bottom" textRotation="0" wrapText="false" indent="0" shrinkToFit="false"/>
      <protection locked="true" hidden="false"/>
    </xf>
    <xf numFmtId="168" fontId="0" fillId="4" borderId="6" xfId="0" applyFont="fals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6" fontId="0" fillId="4" borderId="4" xfId="0" applyFont="false" applyBorder="true" applyAlignment="true" applyProtection="true">
      <alignment horizontal="general" vertical="bottom" textRotation="0" wrapText="false" indent="0" shrinkToFit="false"/>
      <protection locked="true" hidden="false"/>
    </xf>
    <xf numFmtId="188" fontId="0" fillId="0" borderId="0" xfId="0" applyFont="false" applyBorder="fals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7">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FF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ill>
        <patternFill patternType="solid">
          <fgColor rgb="FFFF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FF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54360</xdr:colOff>
      <xdr:row>125</xdr:row>
      <xdr:rowOff>32760</xdr:rowOff>
    </xdr:to>
    <xdr:pic>
      <xdr:nvPicPr>
        <xdr:cNvPr id="0" name="Picture 1" descr=""/>
        <xdr:cNvPicPr/>
      </xdr:nvPicPr>
      <xdr:blipFill>
        <a:blip r:embed="rId1"/>
        <a:stretch/>
      </xdr:blipFill>
      <xdr:spPr>
        <a:xfrm>
          <a:off x="3914640" y="13661280"/>
          <a:ext cx="7174800" cy="690732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685440</xdr:colOff>
      <xdr:row>22</xdr:row>
      <xdr:rowOff>33840</xdr:rowOff>
    </xdr:to>
    <xdr:sp>
      <xdr:nvSpPr>
        <xdr:cNvPr id="1" name="bork"/>
        <xdr:cNvSpPr/>
      </xdr:nvSpPr>
      <xdr:spPr>
        <a:xfrm>
          <a:off x="156960" y="100800"/>
          <a:ext cx="9703080" cy="349524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282240</xdr:colOff>
      <xdr:row>65</xdr:row>
      <xdr:rowOff>72720</xdr:rowOff>
    </xdr:to>
    <xdr:sp>
      <xdr:nvSpPr>
        <xdr:cNvPr id="2" name="bork2"/>
        <xdr:cNvSpPr/>
      </xdr:nvSpPr>
      <xdr:spPr>
        <a:xfrm>
          <a:off x="179280" y="3953520"/>
          <a:ext cx="4690080" cy="664416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 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N136" headerRowCount="1" totalsRowCount="0" totalsRowShown="0">
  <autoFilter ref="A3:BN136"/>
  <tableColumns count="66">
    <tableColumn id="1" name="Hour"/>
    <tableColumn id="2" name="Time"/>
    <tableColumn id="3" name="Plat Bonus"/>
    <tableColumn id="4" name="."/>
    <tableColumn id="5" name="Land"/>
    <tableColumn id="6" name="Peasants"/>
    <tableColumn id="7" name="Column7"/>
    <tableColumn id="8" name="Networth"/>
    <tableColumn id="9" name="Platinum"/>
    <tableColumn id="10" name="Food"/>
    <tableColumn id="11" name="Lumber"/>
    <tableColumn id="12" name="Mana"/>
    <tableColumn id="13" name="Ore"/>
    <tableColumn id="14" name="Gems"/>
    <tableColumn id="15" name="Boats"/>
    <tableColumn id="16" name="Prestige"/>
    <tableColumn id="17" name="Techpoints"/>
    <tableColumn id="18" name="Required"/>
    <tableColumn id="19" name=".."/>
    <tableColumn id="20" name="Plat/hr"/>
    <tableColumn id="21" name="Food/hr"/>
    <tableColumn id="22" name="Lumber/hr"/>
    <tableColumn id="23" name="Mana/hr"/>
    <tableColumn id="24" name="Ore/hr"/>
    <tableColumn id="25" name="Gems/hr"/>
    <tableColumn id="26" name="Boats/hr"/>
    <tableColumn id="27" name="…"/>
    <tableColumn id="28" name="Raw Plat/hr"/>
    <tableColumn id="29" name="Raw Food/hr"/>
    <tableColumn id="30" name="Raw Lumber/hr"/>
    <tableColumn id="31" name="Raw Mana/hr"/>
    <tableColumn id="32" name="Raw Ore/hr"/>
    <tableColumn id="33" name="Raw Gems/hr"/>
    <tableColumn id="34" name="...."/>
    <tableColumn id="35" name="Bonus Plat/hr"/>
    <tableColumn id="36" name="Bonus Food/hr"/>
    <tableColumn id="37" name="Bonus Lumber/hr"/>
    <tableColumn id="38" name="Bonus Mana/hr"/>
    <tableColumn id="39" name="Bonux Ore/hr"/>
    <tableColumn id="40" name="Bonus Gems/hr"/>
    <tableColumn id="41" name="…."/>
    <tableColumn id="42" name="Food decay"/>
    <tableColumn id="43" name="Food eaten"/>
    <tableColumn id="44" name="Lumber rot"/>
    <tableColumn id="45" name="Mana drain"/>
    <tableColumn id="46" name="….."/>
    <tableColumn id="47" name="Expenses Platinum"/>
    <tableColumn id="48" name="Expenses Lumber"/>
    <tableColumn id="49" name="Expenses Mana"/>
    <tableColumn id="50" name="Expenses Ore"/>
    <tableColumn id="51" name="Expenses Gems"/>
    <tableColumn id="52" name="…..."/>
    <tableColumn id="53" name="Guard"/>
    <tableColumn id="54" name="Set Guard"/>
    <tableColumn id="55" name="Hour (2)"/>
    <tableColumn id="56" name="Bank Plat"/>
    <tableColumn id="57" name="Bank Lumber"/>
    <tableColumn id="58" name="Bank Ore"/>
    <tableColumn id="59" name="Bank Gems"/>
    <tableColumn id="60" name="Time (2)"/>
    <tableColumn id="61" name="Ok?"/>
    <tableColumn id="62" name="Stats Platinum"/>
    <tableColumn id="63" name="Stats Food"/>
    <tableColumn id="64" name="Stats Lumber"/>
    <tableColumn id="65" name="Stats Mana"/>
    <tableColumn id="66"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6" colorId="64" zoomScale="85" zoomScaleNormal="85" zoomScalePageLayoutView="100" workbookViewId="0">
      <selection pane="topLeft" activeCell="B15" activeCellId="0" sqref="B15"/>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45440.5212079903</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45440</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0</v>
      </c>
      <c r="C36" s="60" t="n">
        <f aca="false">B36*B22</f>
        <v>0</v>
      </c>
      <c r="D36" s="61" t="n">
        <f aca="false">Military!Q76</f>
        <v>0.025</v>
      </c>
      <c r="E36" s="59" t="n">
        <f aca="false">C36*(1+$D$36)</f>
        <v>0</v>
      </c>
      <c r="F36" s="62" t="n">
        <f aca="false">B36*C22</f>
        <v>0</v>
      </c>
      <c r="G36" s="61" t="n">
        <f aca="false">Military!U76</f>
        <v>0.2375</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699</v>
      </c>
      <c r="C37" s="67" t="n">
        <f aca="false">B37*B23</f>
        <v>0</v>
      </c>
      <c r="D37" s="68"/>
      <c r="E37" s="66" t="n">
        <f aca="false">C37*(1+$D$36)</f>
        <v>0</v>
      </c>
      <c r="F37" s="69" t="n">
        <f aca="false">B37*C23</f>
        <v>2097</v>
      </c>
      <c r="G37" s="68"/>
      <c r="H37" s="69" t="n">
        <f aca="false">F37*(1+$G$36)</f>
        <v>2595.0375</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-74</v>
      </c>
      <c r="C41" s="77"/>
      <c r="E41" s="78"/>
      <c r="F41" s="69" t="n">
        <f aca="false">Military!AA76</f>
        <v>-74</v>
      </c>
      <c r="H41" s="69" t="n">
        <f aca="false">F41*(1+$G$36)</f>
        <v>-91.575</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25</v>
      </c>
      <c r="D45" s="4"/>
      <c r="E45" s="4"/>
      <c r="F45" s="4"/>
      <c r="G45" s="4"/>
      <c r="I45" s="4"/>
      <c r="J45" s="4"/>
      <c r="K45" s="4"/>
      <c r="L45" s="4"/>
      <c r="M45" s="4"/>
      <c r="N45" s="4"/>
      <c r="O45" s="17"/>
    </row>
    <row r="46" customFormat="false" ht="12.75" hidden="false" customHeight="false" outlineLevel="0" collapsed="false">
      <c r="A46" s="84" t="s">
        <v>42</v>
      </c>
      <c r="B46" s="85" t="n">
        <f aca="false">Military!J76</f>
        <v>0</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25</v>
      </c>
      <c r="C47" s="4"/>
      <c r="D47" s="13" t="s">
        <v>73</v>
      </c>
      <c r="E47" s="89" t="n">
        <f aca="false">Construction!BT76</f>
        <v>700</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0</v>
      </c>
      <c r="C48" s="4"/>
      <c r="D48" s="94" t="str">
        <f aca="false">Construction!AY3</f>
        <v>Tot Hom</v>
      </c>
      <c r="E48" s="95" t="n">
        <f aca="false">Construction!AY76</f>
        <v>40</v>
      </c>
      <c r="F48" s="96" t="n">
        <f aca="false">E48/$E$47</f>
        <v>0.0571428571428571</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0.392857142857143</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Production!O76*(boat_size + tech_6_3_3*Techs!BH76)</f>
        <v>847.5</v>
      </c>
      <c r="C50" s="4"/>
      <c r="D50" s="94" t="str">
        <f aca="false">Construction!BA3</f>
        <v>Tot Farm</v>
      </c>
      <c r="E50" s="1" t="n">
        <f aca="false">Construction!BA76</f>
        <v>29</v>
      </c>
      <c r="F50" s="96" t="n">
        <f aca="false">E50/$E$47</f>
        <v>0.0414285714285714</v>
      </c>
      <c r="G50" s="4"/>
      <c r="H50" s="1" t="s">
        <v>78</v>
      </c>
      <c r="I50" s="97" t="n">
        <f aca="false">(B45 + B46*2 + B38*D90*E90 + B38*D91*E91)/E47</f>
        <v>0.0357142857142857</v>
      </c>
      <c r="J50" s="97" t="n">
        <f aca="false">I50*(1+I26)</f>
        <v>0.0357142857142857</v>
      </c>
      <c r="K50" s="4"/>
      <c r="L50" s="4"/>
      <c r="M50" s="4"/>
      <c r="N50" s="4"/>
      <c r="O50" s="17"/>
    </row>
    <row r="51" customFormat="false" ht="12.75" hidden="false" customHeight="false" outlineLevel="0" collapsed="false">
      <c r="A51" s="92" t="s">
        <v>79</v>
      </c>
      <c r="B51" s="93" t="n">
        <f aca="false">SUM(Imps!M4:M76)</f>
        <v>66</v>
      </c>
      <c r="C51" s="4"/>
      <c r="D51" s="94" t="str">
        <f aca="false">Construction!BB3</f>
        <v>Tot Smi</v>
      </c>
      <c r="E51" s="1" t="n">
        <f aca="false">Construction!BB76</f>
        <v>126</v>
      </c>
      <c r="F51" s="96" t="n">
        <f aca="false">E51/$E$47</f>
        <v>0.18</v>
      </c>
      <c r="G51" s="4"/>
      <c r="H51" s="1" t="s">
        <v>80</v>
      </c>
      <c r="I51" s="97" t="n">
        <f aca="false">(B48*2+B47 + B38*D92*E92 + B38*D93*E93)/E47</f>
        <v>0.0357142857142857</v>
      </c>
      <c r="J51" s="97" t="n">
        <f aca="false">I51*(1+I27+Constants!O58*Techs!AL76)</f>
        <v>0.0357142857142857</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700</v>
      </c>
      <c r="C53" s="4"/>
      <c r="D53" s="94" t="str">
        <f aca="false">Construction!BD3</f>
        <v>Tot Ly</v>
      </c>
      <c r="E53" s="1" t="n">
        <f aca="false">Construction!BD76</f>
        <v>25</v>
      </c>
      <c r="F53" s="96" t="n">
        <f aca="false">E53/$E$47</f>
        <v>0.0357142857142857</v>
      </c>
      <c r="G53" s="4"/>
      <c r="H53" s="16" t="s">
        <v>34</v>
      </c>
      <c r="I53" s="4"/>
      <c r="J53" s="4"/>
      <c r="K53" s="4"/>
      <c r="L53" s="4"/>
      <c r="M53" s="4"/>
      <c r="N53" s="4"/>
      <c r="O53" s="17"/>
    </row>
    <row r="54" customFormat="false" ht="12.75" hidden="false" customHeight="false" outlineLevel="0" collapsed="false">
      <c r="A54" s="100" t="s">
        <v>81</v>
      </c>
      <c r="B54" s="101" t="n">
        <f aca="false">Population!C76</f>
        <v>9845</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-74</v>
      </c>
      <c r="C55" s="4"/>
      <c r="D55" s="94" t="str">
        <f aca="false">Construction!BF3</f>
        <v>Tot OM</v>
      </c>
      <c r="E55" s="1" t="n">
        <f aca="false">Construction!BF76</f>
        <v>0</v>
      </c>
      <c r="F55" s="96" t="n">
        <f aca="false">E55/$E$47</f>
        <v>0</v>
      </c>
      <c r="G55" s="4"/>
      <c r="H55" s="104" t="n">
        <v>61</v>
      </c>
      <c r="I55" s="33" t="n">
        <f aca="false">Production!I64</f>
        <v>4808</v>
      </c>
      <c r="J55" s="33" t="n">
        <f aca="false">Production!I64+SUM(Military!AR4:AR64)</f>
        <v>787712</v>
      </c>
      <c r="K55" s="4"/>
      <c r="L55" s="4"/>
      <c r="M55" s="4"/>
      <c r="N55" s="4"/>
      <c r="O55" s="17"/>
    </row>
    <row r="56" customFormat="false" ht="12.75" hidden="false" customHeight="false" outlineLevel="0" collapsed="false">
      <c r="A56" s="100" t="s">
        <v>36</v>
      </c>
      <c r="B56" s="101" t="e">
        <f aca="false">Production!H76</f>
        <v>#VALUE!</v>
      </c>
      <c r="C56" s="4"/>
      <c r="D56" s="94" t="str">
        <f aca="false">Construction!BG3</f>
        <v>Tot GN</v>
      </c>
      <c r="E56" s="1" t="n">
        <f aca="false">Construction!BG76</f>
        <v>0</v>
      </c>
      <c r="F56" s="96" t="n">
        <f aca="false">E56/$E$47</f>
        <v>0</v>
      </c>
      <c r="G56" s="4"/>
      <c r="H56" s="104" t="n">
        <v>64</v>
      </c>
      <c r="I56" s="33" t="n">
        <f aca="false">Production!I67</f>
        <v>-14</v>
      </c>
      <c r="J56" s="33" t="n">
        <f aca="false">Production!I67+SUM(Military!AR5:AR67)</f>
        <v>917098</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0.0542857142857143</v>
      </c>
      <c r="G57" s="4"/>
      <c r="H57" s="104" t="s">
        <v>85</v>
      </c>
      <c r="I57" s="33" t="n">
        <f aca="false">Production!I76</f>
        <v>155</v>
      </c>
      <c r="J57" s="33" t="n">
        <f aca="false">Production!I76+SUM(Military!AR4:AR76)</f>
        <v>1348963</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Production!T76</f>
        <v>46784</v>
      </c>
      <c r="C59" s="4"/>
      <c r="D59" s="94" t="str">
        <f aca="false">Construction!BI3</f>
        <v>Tot GT</v>
      </c>
      <c r="E59" s="1" t="n">
        <f aca="false">Construction!BI76</f>
        <v>55</v>
      </c>
      <c r="F59" s="96" t="n">
        <f aca="false">E59/$E$47</f>
        <v>0.0785714285714286</v>
      </c>
      <c r="G59" s="4"/>
      <c r="H59" s="16" t="s">
        <v>88</v>
      </c>
      <c r="I59" s="4"/>
      <c r="J59" s="4"/>
      <c r="K59" s="4"/>
      <c r="L59" s="4"/>
      <c r="M59" s="4"/>
      <c r="N59" s="4"/>
      <c r="O59" s="17"/>
    </row>
    <row r="60" customFormat="false" ht="12.75" hidden="false" customHeight="false" outlineLevel="0" collapsed="false">
      <c r="A60" s="100" t="s">
        <v>34</v>
      </c>
      <c r="B60" s="101" t="n">
        <f aca="false">Production!I$76</f>
        <v>155</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Production!J$76</f>
        <v>443324</v>
      </c>
      <c r="C61" s="4"/>
      <c r="D61" s="94" t="str">
        <f aca="false">Construction!BL3</f>
        <v>Tot Tow</v>
      </c>
      <c r="E61" s="1" t="n">
        <f aca="false">Construction!BL76</f>
        <v>29</v>
      </c>
      <c r="F61" s="96" t="n">
        <f aca="false">E61/$E$47</f>
        <v>0.0414285714285714</v>
      </c>
      <c r="G61" s="4"/>
      <c r="H61" s="1" t="s">
        <v>92</v>
      </c>
      <c r="I61" s="69" t="n">
        <f aca="false">SUM(Construction!AQ4:AQ76)</f>
        <v>379765</v>
      </c>
      <c r="J61" s="106" t="n">
        <f aca="false">IFERROR(Table18[[#This Row],[Amount]]/Table18[[#Totals],[Amount]],0)</f>
        <v>0.172047068587779</v>
      </c>
      <c r="K61" s="4"/>
      <c r="L61" s="4"/>
      <c r="M61" s="4"/>
      <c r="N61" s="4"/>
      <c r="O61" s="17"/>
    </row>
    <row r="62" customFormat="false" ht="12.75" hidden="false" customHeight="false" outlineLevel="0" collapsed="false">
      <c r="A62" s="100" t="s">
        <v>93</v>
      </c>
      <c r="B62" s="101" t="n">
        <f aca="false">Production!K$76</f>
        <v>14536</v>
      </c>
      <c r="C62" s="4"/>
      <c r="D62" s="94" t="str">
        <f aca="false">Construction!BM3</f>
        <v>Tot Tem</v>
      </c>
      <c r="E62" s="1" t="n">
        <f aca="false">Construction!BM76</f>
        <v>47</v>
      </c>
      <c r="F62" s="96" t="n">
        <f aca="false">E62/$E$47</f>
        <v>0.0671428571428571</v>
      </c>
      <c r="G62" s="4"/>
      <c r="H62" s="1" t="s">
        <v>94</v>
      </c>
      <c r="I62" s="69" t="n">
        <f aca="false">SUM(Explore!AH4:AH76)</f>
        <v>461529</v>
      </c>
      <c r="J62" s="106" t="n">
        <f aca="false">IFERROR(Table18[[#This Row],[Amount]]/Table18[[#Totals],[Amount]],0)</f>
        <v>0.209089072237434</v>
      </c>
      <c r="K62" s="4"/>
      <c r="L62" s="4"/>
      <c r="M62" s="4"/>
      <c r="N62" s="4"/>
      <c r="O62" s="17"/>
    </row>
    <row r="63" customFormat="false" ht="12.75" hidden="false" customHeight="false" outlineLevel="0" collapsed="false">
      <c r="A63" s="102" t="s">
        <v>95</v>
      </c>
      <c r="B63" s="103" t="n">
        <f aca="false">Production!L$76</f>
        <v>417986</v>
      </c>
      <c r="C63" s="4"/>
      <c r="D63" s="94" t="str">
        <f aca="false">Construction!BN3</f>
        <v>Tot WG</v>
      </c>
      <c r="E63" s="1" t="n">
        <f aca="false">Construction!BN76</f>
        <v>0</v>
      </c>
      <c r="F63" s="96" t="n">
        <f aca="false">E63/$E$47</f>
        <v>0</v>
      </c>
      <c r="G63" s="4"/>
      <c r="H63" s="1" t="s">
        <v>53</v>
      </c>
      <c r="I63" s="69" t="n">
        <f aca="false">SUM(Military!AR4:AR76)</f>
        <v>1348808</v>
      </c>
      <c r="J63" s="106" t="n">
        <f aca="false">IFERROR(Table18[[#This Row],[Amount]]/Table18[[#Totals],[Amount]],0)</f>
        <v>0.611058055607403</v>
      </c>
      <c r="K63" s="4"/>
      <c r="L63" s="4"/>
      <c r="M63" s="4"/>
      <c r="N63" s="4"/>
      <c r="O63" s="17"/>
    </row>
    <row r="64" customFormat="false" ht="12.75" hidden="false" customHeight="false" outlineLevel="0" collapsed="false">
      <c r="A64" s="100" t="s">
        <v>35</v>
      </c>
      <c r="B64" s="101" t="n">
        <f aca="false">Production!M$76</f>
        <v>-357</v>
      </c>
      <c r="C64" s="4"/>
      <c r="D64" s="94" t="str">
        <f aca="false">Construction!BO3</f>
        <v>Tot DM</v>
      </c>
      <c r="E64" s="1" t="n">
        <f aca="false">Construction!BO76</f>
        <v>0</v>
      </c>
      <c r="F64" s="96" t="n">
        <f aca="false">E64/$E$47</f>
        <v>0</v>
      </c>
      <c r="G64" s="4"/>
      <c r="H64" s="1" t="s">
        <v>96</v>
      </c>
      <c r="I64" s="69" t="n">
        <f aca="false">SUM(Rezone!Y4:Y76)</f>
        <v>17230</v>
      </c>
      <c r="J64" s="106" t="n">
        <f aca="false">IFERROR(Table18[[#This Row],[Amount]]/Table18[[#Totals],[Amount]],0)</f>
        <v>0.00780580356738361</v>
      </c>
      <c r="K64" s="4"/>
      <c r="L64" s="4"/>
      <c r="M64" s="4"/>
      <c r="N64" s="4"/>
      <c r="O64" s="17"/>
    </row>
    <row r="65" customFormat="false" ht="12.75" hidden="false" customHeight="false" outlineLevel="0" collapsed="false">
      <c r="A65" s="102" t="s">
        <v>97</v>
      </c>
      <c r="B65" s="103" t="n">
        <f aca="false">Production!N$76</f>
        <v>-1000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Production!O$76</f>
        <v>28.25</v>
      </c>
      <c r="C66" s="4"/>
      <c r="D66" s="107" t="str">
        <f aca="false">Construction!BQ3</f>
        <v>Tot Doc</v>
      </c>
      <c r="E66" s="43" t="n">
        <f aca="false">Construction!BQ76</f>
        <v>24</v>
      </c>
      <c r="F66" s="108" t="n">
        <f aca="false">E66/$E$47</f>
        <v>0.0342857142857143</v>
      </c>
      <c r="G66" s="4"/>
      <c r="H66" s="1" t="s">
        <v>100</v>
      </c>
      <c r="I66" s="69" t="n">
        <f aca="false">SUBTOTAL(109,Table18[Amount])</f>
        <v>2207332</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0</v>
      </c>
      <c r="F68" s="111" t="n">
        <f aca="false">E68/E47</f>
        <v>0</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0.0171428571428571</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0.0357142857142857</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0</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true" autoFill="0" autoPict="0">
                <anchor moveWithCells="true" sizeWithCells="false">
                  <from>
                    <xdr:col>5</xdr:col>
                    <xdr:colOff>33480</xdr:colOff>
                    <xdr:row>14</xdr:row>
                    <xdr:rowOff>23760</xdr:rowOff>
                  </from>
                  <to>
                    <xdr:col>6</xdr:col>
                    <xdr:colOff>66960</xdr:colOff>
                    <xdr:row>16</xdr:row>
                    <xdr:rowOff>14400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Production!P4/100*prestige_pop_multiplier) + Production!P4/100*prestige_pop_multiplier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Production!P5/100*prestige_pop_multiplier) + Production!P5/100*prestige_pop_multiplier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Production!P6/100*prestige_pop_multiplier) + Production!P6/100*prestige_pop_multiplier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Production!P7/100*prestige_pop_multiplier) + Production!P7/100*prestige_pop_multiplier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Production!P8/100*prestige_pop_multiplier) + Production!P8/100*prestige_pop_multiplier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Production!P9/100*prestige_pop_multiplier) + Production!P9/100*prestige_pop_multiplier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Production!P10/100*prestige_pop_multiplier) + Production!P10/100*prestige_pop_multiplier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Production!P11/100*prestige_pop_multiplier) + Production!P11/100*prestige_pop_multiplier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Production!P12/100*prestige_pop_multiplier) + Production!P12/100*prestige_pop_multiplier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Production!P13/100*prestige_pop_multiplier) + Production!P13/100*prestige_pop_multiplier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Production!P14/100*prestige_pop_multiplier) + Production!P14/100*prestige_pop_multiplier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3874</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Production!P15/100*prestige_pop_multiplier) + Production!P15/100*prestige_pop_multiplier</f>
        <v>0.07625</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3874</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Production!P16/100*prestige_pop_multiplier) + Production!P16/100*prestige_pop_multiplier</f>
        <v>0.07625</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4036</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95</v>
      </c>
      <c r="X17" s="69" t="n">
        <f aca="false">ROUND(TblPop[[#This Row],[Raw Birth]]*(1+TblPop[[#This Row],[Growth]]),0)</f>
        <v>113</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1.128</v>
      </c>
      <c r="AC17" s="130" t="n">
        <f aca="false">(Overview!$I$15 + Imps!Z17+ tech_2_5*Techs!AB17 + tech_3_6*Techs!AM17 + tech_6_1*Techs!BJ17 + tech_6_5*Techs!BF17 + tech_7_3_2*Techs!BN17) * (1 + Production!P17/100*prestige_pop_multiplier) + Production!P17/100*prestige_pop_multiplier</f>
        <v>0.07625</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1882</v>
      </c>
      <c r="D18" s="69" t="n">
        <f aca="false">TblMili[[#This Row],[Military]]</f>
        <v>393</v>
      </c>
      <c r="E18" s="69" t="n">
        <f aca="false">TblMili[[#This Row],[Draftees]]</f>
        <v>393</v>
      </c>
      <c r="F18" s="69" t="n">
        <f aca="false">TblPop[[#This Row],[Peasants]]+TblPop[[#This Row],[Military]]</f>
        <v>2275</v>
      </c>
      <c r="G18" s="130" t="n">
        <f aca="false">TblPop[[#This Row],[Military]]/TblPop[[#This Row],[Total]]</f>
        <v>0.172747252747253</v>
      </c>
      <c r="H18" s="95" t="n">
        <f aca="false">MIN(TblPop[[#This Row],[Peasants]],TblPop[[#This Row],[Jobs]])</f>
        <v>1882</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4036</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100</v>
      </c>
      <c r="X18" s="69" t="n">
        <f aca="false">ROUND(TblPop[[#This Row],[Raw Birth]]*(1+TblPop[[#This Row],[Growth]]),0)</f>
        <v>119</v>
      </c>
      <c r="Y18" s="69" t="n">
        <f aca="false">(TblPop[[#This Row],[Peasants]]-TblPop[[#This Row],[Draft Growth]])*raw_pop_growth</f>
        <v>55.89</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1.128</v>
      </c>
      <c r="AC18" s="130" t="n">
        <f aca="false">(Overview!$I$15 + Imps!Z18+ tech_2_5*Techs!AB18 + tech_3_6*Techs!AM18 + tech_6_1*Techs!BJ18 + tech_6_5*Techs!BF18 + tech_7_3_2*Techs!BN18) * (1 + Production!P18/100*prestige_pop_multiplier) + Production!P18/100*prestige_pop_multiplier</f>
        <v>0.07625</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1982</v>
      </c>
      <c r="D19" s="69" t="n">
        <f aca="false">TblMili[[#This Row],[Military]]</f>
        <v>412</v>
      </c>
      <c r="E19" s="69" t="n">
        <f aca="false">TblMili[[#This Row],[Draftees]]</f>
        <v>412</v>
      </c>
      <c r="F19" s="69" t="n">
        <f aca="false">TblPop[[#This Row],[Peasants]]+TblPop[[#This Row],[Military]]</f>
        <v>2394</v>
      </c>
      <c r="G19" s="130" t="n">
        <f aca="false">TblPop[[#This Row],[Military]]/TblPop[[#This Row],[Total]]</f>
        <v>0.172096908939014</v>
      </c>
      <c r="H19" s="95" t="n">
        <f aca="false">MIN(TblPop[[#This Row],[Peasants]],TblPop[[#This Row],[Jobs]])</f>
        <v>1982</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4036</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105</v>
      </c>
      <c r="X19" s="69" t="n">
        <f aca="false">ROUND(TblPop[[#This Row],[Raw Birth]]*(1+TblPop[[#This Row],[Growth]]),0)</f>
        <v>125</v>
      </c>
      <c r="Y19" s="69" t="n">
        <f aca="false">(TblPop[[#This Row],[Peasants]]-TblPop[[#This Row],[Draft Growth]])*raw_pop_growth</f>
        <v>58.86</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1.128</v>
      </c>
      <c r="AC19" s="130" t="n">
        <f aca="false">(Overview!$I$15 + Imps!Z19+ tech_2_5*Techs!AB19 + tech_3_6*Techs!AM19 + tech_6_1*Techs!BJ19 + tech_6_5*Techs!BF19 + tech_7_3_2*Techs!BN19) * (1 + Production!P19/100*prestige_pop_multiplier) + Production!P19/100*prestige_pop_multiplier</f>
        <v>0.07625</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2087</v>
      </c>
      <c r="D20" s="69" t="n">
        <f aca="false">TblMili[[#This Row],[Military]]</f>
        <v>432</v>
      </c>
      <c r="E20" s="69" t="n">
        <f aca="false">TblMili[[#This Row],[Draftees]]</f>
        <v>432</v>
      </c>
      <c r="F20" s="69" t="n">
        <f aca="false">TblPop[[#This Row],[Peasants]]+TblPop[[#This Row],[Military]]</f>
        <v>2519</v>
      </c>
      <c r="G20" s="130" t="n">
        <f aca="false">TblPop[[#This Row],[Military]]/TblPop[[#This Row],[Total]]</f>
        <v>0.171496625645097</v>
      </c>
      <c r="H20" s="95" t="n">
        <f aca="false">MIN(TblPop[[#This Row],[Peasants]],TblPop[[#This Row],[Jobs]])</f>
        <v>2087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4036</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105</v>
      </c>
      <c r="X20" s="69" t="n">
        <f aca="false">ROUND(TblPop[[#This Row],[Raw Birth]]*(1+TblPop[[#This Row],[Growth]]),0)</f>
        <v>126</v>
      </c>
      <c r="Y20" s="69" t="n">
        <f aca="false">(TblPop[[#This Row],[Peasants]]-TblPop[[#This Row],[Draft Growth]])*raw_pop_growth</f>
        <v>61.98</v>
      </c>
      <c r="Z20" s="69" t="n">
        <f aca="false">IF(TblPop[[#This Row],[Military%]]&lt;TblMili[[#This Row],[Draftrate]],ROUND(TblPop[[#This Row],[Peasants]]*Constants!$B$55,0), 0)</f>
        <v>21</v>
      </c>
      <c r="AA20" s="132"/>
      <c r="AB20" s="109" t="n">
        <f aca="false">Overview!$I$16 + IF(Magic!AE20&gt;0,Constants!$F$78) + ROUND(6*(Construction!BM21+Construction!CK20)/IF(Explore!S21&gt;0,Construction!F21-20,Construction!F21),4) + tech_6_5_2*Techs!BJ20 + tech_8_4*Techs!BT20</f>
        <v>1.0292</v>
      </c>
      <c r="AC20" s="130" t="n">
        <f aca="false">(Overview!$I$15 + Imps!Z20+ tech_2_5*Techs!AB20 + tech_3_6*Techs!AM20 + tech_6_1*Techs!BJ20 + tech_6_5*Techs!BF20 + tech_7_3_2*Techs!BN20) * (1 + Production!P20/100*prestige_pop_multiplier) + Production!P20/100*prestige_pop_multiplier</f>
        <v>0.07625</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2192</v>
      </c>
      <c r="D21" s="69" t="n">
        <f aca="false">TblMili[[#This Row],[Military]]</f>
        <v>173</v>
      </c>
      <c r="E21" s="69" t="n">
        <f aca="false">TblMili[[#This Row],[Draftees]]</f>
        <v>173</v>
      </c>
      <c r="F21" s="69" t="n">
        <f aca="false">TblPop[[#This Row],[Peasants]]+TblPop[[#This Row],[Military]]</f>
        <v>2365</v>
      </c>
      <c r="G21" s="130" t="n">
        <f aca="false">TblPop[[#This Row],[Military]]/TblPop[[#This Row],[Total]]</f>
        <v>0.0731501057082453</v>
      </c>
      <c r="H21" s="95" t="n">
        <f aca="false">MIN(TblPop[[#This Row],[Peasants]],TblPop[[#This Row],[Jobs]])</f>
        <v>2192</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173</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4165</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110</v>
      </c>
      <c r="X21" s="69" t="n">
        <f aca="false">ROUND(TblPop[[#This Row],[Raw Birth]]*(1+TblPop[[#This Row],[Growth]]),0)</f>
        <v>132</v>
      </c>
      <c r="Y21" s="69" t="n">
        <f aca="false">(TblPop[[#This Row],[Peasants]]-TblPop[[#This Row],[Draft Growth]])*raw_pop_growth</f>
        <v>65.1</v>
      </c>
      <c r="Z21" s="69" t="n">
        <f aca="false">IF(TblPop[[#This Row],[Military%]]&lt;TblMili[[#This Row],[Draftrate]],ROUND(TblPop[[#This Row],[Peasants]]*Constants!$B$55,0), 0)</f>
        <v>22</v>
      </c>
      <c r="AA21" s="132"/>
      <c r="AB21" s="109" t="n">
        <f aca="false">Overview!$I$16 + IF(Magic!AE21&gt;0,Constants!$F$78) + ROUND(6*(Construction!BM22+Construction!CK21)/IF(Explore!S22&gt;0,Construction!F22-20,Construction!F22),4) + tech_6_5_2*Techs!BJ21 + tech_8_4*Techs!BT21</f>
        <v>1.0255</v>
      </c>
      <c r="AC21" s="130" t="n">
        <f aca="false">(Overview!$I$15 + Imps!Z21+ tech_2_5*Techs!AB21 + tech_3_6*Techs!AM21 + tech_6_1*Techs!BJ21 + tech_6_5*Techs!BF21 + tech_7_3_2*Techs!BN21) * (1 + Production!P21/100*prestige_pop_multiplier) + Production!P21/100*prestige_pop_multiplier</f>
        <v>0.07625</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2302</v>
      </c>
      <c r="D22" s="69" t="n">
        <f aca="false">TblMili[[#This Row],[Military]]</f>
        <v>151</v>
      </c>
      <c r="E22" s="69" t="n">
        <f aca="false">TblMili[[#This Row],[Draftees]]</f>
        <v>151</v>
      </c>
      <c r="F22" s="69" t="n">
        <f aca="false">TblPop[[#This Row],[Peasants]]+TblPop[[#This Row],[Military]]</f>
        <v>2453</v>
      </c>
      <c r="G22" s="130" t="n">
        <f aca="false">TblPop[[#This Row],[Military]]/TblPop[[#This Row],[Total]]</f>
        <v>0.0615572768039136</v>
      </c>
      <c r="H22" s="95" t="n">
        <f aca="false">MIN(TblPop[[#This Row],[Peasants]],TblPop[[#This Row],[Jobs]])</f>
        <v>2302</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151</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4429</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115</v>
      </c>
      <c r="X22" s="69" t="n">
        <f aca="false">ROUND(TblPop[[#This Row],[Raw Birth]]*(1+TblPop[[#This Row],[Growth]]),0)</f>
        <v>138</v>
      </c>
      <c r="Y22" s="69" t="n">
        <f aca="false">(TblPop[[#This Row],[Peasants]]-TblPop[[#This Row],[Draft Growth]])*raw_pop_growth</f>
        <v>68.37</v>
      </c>
      <c r="Z22" s="69" t="n">
        <f aca="false">IF(TblPop[[#This Row],[Military%]]&lt;TblMili[[#This Row],[Draftrate]],ROUND(TblPop[[#This Row],[Peasants]]*Constants!$B$55,0), 0)</f>
        <v>23</v>
      </c>
      <c r="AA22" s="132"/>
      <c r="AB22" s="109" t="n">
        <f aca="false">Overview!$I$16 + IF(Magic!AE22&gt;0,Constants!$F$78) + ROUND(6*(Construction!BM23+Construction!CK22)/IF(Explore!S23&gt;0,Construction!F23-20,Construction!F23),4) + tech_6_5_2*Techs!BJ22 + tech_8_4*Techs!BT22</f>
        <v>1.0217</v>
      </c>
      <c r="AC22" s="130" t="n">
        <f aca="false">(Overview!$I$15 + Imps!Z22+ tech_2_5*Techs!AB22 + tech_3_6*Techs!AM22 + tech_6_1*Techs!BJ22 + tech_6_5*Techs!BF22 + tech_7_3_2*Techs!BN22) * (1 + Production!P22/100*prestige_pop_multiplier) + Production!P22/100*prestige_pop_multiplier</f>
        <v>0.07625</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2417</v>
      </c>
      <c r="D23" s="69" t="n">
        <f aca="false">TblMili[[#This Row],[Military]]</f>
        <v>126</v>
      </c>
      <c r="E23" s="69" t="n">
        <f aca="false">TblMili[[#This Row],[Draftees]]</f>
        <v>126</v>
      </c>
      <c r="F23" s="69" t="n">
        <f aca="false">TblPop[[#This Row],[Peasants]]+TblPop[[#This Row],[Military]]</f>
        <v>2543</v>
      </c>
      <c r="G23" s="130" t="n">
        <f aca="false">TblPop[[#This Row],[Military]]/TblPop[[#This Row],[Total]]</f>
        <v>0.049547778214707</v>
      </c>
      <c r="H23" s="95" t="n">
        <f aca="false">MIN(TblPop[[#This Row],[Peasants]],TblPop[[#This Row],[Jobs]])</f>
        <v>2417</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126</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4445</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121</v>
      </c>
      <c r="X23" s="69" t="n">
        <f aca="false">ROUND(TblPop[[#This Row],[Raw Birth]]*(1+TblPop[[#This Row],[Growth]]),0)</f>
        <v>145</v>
      </c>
      <c r="Y23" s="69" t="n">
        <f aca="false">(TblPop[[#This Row],[Peasants]]-TblPop[[#This Row],[Draft Growth]])*raw_pop_growth</f>
        <v>71.79</v>
      </c>
      <c r="Z23" s="69" t="n">
        <f aca="false">IF(TblPop[[#This Row],[Military%]]&lt;TblMili[[#This Row],[Draftrate]],ROUND(TblPop[[#This Row],[Peasants]]*Constants!$B$55,0), 0)</f>
        <v>24</v>
      </c>
      <c r="AA23" s="132"/>
      <c r="AB23" s="109" t="n">
        <f aca="false">Overview!$I$16 + IF(Magic!AE23&gt;0,Constants!$F$78) + ROUND(6*(Construction!BM24+Construction!CK23)/IF(Explore!S24&gt;0,Construction!F24-20,Construction!F24),4) + tech_6_5_2*Techs!BJ23 + tech_8_4*Techs!BT23</f>
        <v>1.0181</v>
      </c>
      <c r="AC23" s="130" t="n">
        <f aca="false">(Overview!$I$15 + Imps!Z23+ tech_2_5*Techs!AB23 + tech_3_6*Techs!AM23 + tech_6_1*Techs!BJ23 + tech_6_5*Techs!BF23 + tech_7_3_2*Techs!BN23) * (1 + Production!P23/100*prestige_pop_multiplier) + Production!P23/100*prestige_pop_multiplier</f>
        <v>0.07625</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2538</v>
      </c>
      <c r="D24" s="69" t="n">
        <f aca="false">TblMili[[#This Row],[Military]]</f>
        <v>102</v>
      </c>
      <c r="E24" s="69" t="n">
        <f aca="false">TblMili[[#This Row],[Draftees]]</f>
        <v>102</v>
      </c>
      <c r="F24" s="69" t="n">
        <f aca="false">TblPop[[#This Row],[Peasants]]+TblPop[[#This Row],[Military]]</f>
        <v>2640</v>
      </c>
      <c r="G24" s="130" t="n">
        <f aca="false">TblPop[[#This Row],[Military]]/TblPop[[#This Row],[Total]]</f>
        <v>0.0386363636363636</v>
      </c>
      <c r="H24" s="95" t="n">
        <f aca="false">MIN(TblPop[[#This Row],[Peasants]],TblPop[[#This Row],[Jobs]])</f>
        <v>2538</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102</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4461</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127</v>
      </c>
      <c r="X24" s="69" t="n">
        <f aca="false">ROUND(TblPop[[#This Row],[Raw Birth]]*(1+TblPop[[#This Row],[Growth]]),0)</f>
        <v>152</v>
      </c>
      <c r="Y24" s="69" t="n">
        <f aca="false">(TblPop[[#This Row],[Peasants]]-TblPop[[#This Row],[Draft Growth]])*raw_pop_growth</f>
        <v>75.39</v>
      </c>
      <c r="Z24" s="69" t="n">
        <f aca="false">IF(TblPop[[#This Row],[Military%]]&lt;TblMili[[#This Row],[Draftrate]],ROUND(TblPop[[#This Row],[Peasants]]*Constants!$B$55,0), 0)</f>
        <v>25</v>
      </c>
      <c r="AA24" s="132"/>
      <c r="AB24" s="109" t="n">
        <f aca="false">Overview!$I$16 + IF(Magic!AE24&gt;0,Constants!$F$78) + ROUND(6*(Construction!BM25+Construction!CK24)/IF(Explore!S25&gt;0,Construction!F25-20,Construction!F25),4) + tech_6_5_2*Techs!BJ24 + tech_8_4*Techs!BT24</f>
        <v>1.0144</v>
      </c>
      <c r="AC24" s="130" t="n">
        <f aca="false">(Overview!$I$15 + Imps!Z24+ tech_2_5*Techs!AB24 + tech_3_6*Techs!AM24 + tech_6_1*Techs!BJ24 + tech_6_5*Techs!BF24 + tech_7_3_2*Techs!BN24) * (1 + Production!P24/100*prestige_pop_multiplier) + Production!P24/100*prestige_pop_multiplier</f>
        <v>0.07625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2665</v>
      </c>
      <c r="D25" s="69" t="n">
        <f aca="false">TblMili[[#This Row],[Military]]</f>
        <v>115</v>
      </c>
      <c r="E25" s="69" t="n">
        <f aca="false">TblMili[[#This Row],[Draftees]]</f>
        <v>115</v>
      </c>
      <c r="F25" s="69" t="n">
        <f aca="false">TblPop[[#This Row],[Peasants]]+TblPop[[#This Row],[Military]]</f>
        <v>2780</v>
      </c>
      <c r="G25" s="130" t="n">
        <f aca="false">TblPop[[#This Row],[Military]]/TblPop[[#This Row],[Total]]</f>
        <v>0.0413669064748201</v>
      </c>
      <c r="H25" s="95" t="n">
        <f aca="false">MIN(TblPop[[#This Row],[Peasants]],TblPop[[#This Row],[Jobs]])</f>
        <v>2665</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115</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4477</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132</v>
      </c>
      <c r="X25" s="69" t="n">
        <f aca="false">ROUND(TblPop[[#This Row],[Raw Birth]]*(1+TblPop[[#This Row],[Growth]]),0)</f>
        <v>159</v>
      </c>
      <c r="Y25" s="69" t="n">
        <f aca="false">(TblPop[[#This Row],[Peasants]]-TblPop[[#This Row],[Draft Growth]])*raw_pop_growth</f>
        <v>79.14</v>
      </c>
      <c r="Z25" s="69" t="n">
        <f aca="false">IF(TblPop[[#This Row],[Military%]]&lt;TblMili[[#This Row],[Draftrate]],ROUND(TblPop[[#This Row],[Peasants]]*Constants!$B$55,0), 0)</f>
        <v>27</v>
      </c>
      <c r="AA25" s="132"/>
      <c r="AB25" s="109" t="n">
        <f aca="false">Overview!$I$16 + IF(Magic!AE25&gt;0,Constants!$F$78) + ROUND(6*(Construction!BM26+Construction!CK25)/IF(Explore!S26&gt;0,Construction!F26-20,Construction!F26),4) + tech_6_5_2*Techs!BJ25 + tech_8_4*Techs!BT25</f>
        <v>1.0108</v>
      </c>
      <c r="AC25" s="130" t="n">
        <f aca="false">(Overview!$I$15 + Imps!Z25+ tech_2_5*Techs!AB25 + tech_3_6*Techs!AM25 + tech_6_1*Techs!BJ25 + tech_6_5*Techs!BF25 + tech_7_3_2*Techs!BN25) * (1 + Production!P25/100*prestige_pop_multiplier) + Production!P25/100*prestige_pop_multiplier</f>
        <v>0.07625</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2797</v>
      </c>
      <c r="D26" s="69" t="n">
        <f aca="false">TblMili[[#This Row],[Military]]</f>
        <v>134</v>
      </c>
      <c r="E26" s="69" t="n">
        <f aca="false">TblMili[[#This Row],[Draftees]]</f>
        <v>134</v>
      </c>
      <c r="F26" s="69" t="n">
        <f aca="false">TblPop[[#This Row],[Peasants]]+TblPop[[#This Row],[Military]]</f>
        <v>2931</v>
      </c>
      <c r="G26" s="130" t="n">
        <f aca="false">TblPop[[#This Row],[Military]]/TblPop[[#This Row],[Total]]</f>
        <v>0.0457181849198226</v>
      </c>
      <c r="H26" s="95" t="n">
        <f aca="false">MIN(TblPop[[#This Row],[Peasants]],TblPop[[#This Row],[Jobs]])</f>
        <v>2797</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134</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4493</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139</v>
      </c>
      <c r="X26" s="69" t="n">
        <f aca="false">ROUND(TblPop[[#This Row],[Raw Birth]]*(1+TblPop[[#This Row],[Growth]]),0)</f>
        <v>167</v>
      </c>
      <c r="Y26" s="69" t="n">
        <f aca="false">(TblPop[[#This Row],[Peasants]]-TblPop[[#This Row],[Draft Growth]])*raw_pop_growth</f>
        <v>83.07</v>
      </c>
      <c r="Z26" s="69" t="n">
        <f aca="false">IF(TblPop[[#This Row],[Military%]]&lt;TblMili[[#This Row],[Draftrate]],ROUND(TblPop[[#This Row],[Peasants]]*Constants!$B$55,0), 0)</f>
        <v>28</v>
      </c>
      <c r="AA26" s="132"/>
      <c r="AB26" s="109" t="n">
        <f aca="false">Overview!$I$16 + IF(Magic!AE26&gt;0,Constants!$F$78) + ROUND(6*(Construction!BM27+Construction!CK26)/IF(Explore!S27&gt;0,Construction!F27-20,Construction!F27),4) + tech_6_5_2*Techs!BJ26 + tech_8_4*Techs!BT26</f>
        <v>1.0108</v>
      </c>
      <c r="AC26" s="130" t="n">
        <f aca="false">(Overview!$I$15 + Imps!Z26+ tech_2_5*Techs!AB26 + tech_3_6*Techs!AM26 + tech_6_1*Techs!BJ26 + tech_6_5*Techs!BF26 + tech_7_3_2*Techs!BN26) * (1 + Production!P26/100*prestige_pop_multiplier) + Production!P26/100*prestige_pop_multiplier</f>
        <v>0.07625</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2936</v>
      </c>
      <c r="D27" s="69" t="n">
        <f aca="false">TblMili[[#This Row],[Military]]</f>
        <v>122</v>
      </c>
      <c r="E27" s="69" t="n">
        <f aca="false">TblMili[[#This Row],[Draftees]]</f>
        <v>122</v>
      </c>
      <c r="F27" s="69" t="n">
        <f aca="false">TblPop[[#This Row],[Peasants]]+TblPop[[#This Row],[Military]]</f>
        <v>3058</v>
      </c>
      <c r="G27" s="130" t="n">
        <f aca="false">TblPop[[#This Row],[Military]]/TblPop[[#This Row],[Total]]</f>
        <v>0.039895356442119</v>
      </c>
      <c r="H27" s="95" t="n">
        <f aca="false">MIN(TblPop[[#This Row],[Peasants]],TblPop[[#This Row],[Jobs]])</f>
        <v>2936</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122</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4504</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184</v>
      </c>
      <c r="X27" s="69" t="n">
        <f aca="false">ROUND(TblPop[[#This Row],[Raw Birth]]*(1+TblPop[[#This Row],[Growth]]),0)</f>
        <v>213</v>
      </c>
      <c r="Y27" s="69" t="n">
        <f aca="false">(TblPop[[#This Row],[Peasants]]-TblPop[[#This Row],[Draft Growth]])*raw_pop_growth</f>
        <v>87.21</v>
      </c>
      <c r="Z27" s="69" t="n">
        <f aca="false">IF(TblPop[[#This Row],[Military%]]&lt;TblMili[[#This Row],[Draftrate]],ROUND(TblPop[[#This Row],[Peasants]]*Constants!$B$55,0), 0)</f>
        <v>29</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Production!P27/100*prestige_pop_multiplier) + Production!P27/100*prestige_pop_multiplier</f>
        <v>0.07625</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3120</v>
      </c>
      <c r="D28" s="69" t="n">
        <f aca="false">TblMili[[#This Row],[Military]]</f>
        <v>151</v>
      </c>
      <c r="E28" s="69" t="n">
        <f aca="false">TblMili[[#This Row],[Draftees]]</f>
        <v>151</v>
      </c>
      <c r="F28" s="69" t="n">
        <f aca="false">TblPop[[#This Row],[Peasants]]+TblPop[[#This Row],[Military]]</f>
        <v>3271</v>
      </c>
      <c r="G28" s="130" t="n">
        <f aca="false">TblPop[[#This Row],[Military]]/TblPop[[#This Row],[Total]]</f>
        <v>0.0461632528278814</v>
      </c>
      <c r="H28" s="95" t="n">
        <f aca="false">MIN(TblPop[[#This Row],[Peasants]],TblPop[[#This Row],[Jobs]])</f>
        <v>3120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151</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4827</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195</v>
      </c>
      <c r="X28" s="69" t="n">
        <f aca="false">ROUND(TblPop[[#This Row],[Raw Birth]]*(1+TblPop[[#This Row],[Growth]]),0)</f>
        <v>226</v>
      </c>
      <c r="Y28" s="69" t="n">
        <f aca="false">(TblPop[[#This Row],[Peasants]]-TblPop[[#This Row],[Draft Growth]])*raw_pop_growth</f>
        <v>92.67</v>
      </c>
      <c r="Z28" s="69" t="n">
        <f aca="false">IF(TblPop[[#This Row],[Military%]]&lt;TblMili[[#This Row],[Draftrate]],ROUND(TblPop[[#This Row],[Peasants]]*Constants!$B$55,0), 0)</f>
        <v>31</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Production!P28/100*prestige_pop_multiplier) + Production!P28/100*prestige_pop_multiplier</f>
        <v>0.07625</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3315</v>
      </c>
      <c r="D29" s="69" t="n">
        <f aca="false">TblMili[[#This Row],[Military]]</f>
        <v>182</v>
      </c>
      <c r="E29" s="69" t="n">
        <f aca="false">TblMili[[#This Row],[Draftees]]</f>
        <v>182</v>
      </c>
      <c r="F29" s="69" t="n">
        <f aca="false">TblPop[[#This Row],[Peasants]]+TblPop[[#This Row],[Military]]</f>
        <v>3497</v>
      </c>
      <c r="G29" s="130" t="n">
        <f aca="false">TblPop[[#This Row],[Military]]/TblPop[[#This Row],[Total]]</f>
        <v>0.0520446096654275</v>
      </c>
      <c r="H29" s="95" t="n">
        <f aca="false">MIN(TblPop[[#This Row],[Peasants]],TblPop[[#This Row],[Jobs]])</f>
        <v>3315</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182</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4827</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208</v>
      </c>
      <c r="X29" s="69" t="n">
        <f aca="false">ROUND(TblPop[[#This Row],[Raw Birth]]*(1+TblPop[[#This Row],[Growth]]),0)</f>
        <v>241</v>
      </c>
      <c r="Y29" s="69" t="n">
        <f aca="false">(TblPop[[#This Row],[Peasants]]-TblPop[[#This Row],[Draft Growth]])*raw_pop_growth</f>
        <v>98.46</v>
      </c>
      <c r="Z29" s="69" t="n">
        <f aca="false">IF(TblPop[[#This Row],[Military%]]&lt;TblMili[[#This Row],[Draftrate]],ROUND(TblPop[[#This Row],[Peasants]]*Constants!$B$55,0), 0)</f>
        <v>33</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Production!P29/100*prestige_pop_multiplier) + Production!P29/100*prestige_pop_multiplier</f>
        <v>0.07625</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3523</v>
      </c>
      <c r="D30" s="69" t="n">
        <f aca="false">TblMili[[#This Row],[Military]]</f>
        <v>215</v>
      </c>
      <c r="E30" s="69" t="n">
        <f aca="false">TblMili[[#This Row],[Draftees]]</f>
        <v>215</v>
      </c>
      <c r="F30" s="69" t="n">
        <f aca="false">TblPop[[#This Row],[Peasants]]+TblPop[[#This Row],[Military]]</f>
        <v>3738</v>
      </c>
      <c r="G30" s="130" t="n">
        <f aca="false">TblPop[[#This Row],[Military]]/TblPop[[#This Row],[Total]]</f>
        <v>0.0575173889780631</v>
      </c>
      <c r="H30" s="95" t="n">
        <f aca="false">MIN(TblPop[[#This Row],[Peasants]],TblPop[[#This Row],[Jobs]])</f>
        <v>3523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215</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4827</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221</v>
      </c>
      <c r="X30" s="69" t="n">
        <f aca="false">ROUND(TblPop[[#This Row],[Raw Birth]]*(1+TblPop[[#This Row],[Growth]]),0)</f>
        <v>256</v>
      </c>
      <c r="Y30" s="69" t="n">
        <f aca="false">(TblPop[[#This Row],[Peasants]]-TblPop[[#This Row],[Draft Growth]])*raw_pop_growth</f>
        <v>104.64</v>
      </c>
      <c r="Z30" s="69" t="n">
        <f aca="false">IF(TblPop[[#This Row],[Military%]]&lt;TblMili[[#This Row],[Draftrate]],ROUND(TblPop[[#This Row],[Peasants]]*Constants!$B$55,0), 0)</f>
        <v>35</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Production!P30/100*prestige_pop_multiplier) + Production!P30/100*prestige_pop_multiplier</f>
        <v>0.07625</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3744</v>
      </c>
      <c r="D31" s="69" t="n">
        <f aca="false">TblMili[[#This Row],[Military]]</f>
        <v>250</v>
      </c>
      <c r="E31" s="69" t="n">
        <f aca="false">TblMili[[#This Row],[Draftees]]</f>
        <v>250</v>
      </c>
      <c r="F31" s="69" t="n">
        <f aca="false">TblPop[[#This Row],[Peasants]]+TblPop[[#This Row],[Military]]</f>
        <v>3994</v>
      </c>
      <c r="G31" s="130" t="n">
        <f aca="false">TblPop[[#This Row],[Military]]/TblPop[[#This Row],[Total]]</f>
        <v>0.0625938908362544</v>
      </c>
      <c r="H31" s="95" t="n">
        <f aca="false">MIN(TblPop[[#This Row],[Peasants]],TblPop[[#This Row],[Jobs]])</f>
        <v>3744</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250</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4827</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235</v>
      </c>
      <c r="X31" s="69" t="n">
        <f aca="false">ROUND(TblPop[[#This Row],[Raw Birth]]*(1+TblPop[[#This Row],[Growth]]),0)</f>
        <v>272</v>
      </c>
      <c r="Y31" s="69" t="n">
        <f aca="false">(TblPop[[#This Row],[Peasants]]-TblPop[[#This Row],[Draft Growth]])*raw_pop_growth</f>
        <v>111.21</v>
      </c>
      <c r="Z31" s="69" t="n">
        <f aca="false">IF(TblPop[[#This Row],[Military%]]&lt;TblMili[[#This Row],[Draftrate]],ROUND(TblPop[[#This Row],[Peasants]]*Constants!$B$55,0), 0)</f>
        <v>37</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Production!P31/100*prestige_pop_multiplier) + Production!P31/100*prestige_pop_multiplier</f>
        <v>0.07625</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3979</v>
      </c>
      <c r="D32" s="69" t="n">
        <f aca="false">TblMili[[#This Row],[Military]]</f>
        <v>-41</v>
      </c>
      <c r="E32" s="69" t="n">
        <f aca="false">TblMili[[#This Row],[Draftees]]</f>
        <v>-41</v>
      </c>
      <c r="F32" s="69" t="n">
        <f aca="false">TblPop[[#This Row],[Peasants]]+TblPop[[#This Row],[Military]]</f>
        <v>3938</v>
      </c>
      <c r="G32" s="130" t="n">
        <f aca="false">TblPop[[#This Row],[Military]]/TblPop[[#This Row],[Total]]</f>
        <v>-0.010411376333164</v>
      </c>
      <c r="H32" s="95" t="n">
        <f aca="false">MIN(TblPop[[#This Row],[Peasants]],TblPop[[#This Row],[Jobs]])</f>
        <v>3979</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-41</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4827</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228</v>
      </c>
      <c r="X32" s="69" t="n">
        <f aca="false">ROUND(TblPop[[#This Row],[Raw Birth]]*(1+TblPop[[#This Row],[Growth]]),0)</f>
        <v>268</v>
      </c>
      <c r="Y32" s="69" t="n">
        <f aca="false">(TblPop[[#This Row],[Peasants]]-TblPop[[#This Row],[Draft Growth]])*raw_pop_growth</f>
        <v>118.17</v>
      </c>
      <c r="Z32" s="69" t="n">
        <f aca="false">IF(TblPop[[#This Row],[Military%]]&lt;TblMili[[#This Row],[Draftrate]],ROUND(TblPop[[#This Row],[Peasants]]*Constants!$B$55,0), 0)</f>
        <v>40</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Production!P32/100*prestige_pop_multiplier) + Production!P32/100*prestige_pop_multiplier</f>
        <v>0.07625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4207</v>
      </c>
      <c r="D33" s="69" t="n">
        <f aca="false">TblMili[[#This Row],[Military]]</f>
        <v>-46</v>
      </c>
      <c r="E33" s="69" t="n">
        <f aca="false">TblMili[[#This Row],[Draftees]]</f>
        <v>-46</v>
      </c>
      <c r="F33" s="69" t="n">
        <f aca="false">TblPop[[#This Row],[Peasants]]+TblPop[[#This Row],[Military]]</f>
        <v>4161</v>
      </c>
      <c r="G33" s="130" t="n">
        <f aca="false">TblPop[[#This Row],[Military]]/TblPop[[#This Row],[Total]]</f>
        <v>-0.0110550348473925</v>
      </c>
      <c r="H33" s="95" t="n">
        <f aca="false">MIN(TblPop[[#This Row],[Peasants]],TblPop[[#This Row],[Jobs]])</f>
        <v>4207</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-46</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5204</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238</v>
      </c>
      <c r="X33" s="69" t="n">
        <f aca="false">ROUND(TblPop[[#This Row],[Raw Birth]]*(1+TblPop[[#This Row],[Growth]]),0)</f>
        <v>280</v>
      </c>
      <c r="Y33" s="69" t="n">
        <f aca="false">(TblPop[[#This Row],[Peasants]]-TblPop[[#This Row],[Draft Growth]])*raw_pop_growth</f>
        <v>124.95</v>
      </c>
      <c r="Z33" s="69" t="n">
        <f aca="false">IF(TblPop[[#This Row],[Military%]]&lt;TblMili[[#This Row],[Draftrate]],ROUND(TblPop[[#This Row],[Peasants]]*Constants!$B$55,0), 0)</f>
        <v>42</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Production!P33/100*prestige_pop_multiplier) + Production!P33/100*prestige_pop_multiplier</f>
        <v>0.07625</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4445</v>
      </c>
      <c r="D34" s="69" t="n">
        <f aca="false">TblMili[[#This Row],[Military]]</f>
        <v>-54</v>
      </c>
      <c r="E34" s="69" t="n">
        <f aca="false">TblMili[[#This Row],[Draftees]]</f>
        <v>-54</v>
      </c>
      <c r="F34" s="69" t="n">
        <f aca="false">TblPop[[#This Row],[Peasants]]+TblPop[[#This Row],[Military]]</f>
        <v>4391</v>
      </c>
      <c r="G34" s="130" t="n">
        <f aca="false">TblPop[[#This Row],[Military]]/TblPop[[#This Row],[Total]]</f>
        <v>-0.0122978820314279</v>
      </c>
      <c r="H34" s="95" t="n">
        <f aca="false">MIN(TblPop[[#This Row],[Peasants]],TblPop[[#This Row],[Jobs]])</f>
        <v>4445</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-54</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6016</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249</v>
      </c>
      <c r="X34" s="69" t="n">
        <f aca="false">ROUND(TblPop[[#This Row],[Raw Birth]]*(1+TblPop[[#This Row],[Growth]]),0)</f>
        <v>293</v>
      </c>
      <c r="Y34" s="69" t="n">
        <f aca="false">(TblPop[[#This Row],[Peasants]]-TblPop[[#This Row],[Draft Growth]])*raw_pop_growth</f>
        <v>132.03</v>
      </c>
      <c r="Z34" s="69" t="n">
        <f aca="false">IF(TblPop[[#This Row],[Military%]]&lt;TblMili[[#This Row],[Draftrate]],ROUND(TblPop[[#This Row],[Peasants]]*Constants!$B$55,0), 0)</f>
        <v>44</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Production!P34/100*prestige_pop_multiplier) + Production!P34/100*prestige_pop_multiplier</f>
        <v>0.07625</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4694</v>
      </c>
      <c r="D35" s="69" t="n">
        <f aca="false">TblMili[[#This Row],[Military]]</f>
        <v>-60</v>
      </c>
      <c r="E35" s="69" t="n">
        <f aca="false">TblMili[[#This Row],[Draftees]]</f>
        <v>-60</v>
      </c>
      <c r="F35" s="69" t="n">
        <f aca="false">TblPop[[#This Row],[Peasants]]+TblPop[[#This Row],[Military]]</f>
        <v>4634</v>
      </c>
      <c r="G35" s="130" t="n">
        <f aca="false">TblPop[[#This Row],[Military]]/TblPop[[#This Row],[Total]]</f>
        <v>-0.0129477772982305</v>
      </c>
      <c r="H35" s="95" t="n">
        <f aca="false">MIN(TblPop[[#This Row],[Peasants]],TblPop[[#This Row],[Jobs]])</f>
        <v>4694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-60</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6199</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259</v>
      </c>
      <c r="X35" s="69" t="n">
        <f aca="false">ROUND(TblPop[[#This Row],[Raw Birth]]*(1+TblPop[[#This Row],[Growth]]),0)</f>
        <v>306</v>
      </c>
      <c r="Y35" s="69" t="n">
        <f aca="false">(TblPop[[#This Row],[Peasants]]-TblPop[[#This Row],[Draft Growth]])*raw_pop_growth</f>
        <v>139.41</v>
      </c>
      <c r="Z35" s="69" t="n">
        <f aca="false">IF(TblPop[[#This Row],[Military%]]&lt;TblMili[[#This Row],[Draftrate]],ROUND(TblPop[[#This Row],[Peasants]]*Constants!$B$55,0), 0)</f>
        <v>47</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Production!P35/100*prestige_pop_multiplier) + Production!P35/100*prestige_pop_multiplier</f>
        <v>0.07625</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4953</v>
      </c>
      <c r="D36" s="69" t="n">
        <f aca="false">TblMili[[#This Row],[Military]]</f>
        <v>-63</v>
      </c>
      <c r="E36" s="69" t="n">
        <f aca="false">TblMili[[#This Row],[Draftees]]</f>
        <v>-63</v>
      </c>
      <c r="F36" s="69" t="n">
        <f aca="false">TblPop[[#This Row],[Peasants]]+TblPop[[#This Row],[Military]]</f>
        <v>4890</v>
      </c>
      <c r="G36" s="130" t="n">
        <f aca="false">TblPop[[#This Row],[Military]]/TblPop[[#This Row],[Total]]</f>
        <v>-0.0128834355828221</v>
      </c>
      <c r="H36" s="95" t="n">
        <f aca="false">MIN(TblPop[[#This Row],[Peasants]],TblPop[[#This Row],[Jobs]])</f>
        <v>4953</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-63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6393</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273</v>
      </c>
      <c r="X36" s="69" t="n">
        <f aca="false">ROUND(TblPop[[#This Row],[Raw Birth]]*(1+TblPop[[#This Row],[Growth]]),0)</f>
        <v>323</v>
      </c>
      <c r="Y36" s="69" t="n">
        <f aca="false">(TblPop[[#This Row],[Peasants]]-TblPop[[#This Row],[Draft Growth]])*raw_pop_growth</f>
        <v>147.09</v>
      </c>
      <c r="Z36" s="69" t="n">
        <f aca="false">IF(TblPop[[#This Row],[Military%]]&lt;TblMili[[#This Row],[Draftrate]],ROUND(TblPop[[#This Row],[Peasants]]*Constants!$B$55,0), 0)</f>
        <v>50</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Production!P36/100*prestige_pop_multiplier) + Production!P36/100*prestige_pop_multiplier</f>
        <v>0.07625</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5226</v>
      </c>
      <c r="D37" s="69" t="n">
        <f aca="false">TblMili[[#This Row],[Military]]</f>
        <v>-68</v>
      </c>
      <c r="E37" s="69" t="n">
        <f aca="false">TblMili[[#This Row],[Draftees]]</f>
        <v>-68</v>
      </c>
      <c r="F37" s="69" t="n">
        <f aca="false">TblPop[[#This Row],[Peasants]]+TblPop[[#This Row],[Military]]</f>
        <v>5158</v>
      </c>
      <c r="G37" s="130" t="n">
        <f aca="false">TblPop[[#This Row],[Military]]/TblPop[[#This Row],[Total]]</f>
        <v>-0.013183404420318</v>
      </c>
      <c r="H37" s="95" t="n">
        <f aca="false">MIN(TblPop[[#This Row],[Peasants]],TblPop[[#This Row],[Jobs]])</f>
        <v>5226</v>
      </c>
      <c r="I37" s="130" t="n">
        <f aca="false">MIN(OFFSET(TblPop[[#This Row],[Jobs]],1,0)/TblPop[[#This Row],[Peasants]],1)</f>
        <v>1</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-68</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6538</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288</v>
      </c>
      <c r="X37" s="69" t="n">
        <f aca="false">ROUND(TblPop[[#This Row],[Raw Birth]]*(1+TblPop[[#This Row],[Growth]]),0)</f>
        <v>340</v>
      </c>
      <c r="Y37" s="69" t="n">
        <f aca="false">(TblPop[[#This Row],[Peasants]]-TblPop[[#This Row],[Draft Growth]])*raw_pop_growth</f>
        <v>155.22</v>
      </c>
      <c r="Z37" s="69" t="n">
        <f aca="false">IF(TblPop[[#This Row],[Military%]]&lt;TblMili[[#This Row],[Draftrate]],ROUND(TblPop[[#This Row],[Peasants]]*Constants!$B$55,0), 0)</f>
        <v>52</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Production!P37/100*prestige_pop_multiplier) + Production!P37/100*prestige_pop_multiplier</f>
        <v>0.07625</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5514</v>
      </c>
      <c r="D38" s="69" t="n">
        <f aca="false">TblMili[[#This Row],[Military]]</f>
        <v>-76</v>
      </c>
      <c r="E38" s="69" t="n">
        <f aca="false">TblMili[[#This Row],[Draftees]]</f>
        <v>-76</v>
      </c>
      <c r="F38" s="69" t="n">
        <f aca="false">TblPop[[#This Row],[Peasants]]+TblPop[[#This Row],[Military]]</f>
        <v>5438</v>
      </c>
      <c r="G38" s="130" t="n">
        <f aca="false">TblPop[[#This Row],[Military]]/TblPop[[#This Row],[Total]]</f>
        <v>-0.013975726369989</v>
      </c>
      <c r="H38" s="95" t="n">
        <f aca="false">MIN(TblPop[[#This Row],[Peasants]],TblPop[[#This Row],[Jobs]])</f>
        <v>5514</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-76</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6581</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301</v>
      </c>
      <c r="X38" s="69" t="n">
        <f aca="false">ROUND(TblPop[[#This Row],[Raw Birth]]*(1+TblPop[[#This Row],[Growth]]),0)</f>
        <v>356</v>
      </c>
      <c r="Y38" s="69" t="n">
        <f aca="false">(TblPop[[#This Row],[Peasants]]-TblPop[[#This Row],[Draft Growth]])*raw_pop_growth</f>
        <v>163.77</v>
      </c>
      <c r="Z38" s="69" t="n">
        <f aca="false">IF(TblPop[[#This Row],[Military%]]&lt;TblMili[[#This Row],[Draftrate]],ROUND(TblPop[[#This Row],[Peasants]]*Constants!$B$55,0), 0)</f>
        <v>55</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Production!P38/100*prestige_pop_multiplier) + Production!P38/100*prestige_pop_multiplier</f>
        <v>0.07625</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5815</v>
      </c>
      <c r="D39" s="69" t="n">
        <f aca="false">TblMili[[#This Row],[Military]]</f>
        <v>-86</v>
      </c>
      <c r="E39" s="69" t="n">
        <f aca="false">TblMili[[#This Row],[Draftees]]</f>
        <v>-86</v>
      </c>
      <c r="F39" s="69" t="n">
        <f aca="false">TblPop[[#This Row],[Peasants]]+TblPop[[#This Row],[Military]]</f>
        <v>5729</v>
      </c>
      <c r="G39" s="130" t="n">
        <f aca="false">TblPop[[#This Row],[Military]]/TblPop[[#This Row],[Total]]</f>
        <v>-0.0150113457846046</v>
      </c>
      <c r="H39" s="95" t="n">
        <f aca="false">MIN(TblPop[[#This Row],[Peasants]],TblPop[[#This Row],[Jobs]])</f>
        <v>5815</v>
      </c>
      <c r="I39" s="130" t="n">
        <f aca="false">MIN(OFFSET(TblPop[[#This Row],[Jobs]],1,0)/TblPop[[#This Row],[Peasants]],1)</f>
        <v>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-86</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6657</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317</v>
      </c>
      <c r="X39" s="69" t="n">
        <f aca="false">ROUND(TblPop[[#This Row],[Raw Birth]]*(1+TblPop[[#This Row],[Growth]]),0)</f>
        <v>375</v>
      </c>
      <c r="Y39" s="69" t="n">
        <f aca="false">(TblPop[[#This Row],[Peasants]]-TblPop[[#This Row],[Draft Growth]])*raw_pop_growth</f>
        <v>172.71</v>
      </c>
      <c r="Z39" s="69" t="n">
        <f aca="false">IF(TblPop[[#This Row],[Military%]]&lt;TblMili[[#This Row],[Draftrate]],ROUND(TblPop[[#This Row],[Peasants]]*Constants!$B$55,0), 0)</f>
        <v>58</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Production!P39/100*prestige_pop_multiplier) + Production!P39/100*prestige_pop_multiplier</f>
        <v>0.07625</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6132</v>
      </c>
      <c r="D40" s="69" t="n">
        <f aca="false">TblMili[[#This Row],[Military]]</f>
        <v>-93</v>
      </c>
      <c r="E40" s="69" t="n">
        <f aca="false">TblMili[[#This Row],[Draftees]]</f>
        <v>-93</v>
      </c>
      <c r="F40" s="69" t="n">
        <f aca="false">TblPop[[#This Row],[Peasants]]+TblPop[[#This Row],[Military]]</f>
        <v>6039</v>
      </c>
      <c r="G40" s="130" t="n">
        <f aca="false">TblPop[[#This Row],[Military]]/TblPop[[#This Row],[Total]]</f>
        <v>-0.0153999006458023</v>
      </c>
      <c r="H40" s="95" t="n">
        <f aca="false">MIN(TblPop[[#This Row],[Peasants]],TblPop[[#This Row],[Jobs]])</f>
        <v>6132</v>
      </c>
      <c r="I40" s="130" t="n">
        <f aca="false">MIN(OFFSET(TblPop[[#This Row],[Jobs]],1,0)/TblPop[[#This Row],[Peasants]],1)</f>
        <v>1</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-93</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6764</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335</v>
      </c>
      <c r="X40" s="69" t="n">
        <f aca="false">ROUND(TblPop[[#This Row],[Raw Birth]]*(1+TblPop[[#This Row],[Growth]]),0)</f>
        <v>396</v>
      </c>
      <c r="Y40" s="69" t="n">
        <f aca="false">(TblPop[[#This Row],[Peasants]]-TblPop[[#This Row],[Draft Growth]])*raw_pop_growth</f>
        <v>182.13</v>
      </c>
      <c r="Z40" s="69" t="n">
        <f aca="false">IF(TblPop[[#This Row],[Military%]]&lt;TblMili[[#This Row],[Draftrate]],ROUND(TblPop[[#This Row],[Peasants]]*Constants!$B$55,0), 0)</f>
        <v>61</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Production!P40/100*prestige_pop_multiplier) + Production!P40/100*prestige_pop_multiplier</f>
        <v>0.07625</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6467</v>
      </c>
      <c r="D41" s="69" t="n">
        <f aca="false">TblMili[[#This Row],[Military]]</f>
        <v>-97</v>
      </c>
      <c r="E41" s="69" t="n">
        <f aca="false">TblMili[[#This Row],[Draftees]]</f>
        <v>-97</v>
      </c>
      <c r="F41" s="69" t="n">
        <f aca="false">TblPop[[#This Row],[Peasants]]+TblPop[[#This Row],[Military]]</f>
        <v>6370</v>
      </c>
      <c r="G41" s="130" t="n">
        <f aca="false">TblPop[[#This Row],[Military]]/TblPop[[#This Row],[Total]]</f>
        <v>-0.0152276295133438</v>
      </c>
      <c r="H41" s="95" t="n">
        <f aca="false">MIN(TblPop[[#This Row],[Peasants]],TblPop[[#This Row],[Jobs]])</f>
        <v>6235</v>
      </c>
      <c r="I41" s="130" t="n">
        <f aca="false">MIN(OFFSET(TblPop[[#This Row],[Jobs]],1,0)/TblPop[[#This Row],[Peasants]],1)</f>
        <v>0.964125560538117</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-97</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6764</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329</v>
      </c>
      <c r="X41" s="69" t="n">
        <f aca="false">ROUND(TblPop[[#This Row],[Raw Birth]]*(1+TblPop[[#This Row],[Growth]]),0)</f>
        <v>417</v>
      </c>
      <c r="Y41" s="69" t="n">
        <f aca="false">(TblPop[[#This Row],[Peasants]]-TblPop[[#This Row],[Draft Growth]])*raw_pop_growth</f>
        <v>192.06</v>
      </c>
      <c r="Z41" s="69" t="n">
        <f aca="false">IF(TblPop[[#This Row],[Military%]]&lt;TblMili[[#This Row],[Draftrate]],ROUND(TblPop[[#This Row],[Peasants]]*Constants!$B$55,0), 0)</f>
        <v>65</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Production!P41/100*prestige_pop_multiplier) + Production!P41/100*prestige_pop_multiplier</f>
        <v>0.07625</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6796</v>
      </c>
      <c r="D42" s="69" t="n">
        <f aca="false">TblMili[[#This Row],[Military]]</f>
        <v>-102</v>
      </c>
      <c r="E42" s="69" t="n">
        <f aca="false">TblMili[[#This Row],[Draftees]]</f>
        <v>-102</v>
      </c>
      <c r="F42" s="69" t="n">
        <f aca="false">TblPop[[#This Row],[Peasants]]+TblPop[[#This Row],[Military]]</f>
        <v>6694</v>
      </c>
      <c r="G42" s="130" t="n">
        <f aca="false">TblPop[[#This Row],[Military]]/TblPop[[#This Row],[Total]]</f>
        <v>-0.0152375261428145</v>
      </c>
      <c r="H42" s="95" t="n">
        <f aca="false">MIN(TblPop[[#This Row],[Peasants]],TblPop[[#This Row],[Jobs]])</f>
        <v>6235</v>
      </c>
      <c r="I42" s="130" t="n">
        <f aca="false">MIN(OFFSET(TblPop[[#This Row],[Jobs]],1,0)/TblPop[[#This Row],[Peasants]],1)</f>
        <v>0.91745144202472</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-102</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6764</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2</v>
      </c>
      <c r="X42" s="69" t="n">
        <f aca="false">ROUND(TblPop[[#This Row],[Raw Birth]]*(1+TblPop[[#This Row],[Growth]]),0)</f>
        <v>439</v>
      </c>
      <c r="Y42" s="69" t="n">
        <f aca="false">(TblPop[[#This Row],[Peasants]]-TblPop[[#This Row],[Draft Growth]])*raw_pop_growth</f>
        <v>201.84</v>
      </c>
      <c r="Z42" s="69" t="n">
        <f aca="false">IF(TblPop[[#This Row],[Military%]]&lt;TblMili[[#This Row],[Draftrate]],ROUND(TblPop[[#This Row],[Peasants]]*Constants!$B$55,0), 0)</f>
        <v>68</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Production!P42/100*prestige_pop_multiplier) + Production!P42/100*prestige_pop_multiplier</f>
        <v>0.07625</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6798</v>
      </c>
      <c r="D43" s="69" t="n">
        <f aca="false">TblMili[[#This Row],[Military]]</f>
        <v>-99</v>
      </c>
      <c r="E43" s="69" t="n">
        <f aca="false">TblMili[[#This Row],[Draftees]]</f>
        <v>-99</v>
      </c>
      <c r="F43" s="69" t="n">
        <f aca="false">TblPop[[#This Row],[Peasants]]+TblPop[[#This Row],[Military]]</f>
        <v>6699</v>
      </c>
      <c r="G43" s="130" t="n">
        <f aca="false">TblPop[[#This Row],[Military]]/TblPop[[#This Row],[Total]]</f>
        <v>-0.0147783251231527</v>
      </c>
      <c r="H43" s="95" t="n">
        <f aca="false">MIN(TblPop[[#This Row],[Peasants]],TblPop[[#This Row],[Jobs]])</f>
        <v>6235</v>
      </c>
      <c r="I43" s="130" t="n">
        <f aca="false">MIN(OFFSET(TblPop[[#This Row],[Jobs]],1,0)/TblPop[[#This Row],[Peasants]],1)</f>
        <v>0.917181523977641</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-99</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6764</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348</v>
      </c>
      <c r="X43" s="69" t="n">
        <f aca="false">ROUND(TblPop[[#This Row],[Raw Birth]]*(1+TblPop[[#This Row],[Growth]]),0)</f>
        <v>416</v>
      </c>
      <c r="Y43" s="69" t="n">
        <f aca="false">(TblPop[[#This Row],[Peasants]]-TblPop[[#This Row],[Draft Growth]])*raw_pop_growth</f>
        <v>201.9</v>
      </c>
      <c r="Z43" s="69" t="n">
        <f aca="false">IF(TblPop[[#This Row],[Military%]]&lt;TblMili[[#This Row],[Draftrate]],ROUND(TblPop[[#This Row],[Peasants]]*Constants!$B$55,0), 0)</f>
        <v>68</v>
      </c>
      <c r="AA43" s="132"/>
      <c r="AB43" s="109" t="n">
        <f aca="false">Overview!$I$16 + IF(Magic!AE43&gt;0,Constants!$F$78) + ROUND(6*(Construction!BM44+Construction!CK43)/IF(Explore!S44&gt;0,Construction!F44-20,Construction!F44),4) + tech_6_5_2*Techs!BJ43 + tech_8_4*Techs!BT43</f>
        <v>1.0629</v>
      </c>
      <c r="AC43" s="130" t="n">
        <f aca="false">(Overview!$I$15 + Imps!Z43+ tech_2_5*Techs!AB43 + tech_3_6*Techs!AM43 + tech_6_1*Techs!BJ43 + tech_6_5*Techs!BF43 + tech_7_3_2*Techs!BN43) * (1 + Production!P43/100*prestige_pop_multiplier) + Production!P43/100*prestige_pop_multiplier</f>
        <v>0.07625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7146</v>
      </c>
      <c r="D44" s="69" t="n">
        <f aca="false">TblMili[[#This Row],[Military]]</f>
        <v>-97</v>
      </c>
      <c r="E44" s="69" t="n">
        <f aca="false">TblMili[[#This Row],[Draftees]]</f>
        <v>-97</v>
      </c>
      <c r="F44" s="69" t="n">
        <f aca="false">TblPop[[#This Row],[Peasants]]+TblPop[[#This Row],[Military]]</f>
        <v>7049</v>
      </c>
      <c r="G44" s="130" t="n">
        <f aca="false">TblPop[[#This Row],[Military]]/TblPop[[#This Row],[Total]]</f>
        <v>-0.0137608171371826</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-97</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7205</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6695</v>
      </c>
      <c r="W44" s="69" t="n">
        <f aca="false">MAX(-5%*TblPop[[#This Row],[Peasants]]-TblPop[[#This Row],[Draft Growth]],MIN(OFFSET(TblPop[[#This Row],[Net max]],1,0)-TblPop[[#This Row],[Peasants]]-TblPop[[#This Row],[Military]]-TblPop[[#This Row],[Draft Growth]],TblPop[[#This Row],[Modded Birth]]-TblPop[[#This Row],[Draft Growth]]))</f>
        <v>365</v>
      </c>
      <c r="X44" s="69" t="n">
        <f aca="false">ROUND(TblPop[[#This Row],[Raw Birth]]*(1+TblPop[[#This Row],[Growth]]),0)</f>
        <v>436</v>
      </c>
      <c r="Y44" s="69" t="n">
        <f aca="false">(TblPop[[#This Row],[Peasants]]-TblPop[[#This Row],[Draft Growth]])*raw_pop_growth</f>
        <v>212.25</v>
      </c>
      <c r="Z44" s="69" t="n">
        <f aca="false">IF(TblPop[[#This Row],[Military%]]&lt;TblMili[[#This Row],[Draftrate]],ROUND(TblPop[[#This Row],[Peasants]]*Constants!$B$55,0), 0)</f>
        <v>71</v>
      </c>
      <c r="AA44" s="132"/>
      <c r="AB44" s="109" t="n">
        <f aca="false">Overview!$I$16 + IF(Magic!AE44&gt;0,Constants!$F$78) + ROUND(6*(Construction!BM45+Construction!CK44)/IF(Explore!S45&gt;0,Construction!F45-20,Construction!F45),4) + tech_6_5_2*Techs!BJ44 + tech_8_4*Techs!BT44</f>
        <v>1.0529</v>
      </c>
      <c r="AC44" s="130" t="n">
        <f aca="false">(Overview!$I$15 + Imps!Z44+ tech_2_5*Techs!AB44 + tech_3_6*Techs!AM44 + tech_6_1*Techs!BJ44 + tech_6_5*Techs!BF44 + tech_7_3_2*Techs!BN44) * (1 + Production!P44/100*prestige_pop_multiplier) + Production!P44/100*prestige_pop_multiplier</f>
        <v>0.07625</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7511</v>
      </c>
      <c r="D45" s="69" t="n">
        <f aca="false">TblMili[[#This Row],[Military]]</f>
        <v>-98</v>
      </c>
      <c r="E45" s="69" t="n">
        <f aca="false">TblMili[[#This Row],[Draftees]]</f>
        <v>-98</v>
      </c>
      <c r="F45" s="69" t="n">
        <f aca="false">TblPop[[#This Row],[Peasants]]+TblPop[[#This Row],[Military]]</f>
        <v>7413</v>
      </c>
      <c r="G45" s="130" t="n">
        <f aca="false">TblPop[[#This Row],[Military]]/TblPop[[#This Row],[Total]]</f>
        <v>-0.0132200188857413</v>
      </c>
      <c r="H45" s="95" t="n">
        <f aca="false">MIN(TblPop[[#This Row],[Peasants]],TblPop[[#This Row],[Jobs]])</f>
        <v>7511</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-98</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8136</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7560</v>
      </c>
      <c r="W45" s="69" t="n">
        <f aca="false">MAX(-5%*TblPop[[#This Row],[Peasants]]-TblPop[[#This Row],[Draft Growth]],MIN(OFFSET(TblPop[[#This Row],[Net max]],1,0)-TblPop[[#This Row],[Peasants]]-TblPop[[#This Row],[Military]]-TblPop[[#This Row],[Draft Growth]],TblPop[[#This Row],[Modded Birth]]-TblPop[[#This Row],[Draft Growth]]))</f>
        <v>381</v>
      </c>
      <c r="X45" s="69" t="n">
        <f aca="false">ROUND(TblPop[[#This Row],[Raw Birth]]*(1+TblPop[[#This Row],[Growth]]),0)</f>
        <v>456</v>
      </c>
      <c r="Y45" s="69" t="n">
        <f aca="false">(TblPop[[#This Row],[Peasants]]-TblPop[[#This Row],[Draft Growth]])*raw_pop_growth</f>
        <v>223.08</v>
      </c>
      <c r="Z45" s="69" t="n">
        <f aca="false">IF(TblPop[[#This Row],[Military%]]&lt;TblMili[[#This Row],[Draftrate]],ROUND(TblPop[[#This Row],[Peasants]]*Constants!$B$55,0), 0)</f>
        <v>75</v>
      </c>
      <c r="AA45" s="132"/>
      <c r="AB45" s="109" t="n">
        <f aca="false">Overview!$I$16 + IF(Magic!AE45&gt;0,Constants!$F$78) + ROUND(6*(Construction!BM46+Construction!CK45)/IF(Explore!S46&gt;0,Construction!F46-20,Construction!F46),4) + tech_6_5_2*Techs!BJ45 + tech_8_4*Techs!BT45</f>
        <v>1.0423</v>
      </c>
      <c r="AC45" s="130" t="n">
        <f aca="false">(Overview!$I$15 + Imps!Z45+ tech_2_5*Techs!AB45 + tech_3_6*Techs!AM45 + tech_6_1*Techs!BJ45 + tech_6_5*Techs!BF45 + tech_7_3_2*Techs!BN45) * (1 + Production!P45/100*prestige_pop_multiplier) + Production!P45/100*prestige_pop_multiplier</f>
        <v>0.07625</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7892</v>
      </c>
      <c r="D46" s="69" t="n">
        <f aca="false">TblMili[[#This Row],[Military]]</f>
        <v>-71</v>
      </c>
      <c r="E46" s="69" t="n">
        <f aca="false">TblMili[[#This Row],[Draftees]]</f>
        <v>-71</v>
      </c>
      <c r="F46" s="69" t="n">
        <f aca="false">TblPop[[#This Row],[Peasants]]+TblPop[[#This Row],[Military]]</f>
        <v>7821</v>
      </c>
      <c r="G46" s="130" t="n">
        <f aca="false">TblPop[[#This Row],[Military]]/TblPop[[#This Row],[Total]]</f>
        <v>-0.00907812300217364</v>
      </c>
      <c r="H46" s="95" t="n">
        <f aca="false">MIN(TblPop[[#This Row],[Peasants]],TblPop[[#This Row],[Jobs]])</f>
        <v>7865</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-71</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8287</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7700</v>
      </c>
      <c r="W46" s="69" t="n">
        <f aca="false">MAX(-5%*TblPop[[#This Row],[Peasants]]-TblPop[[#This Row],[Draft Growth]],MIN(OFFSET(TblPop[[#This Row],[Net max]],1,0)-TblPop[[#This Row],[Peasants]]-TblPop[[#This Row],[Military]]-TblPop[[#This Row],[Draft Growth]],TblPop[[#This Row],[Modded Birth]]-TblPop[[#This Row],[Draft Growth]]))</f>
        <v>397</v>
      </c>
      <c r="X46" s="69" t="n">
        <f aca="false">ROUND(TblPop[[#This Row],[Raw Birth]]*(1+TblPop[[#This Row],[Growth]]),0)</f>
        <v>476</v>
      </c>
      <c r="Y46" s="69" t="n">
        <f aca="false">(TblPop[[#This Row],[Peasants]]-TblPop[[#This Row],[Draft Growth]])*raw_pop_growth</f>
        <v>234.39</v>
      </c>
      <c r="Z46" s="69" t="n">
        <f aca="false">IF(TblPop[[#This Row],[Military%]]&lt;TblMili[[#This Row],[Draftrate]],ROUND(TblPop[[#This Row],[Peasants]]*Constants!$B$55,0), 0)</f>
        <v>79</v>
      </c>
      <c r="AA46" s="132"/>
      <c r="AB46" s="109" t="n">
        <f aca="false">Overview!$I$16 + IF(Magic!AE46&gt;0,Constants!$F$78) + ROUND(6*(Construction!BM47+Construction!CK46)/IF(Explore!S47&gt;0,Construction!F47-20,Construction!F47),4) + tech_6_5_2*Techs!BJ46 + tech_8_4*Techs!BT46</f>
        <v>1.0321</v>
      </c>
      <c r="AC46" s="130" t="n">
        <f aca="false">(Overview!$I$15 + Imps!Z46+ tech_2_5*Techs!AB46 + tech_3_6*Techs!AM46 + tech_6_1*Techs!BJ46 + tech_6_5*Techs!BF46 + tech_7_3_2*Techs!BN46) * (1 + Production!P46/100*prestige_pop_multiplier) + Production!P46/100*prestige_pop_multiplier</f>
        <v>0.07625</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8289</v>
      </c>
      <c r="D47" s="69" t="n">
        <f aca="false">TblMili[[#This Row],[Military]]</f>
        <v>8</v>
      </c>
      <c r="E47" s="69" t="n">
        <f aca="false">TblMili[[#This Row],[Draftees]]</f>
        <v>8</v>
      </c>
      <c r="F47" s="69" t="n">
        <f aca="false">TblPop[[#This Row],[Peasants]]+TblPop[[#This Row],[Military]]</f>
        <v>8297</v>
      </c>
      <c r="G47" s="130" t="n">
        <f aca="false">TblPop[[#This Row],[Military]]/TblPop[[#This Row],[Total]]</f>
        <v>0.000964203929131011</v>
      </c>
      <c r="H47" s="95" t="n">
        <f aca="false">MIN(TblPop[[#This Row],[Peasants]],TblPop[[#This Row],[Jobs]])</f>
        <v>8110</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8</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8449</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7850</v>
      </c>
      <c r="W47" s="69" t="n">
        <f aca="false">MAX(-5%*TblPop[[#This Row],[Peasants]]-TblPop[[#This Row],[Draft Growth]],MIN(OFFSET(TblPop[[#This Row],[Net max]],1,0)-TblPop[[#This Row],[Peasants]]-TblPop[[#This Row],[Military]]-TblPop[[#This Row],[Draft Growth]],TblPop[[#This Row],[Modded Birth]]-TblPop[[#This Row],[Draft Growth]]))</f>
        <v>230</v>
      </c>
      <c r="X47" s="69" t="n">
        <f aca="false">ROUND(TblPop[[#This Row],[Raw Birth]]*(1+TblPop[[#This Row],[Growth]]),0)</f>
        <v>498</v>
      </c>
      <c r="Y47" s="69" t="n">
        <f aca="false">(TblPop[[#This Row],[Peasants]]-TblPop[[#This Row],[Draft Growth]])*raw_pop_growth</f>
        <v>246.18</v>
      </c>
      <c r="Z47" s="69" t="n">
        <f aca="false">IF(TblPop[[#This Row],[Military%]]&lt;TblMili[[#This Row],[Draftrate]],ROUND(TblPop[[#This Row],[Peasants]]*Constants!$B$55,0), 0)</f>
        <v>83</v>
      </c>
      <c r="AA47" s="132"/>
      <c r="AB47" s="109" t="n">
        <f aca="false">Overview!$I$16 + IF(Magic!AE47&gt;0,Constants!$F$78) + ROUND(6*(Construction!BM48+Construction!CK47)/IF(Explore!S48&gt;0,Construction!F48-20,Construction!F48),4) + tech_6_5_2*Techs!BJ47 + tech_8_4*Techs!BT47</f>
        <v>1.0222</v>
      </c>
      <c r="AC47" s="130" t="n">
        <f aca="false">(Overview!$I$15 + Imps!Z47+ tech_2_5*Techs!AB47 + tech_3_6*Techs!AM47 + tech_6_1*Techs!BJ47 + tech_6_5*Techs!BF47 + tech_7_3_2*Techs!BN47) * (1 + Production!P47/100*prestige_pop_multiplier) + Production!P47/100*prestige_pop_multiplier</f>
        <v>0.07625</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8519</v>
      </c>
      <c r="D48" s="69" t="n">
        <f aca="false">TblMili[[#This Row],[Military]]</f>
        <v>91</v>
      </c>
      <c r="E48" s="69" t="n">
        <f aca="false">TblMili[[#This Row],[Draftees]]</f>
        <v>91</v>
      </c>
      <c r="F48" s="69" t="n">
        <f aca="false">TblPop[[#This Row],[Peasants]]+TblPop[[#This Row],[Military]]</f>
        <v>8610</v>
      </c>
      <c r="G48" s="130" t="n">
        <f aca="false">TblPop[[#This Row],[Military]]/TblPop[[#This Row],[Total]]</f>
        <v>0.0105691056910569</v>
      </c>
      <c r="H48" s="95" t="n">
        <f aca="false">MIN(TblPop[[#This Row],[Peasants]],TblPop[[#This Row],[Jobs]])</f>
        <v>8355</v>
      </c>
      <c r="I48" s="130" t="n">
        <f aca="false">MIN(OFFSET(TblPop[[#This Row],[Jobs]],1,0)/TblPop[[#This Row],[Peasants]],1)</f>
        <v>0.988378917713347</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91</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8610</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8000</v>
      </c>
      <c r="W48" s="69" t="n">
        <f aca="false">MAX(-5%*TblPop[[#This Row],[Peasants]]-TblPop[[#This Row],[Draft Growth]],MIN(OFFSET(TblPop[[#This Row],[Net max]],1,0)-TblPop[[#This Row],[Peasants]]-TblPop[[#This Row],[Military]]-TblPop[[#This Row],[Draft Growth]],TblPop[[#This Row],[Modded Birth]]-TblPop[[#This Row],[Draft Growth]]))</f>
        <v>82</v>
      </c>
      <c r="X48" s="69" t="n">
        <f aca="false">ROUND(TblPop[[#This Row],[Raw Birth]]*(1+TblPop[[#This Row],[Growth]]),0)</f>
        <v>509</v>
      </c>
      <c r="Y48" s="69" t="n">
        <f aca="false">(TblPop[[#This Row],[Peasants]]-TblPop[[#This Row],[Draft Growth]])*raw_pop_growth</f>
        <v>253.02</v>
      </c>
      <c r="Z48" s="69" t="n">
        <f aca="false">IF(TblPop[[#This Row],[Military%]]&lt;TblMili[[#This Row],[Draftrate]],ROUND(TblPop[[#This Row],[Peasants]]*Constants!$B$55,0), 0)</f>
        <v>85</v>
      </c>
      <c r="AA48" s="132"/>
      <c r="AB48" s="109" t="n">
        <f aca="false">Overview!$I$16 + IF(Magic!AE48&gt;0,Constants!$F$78) + ROUND(6*(Construction!BM49+Construction!CK48)/IF(Explore!S49&gt;0,Construction!F49-20,Construction!F49),4) + tech_6_5_2*Techs!BJ48 + tech_8_4*Techs!BT48</f>
        <v>1.0118</v>
      </c>
      <c r="AC48" s="130" t="n">
        <f aca="false">(Overview!$I$15 + Imps!Z48+ tech_2_5*Techs!AB48 + tech_3_6*Techs!AM48 + tech_6_1*Techs!BJ48 + tech_6_5*Techs!BF48 + tech_7_3_2*Techs!BN48) * (1 + Production!P48/100*prestige_pop_multiplier) + Production!P48/100*prestige_pop_multiplier</f>
        <v>0.07625</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8601</v>
      </c>
      <c r="D49" s="69" t="n">
        <f aca="false">TblMili[[#This Row],[Military]]</f>
        <v>176</v>
      </c>
      <c r="E49" s="69" t="n">
        <f aca="false">TblMili[[#This Row],[Draftees]]</f>
        <v>176</v>
      </c>
      <c r="F49" s="69" t="n">
        <f aca="false">TblPop[[#This Row],[Peasants]]+TblPop[[#This Row],[Military]]</f>
        <v>8777</v>
      </c>
      <c r="G49" s="130" t="n">
        <f aca="false">TblPop[[#This Row],[Military]]/TblPop[[#This Row],[Total]]</f>
        <v>0.0200524097071892</v>
      </c>
      <c r="H49" s="95" t="n">
        <f aca="false">MIN(TblPop[[#This Row],[Peasants]],TblPop[[#This Row],[Jobs]])</f>
        <v>8420</v>
      </c>
      <c r="I49" s="130" t="n">
        <f aca="false">MIN(OFFSET(TblPop[[#This Row],[Jobs]],1,0)/TblPop[[#This Row],[Peasants]],1)</f>
        <v>0.984187885129636</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176</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8777</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8155</v>
      </c>
      <c r="W49" s="69" t="n">
        <f aca="false">MAX(-5%*TblPop[[#This Row],[Peasants]]-TblPop[[#This Row],[Draft Growth]],MIN(OFFSET(TblPop[[#This Row],[Net max]],1,0)-TblPop[[#This Row],[Peasants]]-TblPop[[#This Row],[Military]]-TblPop[[#This Row],[Draft Growth]],TblPop[[#This Row],[Modded Birth]]-TblPop[[#This Row],[Draft Growth]]))</f>
        <v>97</v>
      </c>
      <c r="X49" s="69" t="n">
        <f aca="false">ROUND(TblPop[[#This Row],[Raw Birth]]*(1+TblPop[[#This Row],[Growth]]),0)</f>
        <v>511</v>
      </c>
      <c r="Y49" s="69" t="n">
        <f aca="false">(TblPop[[#This Row],[Peasants]]-TblPop[[#This Row],[Draft Growth]])*raw_pop_growth</f>
        <v>255.45</v>
      </c>
      <c r="Z49" s="69" t="n">
        <f aca="false">IF(TblPop[[#This Row],[Military%]]&lt;TblMili[[#This Row],[Draftrate]],ROUND(TblPop[[#This Row],[Peasants]]*Constants!$B$55,0), 0)</f>
        <v>86</v>
      </c>
      <c r="AA49" s="132"/>
      <c r="AB49" s="109" t="n">
        <f aca="false">Overview!$I$16 + IF(Magic!AE49&gt;0,Constants!$F$78) + ROUND(6*(Construction!BM50+Construction!CK49)/IF(Explore!S50&gt;0,Construction!F50-20,Construction!F50),4) + tech_6_5_2*Techs!BJ49 + tech_8_4*Techs!BT49</f>
        <v>1.0009</v>
      </c>
      <c r="AC49" s="130" t="n">
        <f aca="false">(Overview!$I$15 + Imps!Z49+ tech_2_5*Techs!AB49 + tech_3_6*Techs!AM49 + tech_6_1*Techs!BJ49 + tech_6_5*Techs!BF49 + tech_7_3_2*Techs!BN49) * (1 + Production!P49/100*prestige_pop_multiplier) + Production!P49/100*prestige_pop_multiplier</f>
        <v>0.07625</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8698</v>
      </c>
      <c r="D50" s="69" t="n">
        <f aca="false">TblMili[[#This Row],[Military]]</f>
        <v>262</v>
      </c>
      <c r="E50" s="69" t="n">
        <f aca="false">TblMili[[#This Row],[Draftees]]</f>
        <v>262</v>
      </c>
      <c r="F50" s="69" t="n">
        <f aca="false">TblPop[[#This Row],[Peasants]]+TblPop[[#This Row],[Military]]</f>
        <v>8960</v>
      </c>
      <c r="G50" s="130" t="n">
        <f aca="false">TblPop[[#This Row],[Military]]/TblPop[[#This Row],[Total]]</f>
        <v>0.0292410714285714</v>
      </c>
      <c r="H50" s="95" t="n">
        <f aca="false">MIN(TblPop[[#This Row],[Peasants]],TblPop[[#This Row],[Jobs]])</f>
        <v>8465</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262</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8960</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8325</v>
      </c>
      <c r="W50" s="69" t="n">
        <f aca="false">MAX(-5%*TblPop[[#This Row],[Peasants]]-TblPop[[#This Row],[Draft Growth]],MIN(OFFSET(TblPop[[#This Row],[Net max]],1,0)-TblPop[[#This Row],[Peasants]]-TblPop[[#This Row],[Military]]-TblPop[[#This Row],[Draft Growth]],TblPop[[#This Row],[Modded Birth]]-TblPop[[#This Row],[Draft Growth]]))</f>
        <v>112</v>
      </c>
      <c r="X50" s="69" t="n">
        <f aca="false">ROUND(TblPop[[#This Row],[Raw Birth]]*(1+TblPop[[#This Row],[Growth]]),0)</f>
        <v>514</v>
      </c>
      <c r="Y50" s="69" t="n">
        <f aca="false">(TblPop[[#This Row],[Peasants]]-TblPop[[#This Row],[Draft Growth]])*raw_pop_growth</f>
        <v>258.33</v>
      </c>
      <c r="Z50" s="69" t="n">
        <f aca="false">IF(TblPop[[#This Row],[Military%]]&lt;TblMili[[#This Row],[Draftrate]],ROUND(TblPop[[#This Row],[Peasants]]*Constants!$B$55,0), 0)</f>
        <v>87</v>
      </c>
      <c r="AA50" s="132"/>
      <c r="AB50" s="109" t="n">
        <f aca="false">Overview!$I$16 + IF(Magic!AE50&gt;0,Constants!$F$78) + ROUND(6*(Construction!BM51+Construction!CK50)/IF(Explore!S51&gt;0,Construction!F51-20,Construction!F51),4) + tech_6_5_2*Techs!BJ50 + tech_8_4*Techs!BT50</f>
        <v>0.9896</v>
      </c>
      <c r="AC50" s="130" t="n">
        <f aca="false">(Overview!$I$15 + Imps!Z50+ tech_2_5*Techs!AB50 + tech_3_6*Techs!AM50 + tech_6_1*Techs!BJ50 + tech_6_5*Techs!BF50 + tech_7_3_2*Techs!BN50) * (1 + Production!P50/100*prestige_pop_multiplier) + Production!P50/100*prestige_pop_multiplier</f>
        <v>0.07625</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8810</v>
      </c>
      <c r="D51" s="69" t="n">
        <f aca="false">TblMili[[#This Row],[Military]]</f>
        <v>349</v>
      </c>
      <c r="E51" s="69" t="n">
        <f aca="false">TblMili[[#This Row],[Draftees]]</f>
        <v>349</v>
      </c>
      <c r="F51" s="69" t="n">
        <f aca="false">TblPop[[#This Row],[Peasants]]+TblPop[[#This Row],[Military]]</f>
        <v>9159</v>
      </c>
      <c r="G51" s="130" t="n">
        <f aca="false">TblPop[[#This Row],[Military]]/TblPop[[#This Row],[Total]]</f>
        <v>0.0381045965716781</v>
      </c>
      <c r="H51" s="95" t="n">
        <f aca="false">MIN(TblPop[[#This Row],[Peasants]],TblPop[[#This Row],[Jobs]])</f>
        <v>8715</v>
      </c>
      <c r="I51" s="130" t="n">
        <f aca="false">MIN(OFFSET(TblPop[[#This Row],[Jobs]],1,0)/TblPop[[#This Row],[Peasants]],1)</f>
        <v>0.989216799091941</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349</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9159</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8510</v>
      </c>
      <c r="W51" s="69" t="n">
        <f aca="false">MAX(-5%*TblPop[[#This Row],[Peasants]]-TblPop[[#This Row],[Draft Growth]],MIN(OFFSET(TblPop[[#This Row],[Net max]],1,0)-TblPop[[#This Row],[Peasants]]-TblPop[[#This Row],[Military]]-TblPop[[#This Row],[Draft Growth]],TblPop[[#This Row],[Modded Birth]]-TblPop[[#This Row],[Draft Growth]]))</f>
        <v>426</v>
      </c>
      <c r="X51" s="69" t="n">
        <f aca="false">ROUND(TblPop[[#This Row],[Raw Birth]]*(1+TblPop[[#This Row],[Growth]]),0)</f>
        <v>514</v>
      </c>
      <c r="Y51" s="69" t="n">
        <f aca="false">(TblPop[[#This Row],[Peasants]]-TblPop[[#This Row],[Draft Growth]])*raw_pop_growth</f>
        <v>261.66</v>
      </c>
      <c r="Z51" s="69" t="n">
        <f aca="false">IF(TblPop[[#This Row],[Military%]]&lt;TblMili[[#This Row],[Draftrate]],ROUND(TblPop[[#This Row],[Peasants]]*Constants!$B$55,0), 0)</f>
        <v>88</v>
      </c>
      <c r="AA51" s="132"/>
      <c r="AB51" s="109" t="n">
        <f aca="false">Overview!$I$16 + IF(Magic!AE51&gt;0,Constants!$F$78) + ROUND(6*(Construction!BM52+Construction!CK51)/IF(Explore!S52&gt;0,Construction!F52-20,Construction!F52),4) + tech_6_5_2*Techs!BJ51 + tech_8_4*Techs!BT51</f>
        <v>0.9631</v>
      </c>
      <c r="AC51" s="130" t="n">
        <f aca="false">(Overview!$I$15 + Imps!Z51+ tech_2_5*Techs!AB51 + tech_3_6*Techs!AM51 + tech_6_1*Techs!BJ51 + tech_6_5*Techs!BF51 + tech_7_3_2*Techs!BN51) * (1 + Production!P51/100*prestige_pop_multiplier) + Production!P51/100*prestige_pop_multiplier</f>
        <v>0.07625</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9236</v>
      </c>
      <c r="D52" s="69" t="n">
        <f aca="false">TblMili[[#This Row],[Military]]</f>
        <v>437</v>
      </c>
      <c r="E52" s="69" t="n">
        <f aca="false">TblMili[[#This Row],[Draftees]]</f>
        <v>437</v>
      </c>
      <c r="F52" s="69" t="n">
        <f aca="false">TblPop[[#This Row],[Peasants]]+TblPop[[#This Row],[Military]]</f>
        <v>9673</v>
      </c>
      <c r="G52" s="130" t="n">
        <f aca="false">TblPop[[#This Row],[Military]]/TblPop[[#This Row],[Total]]</f>
        <v>0.0451772976325855</v>
      </c>
      <c r="H52" s="95" t="n">
        <f aca="false">MIN(TblPop[[#This Row],[Peasants]],TblPop[[#This Row],[Jobs]])</f>
        <v>8715</v>
      </c>
      <c r="I52" s="130" t="n">
        <f aca="false">MIN(OFFSET(TblPop[[#This Row],[Jobs]],1,0)/TblPop[[#This Row],[Peasants]],1)</f>
        <v>0.943590298830663</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437</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9692</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9005</v>
      </c>
      <c r="W52" s="69" t="n">
        <f aca="false">MAX(-5%*TblPop[[#This Row],[Peasants]]-TblPop[[#This Row],[Draft Growth]],MIN(OFFSET(TblPop[[#This Row],[Net max]],1,0)-TblPop[[#This Row],[Peasants]]-TblPop[[#This Row],[Military]]-TblPop[[#This Row],[Draft Growth]],TblPop[[#This Row],[Modded Birth]]-TblPop[[#This Row],[Draft Growth]]))</f>
        <v>440</v>
      </c>
      <c r="X52" s="69" t="n">
        <f aca="false">ROUND(TblPop[[#This Row],[Raw Birth]]*(1+TblPop[[#This Row],[Growth]]),0)</f>
        <v>532</v>
      </c>
      <c r="Y52" s="69" t="n">
        <f aca="false">(TblPop[[#This Row],[Peasants]]-TblPop[[#This Row],[Draft Growth]])*raw_pop_growth</f>
        <v>274.32</v>
      </c>
      <c r="Z52" s="69" t="n">
        <f aca="false">IF(TblPop[[#This Row],[Military%]]&lt;TblMili[[#This Row],[Draftrate]],ROUND(TblPop[[#This Row],[Peasants]]*Constants!$B$55,0), 0)</f>
        <v>92</v>
      </c>
      <c r="AA52" s="132"/>
      <c r="AB52" s="109" t="n">
        <f aca="false">Overview!$I$16 + IF(Magic!AE52&gt;0,Constants!$F$78) + ROUND(6*(Construction!BM53+Construction!CK52)/IF(Explore!S53&gt;0,Construction!F53-20,Construction!F53),4) + tech_6_5_2*Techs!BJ52 + tech_8_4*Techs!BT52</f>
        <v>0.9393</v>
      </c>
      <c r="AC52" s="130" t="n">
        <f aca="false">(Overview!$I$15 + Imps!Z52+ tech_2_5*Techs!AB52 + tech_3_6*Techs!AM52 + tech_6_1*Techs!BJ52 + tech_6_5*Techs!BF52 + tech_7_3_2*Techs!BN52) * (1 + Production!P52/100*prestige_pop_multiplier) + Production!P52/100*prestige_pop_multiplier</f>
        <v>0.07625</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9676</v>
      </c>
      <c r="D53" s="69" t="n">
        <f aca="false">TblMili[[#This Row],[Military]]</f>
        <v>529</v>
      </c>
      <c r="E53" s="69" t="n">
        <f aca="false">TblMili[[#This Row],[Draftees]]</f>
        <v>529</v>
      </c>
      <c r="F53" s="69" t="n">
        <f aca="false">TblPop[[#This Row],[Peasants]]+TblPop[[#This Row],[Military]]</f>
        <v>10205</v>
      </c>
      <c r="G53" s="130" t="n">
        <f aca="false">TblPop[[#This Row],[Military]]/TblPop[[#This Row],[Total]]</f>
        <v>0.0518373346398824</v>
      </c>
      <c r="H53" s="95" t="n">
        <f aca="false">MIN(TblPop[[#This Row],[Peasants]],TblPop[[#This Row],[Jobs]])</f>
        <v>8715</v>
      </c>
      <c r="I53" s="130" t="n">
        <f aca="false">MIN(OFFSET(TblPop[[#This Row],[Jobs]],1,0)/TblPop[[#This Row],[Peasants]],1)</f>
        <v>0.900682100041339</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529</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10224</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9500</v>
      </c>
      <c r="W53" s="69" t="n">
        <f aca="false">MAX(-5%*TblPop[[#This Row],[Peasants]]-TblPop[[#This Row],[Draft Growth]],MIN(OFFSET(TblPop[[#This Row],[Net max]],1,0)-TblPop[[#This Row],[Peasants]]-TblPop[[#This Row],[Military]]-TblPop[[#This Row],[Draft Growth]],TblPop[[#This Row],[Modded Birth]]-TblPop[[#This Row],[Draft Growth]]))</f>
        <v>138</v>
      </c>
      <c r="X53" s="69" t="n">
        <f aca="false">ROUND(TblPop[[#This Row],[Raw Birth]]*(1+TblPop[[#This Row],[Growth]]),0)</f>
        <v>411</v>
      </c>
      <c r="Y53" s="69" t="n">
        <f aca="false">(TblPop[[#This Row],[Peasants]]-TblPop[[#This Row],[Draft Growth]])*raw_pop_growth</f>
        <v>287.37</v>
      </c>
      <c r="Z53" s="69" t="n">
        <f aca="false">IF(TblPop[[#This Row],[Military%]]&lt;TblMili[[#This Row],[Draftrate]],ROUND(TblPop[[#This Row],[Peasants]]*Constants!$B$55,0), 0)</f>
        <v>97</v>
      </c>
      <c r="AA53" s="132"/>
      <c r="AB53" s="109" t="n">
        <f aca="false">Overview!$I$16 + IF(Magic!AE53&gt;0,Constants!$F$78) + ROUND(6*(Construction!BM54+Construction!CK53)/IF(Explore!S54&gt;0,Construction!F54-20,Construction!F54),4) + tech_6_5_2*Techs!BJ53 + tech_8_4*Techs!BT53</f>
        <v>0.4299</v>
      </c>
      <c r="AC53" s="130" t="n">
        <f aca="false">(Overview!$I$15 + Imps!Z53+ tech_2_5*Techs!AB53 + tech_3_6*Techs!AM53 + tech_6_1*Techs!BJ53 + tech_6_5*Techs!BF53 + tech_7_3_2*Techs!BN53) * (1 + Production!P53/100*prestige_pop_multiplier) + Production!P53/100*prestige_pop_multiplier</f>
        <v>0.07625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9814</v>
      </c>
      <c r="D54" s="69" t="n">
        <f aca="false">TblMili[[#This Row],[Military]]</f>
        <v>626</v>
      </c>
      <c r="E54" s="69" t="n">
        <f aca="false">TblMili[[#This Row],[Draftees]]</f>
        <v>626</v>
      </c>
      <c r="F54" s="69" t="n">
        <f aca="false">TblPop[[#This Row],[Peasants]]+TblPop[[#This Row],[Military]]</f>
        <v>10440</v>
      </c>
      <c r="G54" s="130" t="n">
        <f aca="false">TblPop[[#This Row],[Military]]/TblPop[[#This Row],[Total]]</f>
        <v>0.0599616858237548</v>
      </c>
      <c r="H54" s="95" t="n">
        <f aca="false">MIN(TblPop[[#This Row],[Peasants]],TblPop[[#This Row],[Jobs]])</f>
        <v>8715</v>
      </c>
      <c r="I54" s="130" t="n">
        <f aca="false">MIN(OFFSET(TblPop[[#This Row],[Jobs]],1,0)/TblPop[[#This Row],[Peasants]],1)</f>
        <v>0.888017118402283</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626</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10440</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9700</v>
      </c>
      <c r="W54" s="69" t="n">
        <f aca="false">MAX(-5%*TblPop[[#This Row],[Peasants]]-TblPop[[#This Row],[Draft Growth]],MIN(OFFSET(TblPop[[#This Row],[Net max]],1,0)-TblPop[[#This Row],[Peasants]]-TblPop[[#This Row],[Military]]-TblPop[[#This Row],[Draft Growth]],TblPop[[#This Row],[Modded Birth]]-TblPop[[#This Row],[Draft Growth]]))</f>
        <v>122</v>
      </c>
      <c r="X54" s="69" t="n">
        <f aca="false">ROUND(TblPop[[#This Row],[Raw Birth]]*(1+TblPop[[#This Row],[Growth]]),0)</f>
        <v>414</v>
      </c>
      <c r="Y54" s="69" t="n">
        <f aca="false">(TblPop[[#This Row],[Peasants]]-TblPop[[#This Row],[Draft Growth]])*raw_pop_growth</f>
        <v>291.48</v>
      </c>
      <c r="Z54" s="69" t="n">
        <f aca="false">IF(TblPop[[#This Row],[Military%]]&lt;TblMili[[#This Row],[Draftrate]],ROUND(TblPop[[#This Row],[Peasants]]*Constants!$B$55,0), 0)</f>
        <v>98</v>
      </c>
      <c r="AA54" s="132"/>
      <c r="AB54" s="109" t="n">
        <f aca="false">Overview!$I$16 + IF(Magic!AE54&gt;0,Constants!$F$78) + ROUND(6*(Construction!BM55+Construction!CK54)/IF(Explore!S55&gt;0,Construction!F55-20,Construction!F55),4) + tech_6_5_2*Techs!BJ54 + tech_8_4*Techs!BT54</f>
        <v>0.4215</v>
      </c>
      <c r="AC54" s="130" t="n">
        <f aca="false">(Overview!$I$15 + Imps!Z54+ tech_2_5*Techs!AB54 + tech_3_6*Techs!AM54 + tech_6_1*Techs!BJ54 + tech_6_5*Techs!BF54 + tech_7_3_2*Techs!BN54) * (1 + Production!P54/100*prestige_pop_multiplier) + Production!P54/100*prestige_pop_multiplier</f>
        <v>0.07625</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9936</v>
      </c>
      <c r="D55" s="69" t="n">
        <f aca="false">TblMili[[#This Row],[Military]]</f>
        <v>724</v>
      </c>
      <c r="E55" s="69" t="n">
        <f aca="false">TblMili[[#This Row],[Draftees]]</f>
        <v>724</v>
      </c>
      <c r="F55" s="69" t="n">
        <f aca="false">TblPop[[#This Row],[Peasants]]+TblPop[[#This Row],[Military]]</f>
        <v>10660</v>
      </c>
      <c r="G55" s="130" t="n">
        <f aca="false">TblPop[[#This Row],[Military]]/TblPop[[#This Row],[Total]]</f>
        <v>0.0679174484052533</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724</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10660</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9905</v>
      </c>
      <c r="W55" s="69" t="n">
        <f aca="false">MAX(-5%*TblPop[[#This Row],[Peasants]]-TblPop[[#This Row],[Draft Growth]],MIN(OFFSET(TblPop[[#This Row],[Net max]],1,0)-TblPop[[#This Row],[Peasants]]-TblPop[[#This Row],[Military]]-TblPop[[#This Row],[Draft Growth]],TblPop[[#This Row],[Modded Birth]]-TblPop[[#This Row],[Draft Growth]]))</f>
        <v>100</v>
      </c>
      <c r="X55" s="69" t="n">
        <f aca="false">ROUND(TblPop[[#This Row],[Raw Birth]]*(1+TblPop[[#This Row],[Growth]]),0)</f>
        <v>417</v>
      </c>
      <c r="Y55" s="69" t="n">
        <f aca="false">(TblPop[[#This Row],[Peasants]]-TblPop[[#This Row],[Draft Growth]])*raw_pop_growth</f>
        <v>295.11</v>
      </c>
      <c r="Z55" s="69" t="n">
        <f aca="false">IF(TblPop[[#This Row],[Military%]]&lt;TblMili[[#This Row],[Draftrate]],ROUND(TblPop[[#This Row],[Peasants]]*Constants!$B$55,0), 0)</f>
        <v>99</v>
      </c>
      <c r="AA55" s="132"/>
      <c r="AB55" s="109" t="n">
        <f aca="false">Overview!$I$16 + IF(Magic!AE55&gt;0,Constants!$F$78) + ROUND(6*(Construction!BM56+Construction!CK55)/IF(Explore!S56&gt;0,Construction!F56-20,Construction!F56),4) + tech_6_5_2*Techs!BJ55 + tech_8_4*Techs!BT55</f>
        <v>0.4147</v>
      </c>
      <c r="AC55" s="130" t="n">
        <f aca="false">(Overview!$I$15 + Imps!Z55+ tech_2_5*Techs!AB55 + tech_3_6*Techs!AM55 + tech_6_1*Techs!BJ55 + tech_6_5*Techs!BF55 + tech_7_3_2*Techs!BN55) * (1 + Production!P55/100*prestige_pop_multiplier) + Production!P55/100*prestige_pop_multiplier</f>
        <v>0.07625</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10036</v>
      </c>
      <c r="D56" s="69" t="n">
        <f aca="false">TblMili[[#This Row],[Military]]</f>
        <v>823</v>
      </c>
      <c r="E56" s="69" t="n">
        <f aca="false">TblMili[[#This Row],[Draftees]]</f>
        <v>823</v>
      </c>
      <c r="F56" s="69" t="n">
        <f aca="false">TblPop[[#This Row],[Peasants]]+TblPop[[#This Row],[Military]]</f>
        <v>10859</v>
      </c>
      <c r="G56" s="130" t="n">
        <f aca="false">TblPop[[#This Row],[Military]]/TblPop[[#This Row],[Total]]</f>
        <v>0.0757896675568653</v>
      </c>
      <c r="H56" s="95" t="n">
        <f aca="false">MIN(TblPop[[#This Row],[Peasants]],TblPop[[#This Row],[Jobs]])</f>
        <v>10036</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823</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10859</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10090</v>
      </c>
      <c r="W56" s="69" t="n">
        <f aca="false">MAX(-5%*TblPop[[#This Row],[Peasants]]-TblPop[[#This Row],[Draft Growth]],MIN(OFFSET(TblPop[[#This Row],[Net max]],1,0)-TblPop[[#This Row],[Peasants]]-TblPop[[#This Row],[Military]]-TblPop[[#This Row],[Draft Growth]],TblPop[[#This Row],[Modded Birth]]-TblPop[[#This Row],[Draft Growth]]))</f>
        <v>83</v>
      </c>
      <c r="X56" s="69" t="n">
        <f aca="false">ROUND(TblPop[[#This Row],[Raw Birth]]*(1+TblPop[[#This Row],[Growth]]),0)</f>
        <v>420</v>
      </c>
      <c r="Y56" s="69" t="n">
        <f aca="false">(TblPop[[#This Row],[Peasants]]-TblPop[[#This Row],[Draft Growth]])*raw_pop_growth</f>
        <v>298.08</v>
      </c>
      <c r="Z56" s="69" t="n">
        <f aca="false">IF(TblPop[[#This Row],[Military%]]&lt;TblMili[[#This Row],[Draftrate]],ROUND(TblPop[[#This Row],[Peasants]]*Constants!$B$55,0), 0)</f>
        <v>100</v>
      </c>
      <c r="AA56" s="132"/>
      <c r="AB56" s="109" t="n">
        <f aca="false">Overview!$I$16 + IF(Magic!AE56&gt;0,Constants!$F$78) + ROUND(6*(Construction!BM57+Construction!CK56)/IF(Explore!S57&gt;0,Construction!F57-20,Construction!F57),4) + tech_6_5_2*Techs!BJ56 + tech_8_4*Techs!BT56</f>
        <v>0.4075</v>
      </c>
      <c r="AC56" s="130" t="n">
        <f aca="false">(Overview!$I$15 + Imps!Z56+ tech_2_5*Techs!AB56 + tech_3_6*Techs!AM56 + tech_6_1*Techs!BJ56 + tech_6_5*Techs!BF56 + tech_7_3_2*Techs!BN56) * (1 + Production!P56/100*prestige_pop_multiplier) + Production!P56/100*prestige_pop_multiplier</f>
        <v>0.07625</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10119</v>
      </c>
      <c r="D57" s="69" t="n">
        <f aca="false">TblMili[[#This Row],[Military]]</f>
        <v>923</v>
      </c>
      <c r="E57" s="69" t="n">
        <f aca="false">TblMili[[#This Row],[Draftees]]</f>
        <v>923</v>
      </c>
      <c r="F57" s="69" t="n">
        <f aca="false">TblPop[[#This Row],[Peasants]]+TblPop[[#This Row],[Military]]</f>
        <v>11042</v>
      </c>
      <c r="G57" s="130" t="n">
        <f aca="false">TblPop[[#This Row],[Military]]/TblPop[[#This Row],[Total]]</f>
        <v>0.0835899293606231</v>
      </c>
      <c r="H57" s="95" t="n">
        <f aca="false">MIN(TblPop[[#This Row],[Peasants]],TblPop[[#This Row],[Jobs]])</f>
        <v>10119</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923</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11042</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57" s="69" t="n">
        <f aca="false">MAX(-5%*TblPop[[#This Row],[Peasants]]-TblPop[[#This Row],[Draft Growth]],MIN(OFFSET(TblPop[[#This Row],[Net max]],1,0)-TblPop[[#This Row],[Peasants]]-TblPop[[#This Row],[Military]]-TblPop[[#This Row],[Draft Growth]],TblPop[[#This Row],[Modded Birth]]-TblPop[[#This Row],[Draft Growth]]))</f>
        <v>72</v>
      </c>
      <c r="X57" s="69" t="n">
        <f aca="false">ROUND(TblPop[[#This Row],[Raw Birth]]*(1+TblPop[[#This Row],[Growth]]),0)</f>
        <v>422</v>
      </c>
      <c r="Y57" s="69" t="n">
        <f aca="false">(TblPop[[#This Row],[Peasants]]-TblPop[[#This Row],[Draft Growth]])*raw_pop_growth</f>
        <v>300.54</v>
      </c>
      <c r="Z57" s="69" t="n">
        <f aca="false">IF(TblPop[[#This Row],[Military%]]&lt;TblMili[[#This Row],[Draftrate]],ROUND(TblPop[[#This Row],[Peasants]]*Constants!$B$55,0), 0)</f>
        <v>101</v>
      </c>
      <c r="AA57" s="132"/>
      <c r="AB57" s="109" t="n">
        <f aca="false">Overview!$I$16 + IF(Magic!AE57&gt;0,Constants!$F$78) + ROUND(6*(Construction!BM58+Construction!CK57)/IF(Explore!S58&gt;0,Construction!F58-20,Construction!F58),4) + tech_6_5_2*Techs!BJ57 + tech_8_4*Techs!BT57</f>
        <v>0.4029</v>
      </c>
      <c r="AC57" s="130" t="n">
        <f aca="false">(Overview!$I$15 + Imps!Z57+ tech_2_5*Techs!AB57 + tech_3_6*Techs!AM57 + tech_6_1*Techs!BJ57 + tech_6_5*Techs!BF57 + tech_7_3_2*Techs!BN57) * (1 + Production!P57/100*prestige_pop_multiplier) + Production!P57/100*prestige_pop_multiplier</f>
        <v>0.07625</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10191</v>
      </c>
      <c r="D58" s="69" t="n">
        <f aca="false">TblMili[[#This Row],[Military]]</f>
        <v>1024</v>
      </c>
      <c r="E58" s="69" t="n">
        <f aca="false">TblMili[[#This Row],[Draftees]]</f>
        <v>1024</v>
      </c>
      <c r="F58" s="69" t="n">
        <f aca="false">TblPop[[#This Row],[Peasants]]+TblPop[[#This Row],[Military]]</f>
        <v>11215</v>
      </c>
      <c r="G58" s="130" t="n">
        <f aca="false">TblPop[[#This Row],[Military]]/TblPop[[#This Row],[Total]]</f>
        <v>0.0913062862238074</v>
      </c>
      <c r="H58" s="95" t="n">
        <f aca="false">MIN(TblPop[[#This Row],[Peasants]],TblPop[[#This Row],[Jobs]])</f>
        <v>10191</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1024</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11215</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10420</v>
      </c>
      <c r="W58" s="69" t="n">
        <f aca="false">MAX(-5%*TblPop[[#This Row],[Peasants]]-TblPop[[#This Row],[Draft Growth]],MIN(OFFSET(TblPop[[#This Row],[Net max]],1,0)-TblPop[[#This Row],[Peasants]]-TblPop[[#This Row],[Military]]-TblPop[[#This Row],[Draft Growth]],TblPop[[#This Row],[Modded Birth]]-TblPop[[#This Row],[Draft Growth]]))</f>
        <v>-16</v>
      </c>
      <c r="X58" s="69" t="n">
        <f aca="false">ROUND(TblPop[[#This Row],[Raw Birth]]*(1+TblPop[[#This Row],[Growth]]),0)</f>
        <v>425</v>
      </c>
      <c r="Y58" s="69" t="n">
        <f aca="false">(TblPop[[#This Row],[Peasants]]-TblPop[[#This Row],[Draft Growth]])*raw_pop_growth</f>
        <v>302.67</v>
      </c>
      <c r="Z58" s="69" t="n">
        <f aca="false">IF(TblPop[[#This Row],[Military%]]&lt;TblMili[[#This Row],[Draftrate]],ROUND(TblPop[[#This Row],[Peasants]]*Constants!$B$55,0), 0)</f>
        <v>102</v>
      </c>
      <c r="AA58" s="132"/>
      <c r="AB58" s="109" t="n">
        <f aca="false">Overview!$I$16 + IF(Magic!AE58&gt;0,Constants!$F$78) + ROUND(6*(Construction!BM59+Construction!CK58)/IF(Explore!S59&gt;0,Construction!F59-20,Construction!F59),4) + tech_6_5_2*Techs!BJ58 + tech_8_4*Techs!BT58</f>
        <v>0.4029</v>
      </c>
      <c r="AC58" s="130" t="n">
        <f aca="false">(Overview!$I$15 + Imps!Z58+ tech_2_5*Techs!AB58 + tech_3_6*Techs!AM58 + tech_6_1*Techs!BJ58 + tech_6_5*Techs!BF58 + tech_7_3_2*Techs!BN58) * (1 + Production!P58/100*prestige_pop_multiplier) + Production!P58/100*prestige_pop_multiplier</f>
        <v>0.07625</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10175</v>
      </c>
      <c r="D59" s="69" t="n">
        <f aca="false">TblMili[[#This Row],[Military]]</f>
        <v>1126</v>
      </c>
      <c r="E59" s="69" t="n">
        <f aca="false">TblMili[[#This Row],[Draftees]]</f>
        <v>1126</v>
      </c>
      <c r="F59" s="69" t="n">
        <f aca="false">TblPop[[#This Row],[Peasants]]+TblPop[[#This Row],[Military]]</f>
        <v>11301</v>
      </c>
      <c r="G59" s="130" t="n">
        <f aca="false">TblPop[[#This Row],[Military]]/TblPop[[#This Row],[Total]]</f>
        <v>0.0996372002477657</v>
      </c>
      <c r="H59" s="95" t="n">
        <f aca="false">MIN(TblPop[[#This Row],[Peasants]],TblPop[[#This Row],[Jobs]])</f>
        <v>10175</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1126</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11301</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59" s="69" t="n">
        <f aca="false">MAX(-5%*TblPop[[#This Row],[Peasants]]-TblPop[[#This Row],[Draft Growth]],MIN(OFFSET(TblPop[[#This Row],[Net max]],1,0)-TblPop[[#This Row],[Peasants]]-TblPop[[#This Row],[Military]]-TblPop[[#This Row],[Draft Growth]],TblPop[[#This Row],[Modded Birth]]-TblPop[[#This Row],[Draft Growth]]))</f>
        <v>-102</v>
      </c>
      <c r="X59" s="69" t="n">
        <f aca="false">ROUND(TblPop[[#This Row],[Raw Birth]]*(1+TblPop[[#This Row],[Growth]]),0)</f>
        <v>424</v>
      </c>
      <c r="Y59" s="69" t="n">
        <f aca="false">(TblPop[[#This Row],[Peasants]]-TblPop[[#This Row],[Draft Growth]])*raw_pop_growth</f>
        <v>302.19</v>
      </c>
      <c r="Z59" s="69" t="n">
        <f aca="false">IF(TblPop[[#This Row],[Military%]]&lt;TblMili[[#This Row],[Draftrate]],ROUND(TblPop[[#This Row],[Peasants]]*Constants!$B$55,0), 0)</f>
        <v>102</v>
      </c>
      <c r="AA59" s="132"/>
      <c r="AB59" s="109" t="n">
        <f aca="false">Overview!$I$16 + IF(Magic!AE59&gt;0,Constants!$F$78) + ROUND(6*(Construction!BM60+Construction!CK59)/IF(Explore!S60&gt;0,Construction!F60-20,Construction!F60),4) + tech_6_5_2*Techs!BJ59 + tech_8_4*Techs!BT59</f>
        <v>0.4029</v>
      </c>
      <c r="AC59" s="130" t="n">
        <f aca="false">(Overview!$I$15 + Imps!Z59+ tech_2_5*Techs!AB59 + tech_3_6*Techs!AM59 + tech_6_1*Techs!BJ59 + tech_6_5*Techs!BF59 + tech_7_3_2*Techs!BN59) * (1 + Production!P59/100*prestige_pop_multiplier) + Production!P59/100*prestige_pop_multiplier</f>
        <v>0.07625</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10073</v>
      </c>
      <c r="D60" s="69" t="n">
        <f aca="false">TblMili[[#This Row],[Military]]</f>
        <v>1228</v>
      </c>
      <c r="E60" s="69" t="n">
        <f aca="false">TblMili[[#This Row],[Draftees]]</f>
        <v>1228</v>
      </c>
      <c r="F60" s="69" t="n">
        <f aca="false">TblPop[[#This Row],[Peasants]]+TblPop[[#This Row],[Military]]</f>
        <v>11301</v>
      </c>
      <c r="G60" s="130" t="n">
        <f aca="false">TblPop[[#This Row],[Military]]/TblPop[[#This Row],[Total]]</f>
        <v>0.1086629501814</v>
      </c>
      <c r="H60" s="95" t="n">
        <f aca="false">MIN(TblPop[[#This Row],[Peasants]],TblPop[[#This Row],[Jobs]])</f>
        <v>10073</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1228</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11301</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0" s="69" t="n">
        <f aca="false">MAX(-5%*TblPop[[#This Row],[Peasants]]-TblPop[[#This Row],[Draft Growth]],MIN(OFFSET(TblPop[[#This Row],[Net max]],1,0)-TblPop[[#This Row],[Peasants]]-TblPop[[#This Row],[Military]]-TblPop[[#This Row],[Draft Growth]],TblPop[[#This Row],[Modded Birth]]-TblPop[[#This Row],[Draft Growth]]))</f>
        <v>-101</v>
      </c>
      <c r="X60" s="69" t="n">
        <f aca="false">ROUND(TblPop[[#This Row],[Raw Birth]]*(1+TblPop[[#This Row],[Growth]]),0)</f>
        <v>420</v>
      </c>
      <c r="Y60" s="69" t="n">
        <f aca="false">(TblPop[[#This Row],[Peasants]]-TblPop[[#This Row],[Draft Growth]])*raw_pop_growth</f>
        <v>299.16</v>
      </c>
      <c r="Z60" s="69" t="n">
        <f aca="false">IF(TblPop[[#This Row],[Military%]]&lt;TblMili[[#This Row],[Draftrate]],ROUND(TblPop[[#This Row],[Peasants]]*Constants!$B$55,0), 0)</f>
        <v>101</v>
      </c>
      <c r="AA60" s="132"/>
      <c r="AB60" s="109" t="n">
        <f aca="false">Overview!$I$16 + IF(Magic!AE60&gt;0,Constants!$F$78) + ROUND(6*(Construction!BM61+Construction!CK60)/IF(Explore!S61&gt;0,Construction!F61-20,Construction!F61),4) + tech_6_5_2*Techs!BJ60 + tech_8_4*Techs!BT60</f>
        <v>0.4029</v>
      </c>
      <c r="AC60" s="130" t="n">
        <f aca="false">(Overview!$I$15 + Imps!Z60+ tech_2_5*Techs!AB60 + tech_3_6*Techs!AM60 + tech_6_1*Techs!BJ60 + tech_6_5*Techs!BF60 + tech_7_3_2*Techs!BN60) * (1 + Production!P60/100*prestige_pop_multiplier) + Production!P60/100*prestige_pop_multiplier</f>
        <v>0.07625</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9972</v>
      </c>
      <c r="D61" s="69" t="n">
        <f aca="false">TblMili[[#This Row],[Military]]</f>
        <v>1329</v>
      </c>
      <c r="E61" s="69" t="n">
        <f aca="false">TblMili[[#This Row],[Draftees]]</f>
        <v>1329</v>
      </c>
      <c r="F61" s="69" t="n">
        <f aca="false">TblPop[[#This Row],[Peasants]]+TblPop[[#This Row],[Military]]</f>
        <v>11301</v>
      </c>
      <c r="G61" s="130" t="n">
        <f aca="false">TblPop[[#This Row],[Military]]/TblPop[[#This Row],[Total]]</f>
        <v>0.117600212370587</v>
      </c>
      <c r="H61" s="95" t="n">
        <f aca="false">MIN(TblPop[[#This Row],[Peasants]],TblPop[[#This Row],[Jobs]])</f>
        <v>9972</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1329</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11301</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1" s="69" t="n">
        <f aca="false">MAX(-5%*TblPop[[#This Row],[Peasants]]-TblPop[[#This Row],[Draft Growth]],MIN(OFFSET(TblPop[[#This Row],[Net max]],1,0)-TblPop[[#This Row],[Peasants]]-TblPop[[#This Row],[Military]]-TblPop[[#This Row],[Draft Growth]],TblPop[[#This Row],[Modded Birth]]-TblPop[[#This Row],[Draft Growth]]))</f>
        <v>-100</v>
      </c>
      <c r="X61" s="69" t="n">
        <f aca="false">ROUND(TblPop[[#This Row],[Raw Birth]]*(1+TblPop[[#This Row],[Growth]]),0)</f>
        <v>415</v>
      </c>
      <c r="Y61" s="69" t="n">
        <f aca="false">(TblPop[[#This Row],[Peasants]]-TblPop[[#This Row],[Draft Growth]])*raw_pop_growth</f>
        <v>296.16</v>
      </c>
      <c r="Z61" s="69" t="n">
        <f aca="false">IF(TblPop[[#This Row],[Military%]]&lt;TblMili[[#This Row],[Draftrate]],ROUND(TblPop[[#This Row],[Peasants]]*Constants!$B$55,0), 0)</f>
        <v>100</v>
      </c>
      <c r="AA61" s="132"/>
      <c r="AB61" s="109" t="n">
        <f aca="false">Overview!$I$16 + IF(Magic!AE61&gt;0,Constants!$F$78) + ROUND(6*(Construction!BM62+Construction!CK61)/IF(Explore!S62&gt;0,Construction!F62-20,Construction!F62),4) + tech_6_5_2*Techs!BJ61 + tech_8_4*Techs!BT61</f>
        <v>0.4029</v>
      </c>
      <c r="AC61" s="130" t="n">
        <f aca="false">(Overview!$I$15 + Imps!Z61+ tech_2_5*Techs!AB61 + tech_3_6*Techs!AM61 + tech_6_1*Techs!BJ61 + tech_6_5*Techs!BF61 + tech_7_3_2*Techs!BN61) * (1 + Production!P61/100*prestige_pop_multiplier) + Production!P61/100*prestige_pop_multiplier</f>
        <v>0.07625</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9872</v>
      </c>
      <c r="D62" s="69" t="n">
        <f aca="false">TblMili[[#This Row],[Military]]</f>
        <v>1429</v>
      </c>
      <c r="E62" s="69" t="n">
        <f aca="false">TblMili[[#This Row],[Draftees]]</f>
        <v>1429</v>
      </c>
      <c r="F62" s="69" t="n">
        <f aca="false">TblPop[[#This Row],[Peasants]]+TblPop[[#This Row],[Military]]</f>
        <v>11301</v>
      </c>
      <c r="G62" s="130" t="n">
        <f aca="false">TblPop[[#This Row],[Military]]/TblPop[[#This Row],[Total]]</f>
        <v>0.126448986815326</v>
      </c>
      <c r="H62" s="95" t="n">
        <f aca="false">MIN(TblPop[[#This Row],[Peasants]],TblPop[[#This Row],[Jobs]])</f>
        <v>9872</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1429</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11301</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2" s="69" t="n">
        <f aca="false">MAX(-5%*TblPop[[#This Row],[Peasants]]-TblPop[[#This Row],[Draft Growth]],MIN(OFFSET(TblPop[[#This Row],[Net max]],1,0)-TblPop[[#This Row],[Peasants]]-TblPop[[#This Row],[Military]]-TblPop[[#This Row],[Draft Growth]],TblPop[[#This Row],[Modded Birth]]-TblPop[[#This Row],[Draft Growth]]))</f>
        <v>224</v>
      </c>
      <c r="X62" s="69" t="n">
        <f aca="false">ROUND(TblPop[[#This Row],[Raw Birth]]*(1+TblPop[[#This Row],[Growth]]),0)</f>
        <v>411</v>
      </c>
      <c r="Y62" s="69" t="n">
        <f aca="false">(TblPop[[#This Row],[Peasants]]-TblPop[[#This Row],[Draft Growth]])*raw_pop_growth</f>
        <v>293.19</v>
      </c>
      <c r="Z62" s="69" t="n">
        <f aca="false">IF(TblPop[[#This Row],[Military%]]&lt;TblMili[[#This Row],[Draftrate]],ROUND(TblPop[[#This Row],[Peasants]]*Constants!$B$55,0), 0)</f>
        <v>99</v>
      </c>
      <c r="AA62" s="132"/>
      <c r="AB62" s="109" t="n">
        <f aca="false">Overview!$I$16 + IF(Magic!AE62&gt;0,Constants!$F$78) + ROUND(6*(Construction!BM63+Construction!CK62)/IF(Explore!S63&gt;0,Construction!F63-20,Construction!F63),4) + tech_6_5_2*Techs!BJ62 + tech_8_4*Techs!BT62</f>
        <v>0.4029</v>
      </c>
      <c r="AC62" s="130" t="n">
        <f aca="false">(Overview!$I$15 + Imps!Z62+ tech_2_5*Techs!AB62 + tech_3_6*Techs!AM62 + tech_6_1*Techs!BJ62 + tech_6_5*Techs!BF62 + tech_7_3_2*Techs!BN62) * (1 + Production!P62/100*prestige_pop_multiplier) + Production!P62/100*prestige_pop_multiplier</f>
        <v>0.07625</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10096</v>
      </c>
      <c r="D63" s="69" t="n">
        <f aca="false">TblMili[[#This Row],[Military]]</f>
        <v>1528</v>
      </c>
      <c r="E63" s="69" t="n">
        <f aca="false">TblMili[[#This Row],[Draftees]]</f>
        <v>1528</v>
      </c>
      <c r="F63" s="69" t="n">
        <f aca="false">TblPop[[#This Row],[Peasants]]+TblPop[[#This Row],[Military]]</f>
        <v>11624</v>
      </c>
      <c r="G63" s="130" t="n">
        <f aca="false">TblPop[[#This Row],[Military]]/TblPop[[#This Row],[Total]]</f>
        <v>0.131452167928424</v>
      </c>
      <c r="H63" s="95" t="n">
        <f aca="false">MIN(TblPop[[#This Row],[Peasants]],TblPop[[#This Row],[Jobs]])</f>
        <v>10096</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1528</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11624</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10800</v>
      </c>
      <c r="W63" s="69" t="n">
        <f aca="false">MAX(-5%*TblPop[[#This Row],[Peasants]]-TblPop[[#This Row],[Draft Growth]],MIN(OFFSET(TblPop[[#This Row],[Net max]],1,0)-TblPop[[#This Row],[Peasants]]-TblPop[[#This Row],[Military]]-TblPop[[#This Row],[Draft Growth]],TblPop[[#This Row],[Modded Birth]]-TblPop[[#This Row],[Draft Growth]]))</f>
        <v>221</v>
      </c>
      <c r="X63" s="69" t="n">
        <f aca="false">ROUND(TblPop[[#This Row],[Raw Birth]]*(1+TblPop[[#This Row],[Growth]]),0)</f>
        <v>421</v>
      </c>
      <c r="Y63" s="69" t="n">
        <f aca="false">(TblPop[[#This Row],[Peasants]]-TblPop[[#This Row],[Draft Growth]])*raw_pop_growth</f>
        <v>299.85</v>
      </c>
      <c r="Z63" s="69" t="n">
        <f aca="false">IF(TblPop[[#This Row],[Military%]]&lt;TblMili[[#This Row],[Draftrate]],ROUND(TblPop[[#This Row],[Peasants]]*Constants!$B$55,0), 0)</f>
        <v>101</v>
      </c>
      <c r="AA63" s="132"/>
      <c r="AB63" s="109" t="n">
        <f aca="false">Overview!$I$16 + IF(Magic!AE63&gt;0,Constants!$F$78) + ROUND(6*(Construction!BM64+Construction!CK63)/IF(Explore!S64&gt;0,Construction!F64-20,Construction!F64),4) + tech_6_5_2*Techs!BJ63 + tech_8_4*Techs!BT63</f>
        <v>0.4029</v>
      </c>
      <c r="AC63" s="130" t="n">
        <f aca="false">(Overview!$I$15 + Imps!Z63+ tech_2_5*Techs!AB63 + tech_3_6*Techs!AM63 + tech_6_1*Techs!BJ63 + tech_6_5*Techs!BF63 + tech_7_3_2*Techs!BN63) * (1 + Production!P63/100*prestige_pop_multiplier) + Production!P63/100*prestige_pop_multiplier</f>
        <v>0.07625</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10317</v>
      </c>
      <c r="D64" s="69" t="n">
        <f aca="false">TblMili[[#This Row],[Military]]</f>
        <v>1629</v>
      </c>
      <c r="E64" s="69" t="n">
        <f aca="false">TblMili[[#This Row],[Draftees]]</f>
        <v>316</v>
      </c>
      <c r="F64" s="69" t="n">
        <f aca="false">TblPop[[#This Row],[Peasants]]+TblPop[[#This Row],[Military]]</f>
        <v>11946</v>
      </c>
      <c r="G64" s="130" t="n">
        <f aca="false">TblPop[[#This Row],[Military]]/TblPop[[#This Row],[Total]]</f>
        <v>0.136363636363636</v>
      </c>
      <c r="H64" s="95" t="n">
        <f aca="false">MIN(TblPop[[#This Row],[Peasants]],TblPop[[#This Row],[Jobs]])</f>
        <v>10317</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316</v>
      </c>
      <c r="M64" s="33" t="n">
        <f aca="false">TblMili[[#This Row],[Unit 1]]</f>
        <v>0</v>
      </c>
      <c r="N64" s="33" t="n">
        <f aca="false">TblMili[[#This Row],[Unit 2]]</f>
        <v>0</v>
      </c>
      <c r="O64" s="33" t="n">
        <f aca="false">TblMili[[#This Row],[Unit 3]]</f>
        <v>0</v>
      </c>
      <c r="P64" s="33" t="n">
        <f aca="false">TblMili[[#This Row],[Unit 4]]</f>
        <v>0</v>
      </c>
      <c r="Q64" s="33" t="n">
        <f aca="false">TblMili[[#This Row],[Spies]]</f>
        <v>0</v>
      </c>
      <c r="R64" s="33" t="n">
        <f aca="false">TblMili[[#This Row],[Wizards]]</f>
        <v>0</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11946</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4" s="69" t="n">
        <f aca="false">MAX(-5%*TblPop[[#This Row],[Peasants]]-TblPop[[#This Row],[Draft Growth]],MIN(OFFSET(TblPop[[#This Row],[Net max]],1,0)-TblPop[[#This Row],[Peasants]]-TblPop[[#This Row],[Military]]-TblPop[[#This Row],[Draft Growth]],TblPop[[#This Row],[Modded Birth]]-TblPop[[#This Row],[Draft Growth]]))</f>
        <v>-103</v>
      </c>
      <c r="X64" s="69" t="n">
        <f aca="false">ROUND(TblPop[[#This Row],[Raw Birth]]*(1+TblPop[[#This Row],[Growth]]),0)</f>
        <v>430</v>
      </c>
      <c r="Y64" s="69" t="n">
        <f aca="false">(TblPop[[#This Row],[Peasants]]-TblPop[[#This Row],[Draft Growth]])*raw_pop_growth</f>
        <v>306.42</v>
      </c>
      <c r="Z64" s="69" t="n">
        <f aca="false">IF(TblPop[[#This Row],[Military%]]&lt;TblMili[[#This Row],[Draftrate]],ROUND(TblPop[[#This Row],[Peasants]]*Constants!$B$55,0), 0)</f>
        <v>103</v>
      </c>
      <c r="AA64" s="132"/>
      <c r="AB64" s="109" t="n">
        <f aca="false">Overview!$I$16 + IF(Magic!AE64&gt;0,Constants!$F$78) + ROUND(6*(Construction!BM65+Construction!CK64)/IF(Explore!S65&gt;0,Construction!F65-20,Construction!F65),4) + tech_6_5_2*Techs!BJ64 + tech_8_4*Techs!BT64</f>
        <v>0.4029</v>
      </c>
      <c r="AC64" s="130" t="n">
        <f aca="false">(Overview!$I$15 + Imps!Z64+ tech_2_5*Techs!AB64 + tech_3_6*Techs!AM64 + tech_6_1*Techs!BJ64 + tech_6_5*Techs!BF64 + tech_7_3_2*Techs!BN64) * (1 + Production!P64/100*prestige_pop_multiplier) + Production!P64/100*prestige_pop_multiplier</f>
        <v>0.07625</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10214</v>
      </c>
      <c r="D65" s="69" t="n">
        <f aca="false">TblMili[[#This Row],[Military]]</f>
        <v>1732</v>
      </c>
      <c r="E65" s="69" t="n">
        <f aca="false">TblMili[[#This Row],[Draftees]]</f>
        <v>419</v>
      </c>
      <c r="F65" s="69" t="n">
        <f aca="false">TblPop[[#This Row],[Peasants]]+TblPop[[#This Row],[Military]]</f>
        <v>11946</v>
      </c>
      <c r="G65" s="130" t="n">
        <f aca="false">TblPop[[#This Row],[Military]]/TblPop[[#This Row],[Total]]</f>
        <v>0.144985769295162</v>
      </c>
      <c r="H65" s="95" t="n">
        <f aca="false">MIN(TblPop[[#This Row],[Peasants]],TblPop[[#This Row],[Jobs]])</f>
        <v>10214</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419</v>
      </c>
      <c r="M65" s="33" t="n">
        <f aca="false">TblMili[[#This Row],[Unit 1]]</f>
        <v>0</v>
      </c>
      <c r="N65" s="33" t="n">
        <f aca="false">TblMili[[#This Row],[Unit 2]]</f>
        <v>0</v>
      </c>
      <c r="O65" s="33" t="n">
        <f aca="false">TblMili[[#This Row],[Unit 3]]</f>
        <v>0</v>
      </c>
      <c r="P65" s="33" t="n">
        <f aca="false">TblMili[[#This Row],[Unit 4]]</f>
        <v>0</v>
      </c>
      <c r="Q65" s="33" t="n">
        <f aca="false">TblMili[[#This Row],[Spies]]</f>
        <v>0</v>
      </c>
      <c r="R65" s="33" t="n">
        <f aca="false">TblMili[[#This Row],[Wizards]]</f>
        <v>0</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11946</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5" s="69" t="n">
        <f aca="false">MAX(-5%*TblPop[[#This Row],[Peasants]]-TblPop[[#This Row],[Draft Growth]],MIN(OFFSET(TblPop[[#This Row],[Net max]],1,0)-TblPop[[#This Row],[Peasants]]-TblPop[[#This Row],[Military]]-TblPop[[#This Row],[Draft Growth]],TblPop[[#This Row],[Modded Birth]]-TblPop[[#This Row],[Draft Growth]]))</f>
        <v>-102</v>
      </c>
      <c r="X65" s="69" t="n">
        <f aca="false">ROUND(TblPop[[#This Row],[Raw Birth]]*(1+TblPop[[#This Row],[Growth]]),0)</f>
        <v>426</v>
      </c>
      <c r="Y65" s="69" t="n">
        <f aca="false">(TblPop[[#This Row],[Peasants]]-TblPop[[#This Row],[Draft Growth]])*raw_pop_growth</f>
        <v>303.36</v>
      </c>
      <c r="Z65" s="69" t="n">
        <f aca="false">IF(TblPop[[#This Row],[Military%]]&lt;TblMili[[#This Row],[Draftrate]],ROUND(TblPop[[#This Row],[Peasants]]*Constants!$B$55,0), 0)</f>
        <v>102</v>
      </c>
      <c r="AA65" s="132"/>
      <c r="AB65" s="109" t="n">
        <f aca="false">Overview!$I$16 + IF(Magic!AE65&gt;0,Constants!$F$78) + ROUND(6*(Construction!BM66+Construction!CK65)/IF(Explore!S66&gt;0,Construction!F66-20,Construction!F66),4) + tech_6_5_2*Techs!BJ65 + tech_8_4*Techs!BT65</f>
        <v>0.4029</v>
      </c>
      <c r="AC65" s="130" t="n">
        <f aca="false">(Overview!$I$15 + Imps!Z65+ tech_2_5*Techs!AB65 + tech_3_6*Techs!AM65 + tech_6_1*Techs!BJ65 + tech_6_5*Techs!BF65 + tech_7_3_2*Techs!BN65) * (1 + Production!P65/100*prestige_pop_multiplier) + Production!P65/100*prestige_pop_multiplier</f>
        <v>0.07625</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10112</v>
      </c>
      <c r="D66" s="69" t="n">
        <f aca="false">TblMili[[#This Row],[Military]]</f>
        <v>1834</v>
      </c>
      <c r="E66" s="69" t="n">
        <f aca="false">TblMili[[#This Row],[Draftees]]</f>
        <v>521</v>
      </c>
      <c r="F66" s="69" t="n">
        <f aca="false">TblPop[[#This Row],[Peasants]]+TblPop[[#This Row],[Military]]</f>
        <v>11946</v>
      </c>
      <c r="G66" s="130" t="n">
        <f aca="false">TblPop[[#This Row],[Military]]/TblPop[[#This Row],[Total]]</f>
        <v>0.153524192198225</v>
      </c>
      <c r="H66" s="95" t="n">
        <f aca="false">MIN(TblPop[[#This Row],[Peasants]],TblPop[[#This Row],[Jobs]])</f>
        <v>10112</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521</v>
      </c>
      <c r="M66" s="33" t="n">
        <f aca="false">TblMili[[#This Row],[Unit 1]]</f>
        <v>0</v>
      </c>
      <c r="N66" s="33" t="n">
        <f aca="false">TblMili[[#This Row],[Unit 2]]</f>
        <v>0</v>
      </c>
      <c r="O66" s="33" t="n">
        <f aca="false">TblMili[[#This Row],[Unit 3]]</f>
        <v>0</v>
      </c>
      <c r="P66" s="33" t="n">
        <f aca="false">TblMili[[#This Row],[Unit 4]]</f>
        <v>0</v>
      </c>
      <c r="Q66" s="33" t="n">
        <f aca="false">TblMili[[#This Row],[Spies]]</f>
        <v>0</v>
      </c>
      <c r="R66" s="33" t="n">
        <f aca="false">TblMili[[#This Row],[Wizards]]</f>
        <v>0</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11946</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6" s="69" t="n">
        <f aca="false">MAX(-5%*TblPop[[#This Row],[Peasants]]-TblPop[[#This Row],[Draft Growth]],MIN(OFFSET(TblPop[[#This Row],[Net max]],1,0)-TblPop[[#This Row],[Peasants]]-TblPop[[#This Row],[Military]]-TblPop[[#This Row],[Draft Growth]],TblPop[[#This Row],[Modded Birth]]-TblPop[[#This Row],[Draft Growth]]))</f>
        <v>118</v>
      </c>
      <c r="X66" s="69" t="n">
        <f aca="false">ROUND(TblPop[[#This Row],[Raw Birth]]*(1+TblPop[[#This Row],[Growth]]),0)</f>
        <v>421</v>
      </c>
      <c r="Y66" s="69" t="n">
        <f aca="false">(TblPop[[#This Row],[Peasants]]-TblPop[[#This Row],[Draft Growth]])*raw_pop_growth</f>
        <v>300.33</v>
      </c>
      <c r="Z66" s="69" t="n">
        <f aca="false">IF(TblPop[[#This Row],[Military%]]&lt;TblMili[[#This Row],[Draftrate]],ROUND(TblPop[[#This Row],[Peasants]]*Constants!$B$55,0), 0)</f>
        <v>101</v>
      </c>
      <c r="AA66" s="132"/>
      <c r="AB66" s="109" t="n">
        <f aca="false">Overview!$I$16 + IF(Magic!AE66&gt;0,Constants!$F$78) + ROUND(6*(Construction!BM67+Construction!CK66)/IF(Explore!S67&gt;0,Construction!F67-20,Construction!F67),4) + tech_6_5_2*Techs!BJ66 + tech_8_4*Techs!BT66</f>
        <v>0.4029</v>
      </c>
      <c r="AC66" s="130" t="n">
        <f aca="false">(Overview!$I$15 + Imps!Z66+ tech_2_5*Techs!AB66 + tech_3_6*Techs!AM66 + tech_6_1*Techs!BJ66 + tech_6_5*Techs!BF66 + tech_7_3_2*Techs!BN66) * (1 + Production!P66/100*prestige_pop_multiplier) + Production!P66/100*prestige_pop_multiplier</f>
        <v>0.07625</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10230</v>
      </c>
      <c r="D67" s="69" t="n">
        <f aca="false">TblMili[[#This Row],[Military]]</f>
        <v>1935</v>
      </c>
      <c r="E67" s="69" t="n">
        <f aca="false">TblMili[[#This Row],[Draftees]]</f>
        <v>-77</v>
      </c>
      <c r="F67" s="69" t="n">
        <f aca="false">TblPop[[#This Row],[Peasants]]+TblPop[[#This Row],[Military]]</f>
        <v>12165</v>
      </c>
      <c r="G67" s="130" t="n">
        <f aca="false">TblPop[[#This Row],[Military]]/TblPop[[#This Row],[Total]]</f>
        <v>0.159062885326757</v>
      </c>
      <c r="H67" s="95" t="n">
        <f aca="false">MIN(TblPop[[#This Row],[Peasants]],TblPop[[#This Row],[Jobs]])</f>
        <v>10230</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-77</v>
      </c>
      <c r="M67" s="33" t="n">
        <f aca="false">TblMili[[#This Row],[Unit 1]]</f>
        <v>0</v>
      </c>
      <c r="N67" s="33" t="n">
        <f aca="false">TblMili[[#This Row],[Unit 2]]</f>
        <v>0</v>
      </c>
      <c r="O67" s="33" t="n">
        <f aca="false">TblMili[[#This Row],[Unit 3]]</f>
        <v>0</v>
      </c>
      <c r="P67" s="33" t="n">
        <f aca="false">TblMili[[#This Row],[Unit 4]]</f>
        <v>0</v>
      </c>
      <c r="Q67" s="33" t="n">
        <f aca="false">TblMili[[#This Row],[Spies]]</f>
        <v>0</v>
      </c>
      <c r="R67" s="33" t="n">
        <f aca="false">TblMili[[#This Row],[Wizards]]</f>
        <v>0</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12165</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10935</v>
      </c>
      <c r="W67" s="69" t="n">
        <f aca="false">MAX(-5%*TblPop[[#This Row],[Peasants]]-TblPop[[#This Row],[Draft Growth]],MIN(OFFSET(TblPop[[#This Row],[Net max]],1,0)-TblPop[[#This Row],[Peasants]]-TblPop[[#This Row],[Military]]-TblPop[[#This Row],[Draft Growth]],TblPop[[#This Row],[Modded Birth]]-TblPop[[#This Row],[Draft Growth]]))</f>
        <v>116</v>
      </c>
      <c r="X67" s="69" t="n">
        <f aca="false">ROUND(TblPop[[#This Row],[Raw Birth]]*(1+TblPop[[#This Row],[Growth]]),0)</f>
        <v>426</v>
      </c>
      <c r="Y67" s="69" t="n">
        <f aca="false">(TblPop[[#This Row],[Peasants]]-TblPop[[#This Row],[Draft Growth]])*raw_pop_growth</f>
        <v>303.84</v>
      </c>
      <c r="Z67" s="69" t="n">
        <f aca="false">IF(TblPop[[#This Row],[Military%]]&lt;TblMili[[#This Row],[Draftrate]],ROUND(TblPop[[#This Row],[Peasants]]*Constants!$B$55,0), 0)</f>
        <v>102</v>
      </c>
      <c r="AA67" s="132"/>
      <c r="AB67" s="109" t="n">
        <f aca="false">Overview!$I$16 + IF(Magic!AE67&gt;0,Constants!$F$78) + ROUND(6*(Construction!BM68+Construction!CK67)/IF(Explore!S68&gt;0,Construction!F68-20,Construction!F68),4) + tech_6_5_2*Techs!BJ67 + tech_8_4*Techs!BT67</f>
        <v>0.4029</v>
      </c>
      <c r="AC67" s="130" t="n">
        <f aca="false">(Overview!$I$15 + Imps!Z67+ tech_2_5*Techs!AB67 + tech_3_6*Techs!AM67 + tech_6_1*Techs!BJ67 + tech_6_5*Techs!BF67 + tech_7_3_2*Techs!BN67) * (1 + Production!P67/100*prestige_pop_multiplier) + Production!P67/100*prestige_pop_multiplier</f>
        <v>0.07625</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10346</v>
      </c>
      <c r="D68" s="69" t="n">
        <f aca="false">TblMili[[#This Row],[Military]]</f>
        <v>2037</v>
      </c>
      <c r="E68" s="69" t="n">
        <f aca="false">TblMili[[#This Row],[Draftees]]</f>
        <v>-74</v>
      </c>
      <c r="F68" s="69" t="n">
        <f aca="false">TblPop[[#This Row],[Peasants]]+TblPop[[#This Row],[Military]]</f>
        <v>12383</v>
      </c>
      <c r="G68" s="130" t="n">
        <f aca="false">TblPop[[#This Row],[Military]]/TblPop[[#This Row],[Total]]</f>
        <v>0.164499717354438</v>
      </c>
      <c r="H68" s="95" t="n">
        <f aca="false">MIN(TblPop[[#This Row],[Peasants]],TblPop[[#This Row],[Jobs]])</f>
        <v>10346</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-74</v>
      </c>
      <c r="M68" s="33" t="n">
        <f aca="false">TblMili[[#This Row],[Unit 1]]</f>
        <v>0</v>
      </c>
      <c r="N68" s="33" t="n">
        <f aca="false">TblMili[[#This Row],[Unit 2]]</f>
        <v>0</v>
      </c>
      <c r="O68" s="33" t="n">
        <f aca="false">TblMili[[#This Row],[Unit 3]]</f>
        <v>0</v>
      </c>
      <c r="P68" s="33" t="n">
        <f aca="false">TblMili[[#This Row],[Unit 4]]</f>
        <v>0</v>
      </c>
      <c r="Q68" s="33" t="n">
        <f aca="false">TblMili[[#This Row],[Spies]]</f>
        <v>0</v>
      </c>
      <c r="R68" s="33" t="n">
        <f aca="false">TblMili[[#This Row],[Wizards]]</f>
        <v>0</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12383</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10770</v>
      </c>
      <c r="W68" s="69" t="n">
        <f aca="false">MAX(-5%*TblPop[[#This Row],[Peasants]]-TblPop[[#This Row],[Draft Growth]],MIN(OFFSET(TblPop[[#This Row],[Net max]],1,0)-TblPop[[#This Row],[Peasants]]-TblPop[[#This Row],[Military]]-TblPop[[#This Row],[Draft Growth]],TblPop[[#This Row],[Modded Birth]]-TblPop[[#This Row],[Draft Growth]]))</f>
        <v>135</v>
      </c>
      <c r="X68" s="69" t="n">
        <f aca="false">ROUND(TblPop[[#This Row],[Raw Birth]]*(1+TblPop[[#This Row],[Growth]]),0)</f>
        <v>431</v>
      </c>
      <c r="Y68" s="69" t="n">
        <f aca="false">(TblPop[[#This Row],[Peasants]]-TblPop[[#This Row],[Draft Growth]])*raw_pop_growth</f>
        <v>307.29</v>
      </c>
      <c r="Z68" s="69" t="n">
        <f aca="false">IF(TblPop[[#This Row],[Military%]]&lt;TblMili[[#This Row],[Draftrate]],ROUND(TblPop[[#This Row],[Peasants]]*Constants!$B$55,0), 0)</f>
        <v>103</v>
      </c>
      <c r="AA68" s="132"/>
      <c r="AB68" s="109" t="n">
        <f aca="false">Overview!$I$16 + IF(Magic!AE68&gt;0,Constants!$F$78) + ROUND(6*(Construction!BM69+Construction!CK68)/IF(Explore!S69&gt;0,Construction!F69-20,Construction!F69),4) + tech_6_5_2*Techs!BJ68 + tech_8_4*Techs!BT68</f>
        <v>0.4029</v>
      </c>
      <c r="AC68" s="130" t="n">
        <f aca="false">(Overview!$I$15 + Imps!Z68+ tech_2_5*Techs!AB68 + tech_3_6*Techs!AM68 + tech_6_1*Techs!BJ68 + tech_6_5*Techs!BF68 + tech_7_3_2*Techs!BN68) * (1 + Production!P68/100*prestige_pop_multiplier) + Production!P68/100*prestige_pop_multiplier</f>
        <v>0.07625</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10481</v>
      </c>
      <c r="D69" s="69" t="n">
        <f aca="false">TblMili[[#This Row],[Military]]</f>
        <v>2140</v>
      </c>
      <c r="E69" s="69" t="n">
        <f aca="false">TblMili[[#This Row],[Draftees]]</f>
        <v>-71</v>
      </c>
      <c r="F69" s="69" t="n">
        <f aca="false">TblPop[[#This Row],[Peasants]]+TblPop[[#This Row],[Military]]</f>
        <v>12621</v>
      </c>
      <c r="G69" s="130" t="n">
        <f aca="false">TblPop[[#This Row],[Military]]/TblPop[[#This Row],[Total]]</f>
        <v>0.169558672054512</v>
      </c>
      <c r="H69" s="95" t="n">
        <f aca="false">MIN(TblPop[[#This Row],[Peasants]],TblPop[[#This Row],[Jobs]])</f>
        <v>10481</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-71</v>
      </c>
      <c r="M69" s="33" t="n">
        <f aca="false">TblMili[[#This Row],[Unit 1]]</f>
        <v>0</v>
      </c>
      <c r="N69" s="33" t="n">
        <f aca="false">TblMili[[#This Row],[Unit 2]]</f>
        <v>0</v>
      </c>
      <c r="O69" s="33" t="n">
        <f aca="false">TblMili[[#This Row],[Unit 3]]</f>
        <v>0</v>
      </c>
      <c r="P69" s="33" t="n">
        <f aca="false">TblMili[[#This Row],[Unit 4]]</f>
        <v>0</v>
      </c>
      <c r="Q69" s="33" t="n">
        <f aca="false">TblMili[[#This Row],[Spies]]</f>
        <v>0</v>
      </c>
      <c r="R69" s="33" t="n">
        <f aca="false">TblMili[[#This Row],[Wizards]]</f>
        <v>0</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12621</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10590</v>
      </c>
      <c r="W69" s="69" t="n">
        <f aca="false">MAX(-5%*TblPop[[#This Row],[Peasants]]-TblPop[[#This Row],[Draft Growth]],MIN(OFFSET(TblPop[[#This Row],[Net max]],1,0)-TblPop[[#This Row],[Peasants]]-TblPop[[#This Row],[Military]]-TblPop[[#This Row],[Draft Growth]],TblPop[[#This Row],[Modded Birth]]-TblPop[[#This Row],[Draft Growth]]))</f>
        <v>-25</v>
      </c>
      <c r="X69" s="69" t="n">
        <f aca="false">ROUND(TblPop[[#This Row],[Raw Birth]]*(1+TblPop[[#This Row],[Growth]]),0)</f>
        <v>437</v>
      </c>
      <c r="Y69" s="69" t="n">
        <f aca="false">(TblPop[[#This Row],[Peasants]]-TblPop[[#This Row],[Draft Growth]])*raw_pop_growth</f>
        <v>311.28</v>
      </c>
      <c r="Z69" s="69" t="n">
        <f aca="false">IF(TblPop[[#This Row],[Military%]]&lt;TblMili[[#This Row],[Draftrate]],ROUND(TblPop[[#This Row],[Peasants]]*Constants!$B$55,0), 0)</f>
        <v>105</v>
      </c>
      <c r="AA69" s="132"/>
      <c r="AB69" s="109" t="n">
        <f aca="false">Overview!$I$16 + IF(Magic!AE69&gt;0,Constants!$F$78) + ROUND(6*(Construction!BM70+Construction!CK69)/IF(Explore!S70&gt;0,Construction!F70-20,Construction!F70),4) + tech_6_5_2*Techs!BJ69 + tech_8_4*Techs!BT69</f>
        <v>0.4029</v>
      </c>
      <c r="AC69" s="130" t="n">
        <f aca="false">(Overview!$I$15 + Imps!Z69+ tech_2_5*Techs!AB69 + tech_3_6*Techs!AM69 + tech_6_1*Techs!BJ69 + tech_6_5*Techs!BF69 + tech_7_3_2*Techs!BN69) * (1 + Production!P69/100*prestige_pop_multiplier) + Production!P69/100*prestige_pop_multiplier</f>
        <v>0.07625</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10456</v>
      </c>
      <c r="D70" s="69" t="n">
        <f aca="false">TblMili[[#This Row],[Military]]</f>
        <v>2245</v>
      </c>
      <c r="E70" s="69" t="n">
        <f aca="false">TblMili[[#This Row],[Draftees]]</f>
        <v>-76</v>
      </c>
      <c r="F70" s="69" t="n">
        <f aca="false">TblPop[[#This Row],[Peasants]]+TblPop[[#This Row],[Military]]</f>
        <v>12701</v>
      </c>
      <c r="G70" s="130" t="n">
        <f aca="false">TblPop[[#This Row],[Military]]/TblPop[[#This Row],[Total]]</f>
        <v>0.176757735611369</v>
      </c>
      <c r="H70" s="95" t="n">
        <f aca="false">MIN(TblPop[[#This Row],[Peasants]],TblPop[[#This Row],[Jobs]])</f>
        <v>10456</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-76</v>
      </c>
      <c r="M70" s="33" t="n">
        <f aca="false">TblMili[[#This Row],[Unit 1]]</f>
        <v>0</v>
      </c>
      <c r="N70" s="33" t="n">
        <f aca="false">TblMili[[#This Row],[Unit 2]]</f>
        <v>0</v>
      </c>
      <c r="O70" s="33" t="n">
        <f aca="false">TblMili[[#This Row],[Unit 3]]</f>
        <v>0</v>
      </c>
      <c r="P70" s="33" t="n">
        <f aca="false">TblMili[[#This Row],[Unit 4]]</f>
        <v>0</v>
      </c>
      <c r="Q70" s="33" t="n">
        <f aca="false">TblMili[[#This Row],[Spies]]</f>
        <v>0</v>
      </c>
      <c r="R70" s="33" t="n">
        <f aca="false">TblMili[[#This Row],[Wizards]]</f>
        <v>0</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12701</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0" s="69" t="n">
        <f aca="false">MAX(-5%*TblPop[[#This Row],[Peasants]]-TblPop[[#This Row],[Draft Growth]],MIN(OFFSET(TblPop[[#This Row],[Net max]],1,0)-TblPop[[#This Row],[Peasants]]-TblPop[[#This Row],[Military]]-TblPop[[#This Row],[Draft Growth]],TblPop[[#This Row],[Modded Birth]]-TblPop[[#This Row],[Draft Growth]]))</f>
        <v>-105</v>
      </c>
      <c r="X70" s="69" t="n">
        <f aca="false">ROUND(TblPop[[#This Row],[Raw Birth]]*(1+TblPop[[#This Row],[Growth]]),0)</f>
        <v>436</v>
      </c>
      <c r="Y70" s="69" t="n">
        <f aca="false">(TblPop[[#This Row],[Peasants]]-TblPop[[#This Row],[Draft Growth]])*raw_pop_growth</f>
        <v>310.53</v>
      </c>
      <c r="Z70" s="69" t="n">
        <f aca="false">IF(TblPop[[#This Row],[Military%]]&lt;TblMili[[#This Row],[Draftrate]],ROUND(TblPop[[#This Row],[Peasants]]*Constants!$B$55,0), 0)</f>
        <v>105</v>
      </c>
      <c r="AA70" s="132"/>
      <c r="AB70" s="109" t="n">
        <f aca="false">Overview!$I$16 + IF(Magic!AE70&gt;0,Constants!$F$78) + ROUND(6*(Construction!BM71+Construction!CK70)/IF(Explore!S71&gt;0,Construction!F71-20,Construction!F71),4) + tech_6_5_2*Techs!BJ70 + tech_8_4*Techs!BT70</f>
        <v>0.4029</v>
      </c>
      <c r="AC70" s="130" t="n">
        <f aca="false">(Overview!$I$15 + Imps!Z70+ tech_2_5*Techs!AB70 + tech_3_6*Techs!AM70 + tech_6_1*Techs!BJ70 + tech_6_5*Techs!BF70 + tech_7_3_2*Techs!BN70) * (1 + Production!P70/100*prestige_pop_multiplier) + Production!P70/100*prestige_pop_multiplier</f>
        <v>0.07625</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10351</v>
      </c>
      <c r="D71" s="69" t="n">
        <f aca="false">TblMili[[#This Row],[Military]]</f>
        <v>2350</v>
      </c>
      <c r="E71" s="69" t="n">
        <f aca="false">TblMili[[#This Row],[Draftees]]</f>
        <v>-75</v>
      </c>
      <c r="F71" s="69" t="n">
        <f aca="false">TblPop[[#This Row],[Peasants]]+TblPop[[#This Row],[Military]]</f>
        <v>12701</v>
      </c>
      <c r="G71" s="130" t="n">
        <f aca="false">TblPop[[#This Row],[Military]]/TblPop[[#This Row],[Total]]</f>
        <v>0.185024801196756</v>
      </c>
      <c r="H71" s="95" t="n">
        <f aca="false">MIN(TblPop[[#This Row],[Peasants]],TblPop[[#This Row],[Jobs]])</f>
        <v>10351</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-75</v>
      </c>
      <c r="M71" s="33" t="n">
        <f aca="false">TblMili[[#This Row],[Unit 1]]</f>
        <v>0</v>
      </c>
      <c r="N71" s="33" t="n">
        <f aca="false">TblMili[[#This Row],[Unit 2]]</f>
        <v>0</v>
      </c>
      <c r="O71" s="33" t="n">
        <f aca="false">TblMili[[#This Row],[Unit 3]]</f>
        <v>0</v>
      </c>
      <c r="P71" s="33" t="n">
        <f aca="false">TblMili[[#This Row],[Unit 4]]</f>
        <v>0</v>
      </c>
      <c r="Q71" s="33" t="n">
        <f aca="false">TblMili[[#This Row],[Spies]]</f>
        <v>0</v>
      </c>
      <c r="R71" s="33" t="n">
        <f aca="false">TblMili[[#This Row],[Wizards]]</f>
        <v>0</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12701</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1" s="69" t="n">
        <f aca="false">MAX(-5%*TblPop[[#This Row],[Peasants]]-TblPop[[#This Row],[Draft Growth]],MIN(OFFSET(TblPop[[#This Row],[Net max]],1,0)-TblPop[[#This Row],[Peasants]]-TblPop[[#This Row],[Military]]-TblPop[[#This Row],[Draft Growth]],TblPop[[#This Row],[Modded Birth]]-TblPop[[#This Row],[Draft Growth]]))</f>
        <v>-104</v>
      </c>
      <c r="X71" s="69" t="n">
        <f aca="false">ROUND(TblPop[[#This Row],[Raw Birth]]*(1+TblPop[[#This Row],[Growth]]),0)</f>
        <v>431</v>
      </c>
      <c r="Y71" s="69" t="n">
        <f aca="false">(TblPop[[#This Row],[Peasants]]-TblPop[[#This Row],[Draft Growth]])*raw_pop_growth</f>
        <v>307.41</v>
      </c>
      <c r="Z71" s="69" t="n">
        <f aca="false">IF(TblPop[[#This Row],[Military%]]&lt;TblMili[[#This Row],[Draftrate]],ROUND(TblPop[[#This Row],[Peasants]]*Constants!$B$55,0), 0)</f>
        <v>104</v>
      </c>
      <c r="AA71" s="132"/>
      <c r="AB71" s="109" t="n">
        <f aca="false">Overview!$I$16 + IF(Magic!AE71&gt;0,Constants!$F$78) + ROUND(6*(Construction!BM72+Construction!CK71)/IF(Explore!S72&gt;0,Construction!F72-20,Construction!F72),4) + tech_6_5_2*Techs!BJ71 + tech_8_4*Techs!BT71</f>
        <v>0.4029</v>
      </c>
      <c r="AC71" s="130" t="n">
        <f aca="false">(Overview!$I$15 + Imps!Z71+ tech_2_5*Techs!AB71 + tech_3_6*Techs!AM71 + tech_6_1*Techs!BJ71 + tech_6_5*Techs!BF71 + tech_7_3_2*Techs!BN71) * (1 + Production!P71/100*prestige_pop_multiplier) + Production!P71/100*prestige_pop_multiplier</f>
        <v>0.07625</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10247</v>
      </c>
      <c r="D72" s="69" t="n">
        <f aca="false">TblMili[[#This Row],[Military]]</f>
        <v>2454</v>
      </c>
      <c r="E72" s="69" t="n">
        <f aca="false">TblMili[[#This Row],[Draftees]]</f>
        <v>-74</v>
      </c>
      <c r="F72" s="69" t="n">
        <f aca="false">TblPop[[#This Row],[Peasants]]+TblPop[[#This Row],[Military]]</f>
        <v>12701</v>
      </c>
      <c r="G72" s="130" t="n">
        <f aca="false">TblPop[[#This Row],[Military]]/TblPop[[#This Row],[Total]]</f>
        <v>0.193213132824187</v>
      </c>
      <c r="H72" s="95" t="n">
        <f aca="false">MIN(TblPop[[#This Row],[Peasants]],TblPop[[#This Row],[Jobs]])</f>
        <v>10247</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-74</v>
      </c>
      <c r="M72" s="33" t="n">
        <f aca="false">TblMili[[#This Row],[Unit 1]]</f>
        <v>0</v>
      </c>
      <c r="N72" s="33" t="n">
        <f aca="false">TblMili[[#This Row],[Unit 2]]</f>
        <v>0</v>
      </c>
      <c r="O72" s="33" t="n">
        <f aca="false">TblMili[[#This Row],[Unit 3]]</f>
        <v>0</v>
      </c>
      <c r="P72" s="33" t="n">
        <f aca="false">TblMili[[#This Row],[Unit 4]]</f>
        <v>0</v>
      </c>
      <c r="Q72" s="33" t="n">
        <f aca="false">TblMili[[#This Row],[Spies]]</f>
        <v>0</v>
      </c>
      <c r="R72" s="33" t="n">
        <f aca="false">TblMili[[#This Row],[Wizards]]</f>
        <v>0</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12701</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2" s="69" t="n">
        <f aca="false">MAX(-5%*TblPop[[#This Row],[Peasants]]-TblPop[[#This Row],[Draft Growth]],MIN(OFFSET(TblPop[[#This Row],[Net max]],1,0)-TblPop[[#This Row],[Peasants]]-TblPop[[#This Row],[Military]]-TblPop[[#This Row],[Draft Growth]],TblPop[[#This Row],[Modded Birth]]-TblPop[[#This Row],[Draft Growth]]))</f>
        <v>-102</v>
      </c>
      <c r="X72" s="69" t="n">
        <f aca="false">ROUND(TblPop[[#This Row],[Raw Birth]]*(1+TblPop[[#This Row],[Growth]]),0)</f>
        <v>427</v>
      </c>
      <c r="Y72" s="69" t="n">
        <f aca="false">(TblPop[[#This Row],[Peasants]]-TblPop[[#This Row],[Draft Growth]])*raw_pop_growth</f>
        <v>304.35</v>
      </c>
      <c r="Z72" s="69" t="n">
        <f aca="false">IF(TblPop[[#This Row],[Military%]]&lt;TblMili[[#This Row],[Draftrate]],ROUND(TblPop[[#This Row],[Peasants]]*Constants!$B$55,0), 0)</f>
        <v>102</v>
      </c>
      <c r="AA72" s="132"/>
      <c r="AB72" s="109" t="n">
        <f aca="false">Overview!$I$16 + IF(Magic!AE72&gt;0,Constants!$F$78) + ROUND(6*(Construction!BM73+Construction!CK72)/IF(Explore!S73&gt;0,Construction!F73-20,Construction!F73),4) + tech_6_5_2*Techs!BJ72 + tech_8_4*Techs!BT72</f>
        <v>0.4029</v>
      </c>
      <c r="AC72" s="130" t="n">
        <f aca="false">(Overview!$I$15 + Imps!Z72+ tech_2_5*Techs!AB72 + tech_3_6*Techs!AM72 + tech_6_1*Techs!BJ72 + tech_6_5*Techs!BF72 + tech_7_3_2*Techs!BN72) * (1 + Production!P72/100*prestige_pop_multiplier) + Production!P72/100*prestige_pop_multiplier</f>
        <v>0.07625</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10145</v>
      </c>
      <c r="D73" s="69" t="n">
        <f aca="false">TblMili[[#This Row],[Military]]</f>
        <v>2556</v>
      </c>
      <c r="E73" s="69" t="n">
        <f aca="false">TblMili[[#This Row],[Draftees]]</f>
        <v>-74</v>
      </c>
      <c r="F73" s="69" t="n">
        <f aca="false">TblPop[[#This Row],[Peasants]]+TblPop[[#This Row],[Military]]</f>
        <v>12701</v>
      </c>
      <c r="G73" s="130" t="n">
        <f aca="false">TblPop[[#This Row],[Military]]/TblPop[[#This Row],[Total]]</f>
        <v>0.201243996535706</v>
      </c>
      <c r="H73" s="95" t="n">
        <f aca="false">MIN(TblPop[[#This Row],[Peasants]],TblPop[[#This Row],[Jobs]])</f>
        <v>10145</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-74</v>
      </c>
      <c r="M73" s="33" t="n">
        <f aca="false">TblMili[[#This Row],[Unit 1]]</f>
        <v>0</v>
      </c>
      <c r="N73" s="33" t="n">
        <f aca="false">TblMili[[#This Row],[Unit 2]]</f>
        <v>0</v>
      </c>
      <c r="O73" s="33" t="n">
        <f aca="false">TblMili[[#This Row],[Unit 3]]</f>
        <v>0</v>
      </c>
      <c r="P73" s="33" t="n">
        <f aca="false">TblMili[[#This Row],[Unit 4]]</f>
        <v>0</v>
      </c>
      <c r="Q73" s="33" t="n">
        <f aca="false">TblMili[[#This Row],[Spies]]</f>
        <v>0</v>
      </c>
      <c r="R73" s="33" t="n">
        <f aca="false">TblMili[[#This Row],[Wizards]]</f>
        <v>0</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12701</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3" s="69" t="n">
        <f aca="false">MAX(-5%*TblPop[[#This Row],[Peasants]]-TblPop[[#This Row],[Draft Growth]],MIN(OFFSET(TblPop[[#This Row],[Net max]],1,0)-TblPop[[#This Row],[Peasants]]-TblPop[[#This Row],[Military]]-TblPop[[#This Row],[Draft Growth]],TblPop[[#This Row],[Modded Birth]]-TblPop[[#This Row],[Draft Growth]]))</f>
        <v>-101</v>
      </c>
      <c r="X73" s="69" t="n">
        <f aca="false">ROUND(TblPop[[#This Row],[Raw Birth]]*(1+TblPop[[#This Row],[Growth]]),0)</f>
        <v>423</v>
      </c>
      <c r="Y73" s="69" t="n">
        <f aca="false">(TblPop[[#This Row],[Peasants]]-TblPop[[#This Row],[Draft Growth]])*raw_pop_growth</f>
        <v>301.32</v>
      </c>
      <c r="Z73" s="69" t="n">
        <f aca="false">IF(TblPop[[#This Row],[Military%]]&lt;TblMili[[#This Row],[Draftrate]],ROUND(TblPop[[#This Row],[Peasants]]*Constants!$B$55,0), 0)</f>
        <v>101</v>
      </c>
      <c r="AA73" s="132"/>
      <c r="AB73" s="109" t="n">
        <f aca="false">Overview!$I$16 + IF(Magic!AE73&gt;0,Constants!$F$78) + ROUND(6*(Construction!BM74+Construction!CK73)/IF(Explore!S74&gt;0,Construction!F74-20,Construction!F74),4) + tech_6_5_2*Techs!BJ73 + tech_8_4*Techs!BT73</f>
        <v>0.4029</v>
      </c>
      <c r="AC73" s="130" t="n">
        <f aca="false">(Overview!$I$15 + Imps!Z73+ tech_2_5*Techs!AB73 + tech_3_6*Techs!AM73 + tech_6_1*Techs!BJ73 + tech_6_5*Techs!BF73 + tech_7_3_2*Techs!BN73) * (1 + Production!P73/100*prestige_pop_multiplier) + Production!P73/100*prestige_pop_multiplier</f>
        <v>0.07625</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10044</v>
      </c>
      <c r="D74" s="69" t="n">
        <f aca="false">TblMili[[#This Row],[Military]]</f>
        <v>2657</v>
      </c>
      <c r="E74" s="69" t="n">
        <f aca="false">TblMili[[#This Row],[Draftees]]</f>
        <v>-74</v>
      </c>
      <c r="F74" s="69" t="n">
        <f aca="false">TblPop[[#This Row],[Peasants]]+TblPop[[#This Row],[Military]]</f>
        <v>12701</v>
      </c>
      <c r="G74" s="130" t="n">
        <f aca="false">TblPop[[#This Row],[Military]]/TblPop[[#This Row],[Total]]</f>
        <v>0.209196126289269</v>
      </c>
      <c r="H74" s="95" t="n">
        <f aca="false">MIN(TblPop[[#This Row],[Peasants]],TblPop[[#This Row],[Jobs]])</f>
        <v>10044</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-74</v>
      </c>
      <c r="M74" s="33" t="n">
        <f aca="false">TblMili[[#This Row],[Unit 1]]</f>
        <v>0</v>
      </c>
      <c r="N74" s="33" t="n">
        <f aca="false">TblMili[[#This Row],[Unit 2]]</f>
        <v>0</v>
      </c>
      <c r="O74" s="33" t="n">
        <f aca="false">TblMili[[#This Row],[Unit 3]]</f>
        <v>0</v>
      </c>
      <c r="P74" s="33" t="n">
        <f aca="false">TblMili[[#This Row],[Unit 4]]</f>
        <v>0</v>
      </c>
      <c r="Q74" s="33" t="n">
        <f aca="false">TblMili[[#This Row],[Spies]]</f>
        <v>0</v>
      </c>
      <c r="R74" s="33" t="n">
        <f aca="false">TblMili[[#This Row],[Wizards]]</f>
        <v>0</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12701</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4" s="69" t="n">
        <f aca="false">MAX(-5%*TblPop[[#This Row],[Peasants]]-TblPop[[#This Row],[Draft Growth]],MIN(OFFSET(TblPop[[#This Row],[Net max]],1,0)-TblPop[[#This Row],[Peasants]]-TblPop[[#This Row],[Military]]-TblPop[[#This Row],[Draft Growth]],TblPop[[#This Row],[Modded Birth]]-TblPop[[#This Row],[Draft Growth]]))</f>
        <v>-100</v>
      </c>
      <c r="X74" s="69" t="n">
        <f aca="false">ROUND(TblPop[[#This Row],[Raw Birth]]*(1+TblPop[[#This Row],[Growth]]),0)</f>
        <v>419</v>
      </c>
      <c r="Y74" s="69" t="n">
        <f aca="false">(TblPop[[#This Row],[Peasants]]-TblPop[[#This Row],[Draft Growth]])*raw_pop_growth</f>
        <v>298.32</v>
      </c>
      <c r="Z74" s="69" t="n">
        <f aca="false">IF(TblPop[[#This Row],[Military%]]&lt;TblMili[[#This Row],[Draftrate]],ROUND(TblPop[[#This Row],[Peasants]]*Constants!$B$55,0), 0)</f>
        <v>100</v>
      </c>
      <c r="AA74" s="132"/>
      <c r="AB74" s="109" t="n">
        <f aca="false">Overview!$I$16 + IF(Magic!AE74&gt;0,Constants!$F$78) + ROUND(6*(Construction!BM75+Construction!CK74)/IF(Explore!S75&gt;0,Construction!F75-20,Construction!F75),4) + tech_6_5_2*Techs!BJ74 + tech_8_4*Techs!BT74</f>
        <v>0.4029</v>
      </c>
      <c r="AC74" s="130" t="n">
        <f aca="false">(Overview!$I$15 + Imps!Z74+ tech_2_5*Techs!AB74 + tech_3_6*Techs!AM74 + tech_6_1*Techs!BJ74 + tech_6_5*Techs!BF74 + tech_7_3_2*Techs!BN74) * (1 + Production!P74/100*prestige_pop_multiplier) + Production!P74/100*prestige_pop_multiplier</f>
        <v>0.07625</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9944</v>
      </c>
      <c r="D75" s="69" t="n">
        <f aca="false">TblMili[[#This Row],[Military]]</f>
        <v>2757</v>
      </c>
      <c r="E75" s="69" t="n">
        <f aca="false">TblMili[[#This Row],[Draftees]]</f>
        <v>-74</v>
      </c>
      <c r="F75" s="69" t="n">
        <f aca="false">TblPop[[#This Row],[Peasants]]+TblPop[[#This Row],[Military]]</f>
        <v>12701</v>
      </c>
      <c r="G75" s="130" t="n">
        <f aca="false">TblPop[[#This Row],[Military]]/TblPop[[#This Row],[Total]]</f>
        <v>0.217069522084875</v>
      </c>
      <c r="H75" s="95" t="n">
        <f aca="false">MIN(TblPop[[#This Row],[Peasants]],TblPop[[#This Row],[Jobs]])</f>
        <v>9944</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-74</v>
      </c>
      <c r="M75" s="33" t="n">
        <f aca="false">TblMili[[#This Row],[Unit 1]]</f>
        <v>0</v>
      </c>
      <c r="N75" s="33" t="n">
        <f aca="false">TblMili[[#This Row],[Unit 2]]</f>
        <v>0</v>
      </c>
      <c r="O75" s="33" t="n">
        <f aca="false">TblMili[[#This Row],[Unit 3]]</f>
        <v>0</v>
      </c>
      <c r="P75" s="33" t="n">
        <f aca="false">TblMili[[#This Row],[Unit 4]]</f>
        <v>0</v>
      </c>
      <c r="Q75" s="33" t="n">
        <f aca="false">TblMili[[#This Row],[Spies]]</f>
        <v>0</v>
      </c>
      <c r="R75" s="33" t="n">
        <f aca="false">TblMili[[#This Row],[Wizards]]</f>
        <v>0</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12701</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5" s="69" t="n">
        <f aca="false">MAX(-5%*TblPop[[#This Row],[Peasants]]-TblPop[[#This Row],[Draft Growth]],MIN(OFFSET(TblPop[[#This Row],[Net max]],1,0)-TblPop[[#This Row],[Peasants]]-TblPop[[#This Row],[Military]]-TblPop[[#This Row],[Draft Growth]],TblPop[[#This Row],[Modded Birth]]-TblPop[[#This Row],[Draft Growth]]))</f>
        <v>-99</v>
      </c>
      <c r="X75" s="69" t="n">
        <f aca="false">ROUND(TblPop[[#This Row],[Raw Birth]]*(1+TblPop[[#This Row],[Growth]]),0)</f>
        <v>414</v>
      </c>
      <c r="Y75" s="69" t="n">
        <f aca="false">(TblPop[[#This Row],[Peasants]]-TblPop[[#This Row],[Draft Growth]])*raw_pop_growth</f>
        <v>295.35</v>
      </c>
      <c r="Z75" s="69" t="n">
        <f aca="false">IF(TblPop[[#This Row],[Military%]]&lt;TblMili[[#This Row],[Draftrate]],ROUND(TblPop[[#This Row],[Peasants]]*Constants!$B$55,0), 0)</f>
        <v>99</v>
      </c>
      <c r="AA75" s="132"/>
      <c r="AB75" s="109" t="n">
        <f aca="false">Overview!$I$16 + IF(Magic!AE75&gt;0,Constants!$F$78) + ROUND(6*(Construction!BM76+Construction!CK75)/IF(Explore!S76&gt;0,Construction!F76-20,Construction!F76),4) + tech_6_5_2*Techs!BJ75 + tech_8_4*Techs!BT75</f>
        <v>0.4029</v>
      </c>
      <c r="AC75" s="130" t="n">
        <f aca="false">(Overview!$I$15 + Imps!Z75+ tech_2_5*Techs!AB75 + tech_3_6*Techs!AM75 + tech_6_1*Techs!BJ75 + tech_6_5*Techs!BF75 + tech_7_3_2*Techs!BN75) * (1 + Production!P75/100*prestige_pop_multiplier) + Production!P75/100*prestige_pop_multiplier</f>
        <v>0.07625</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9845</v>
      </c>
      <c r="D76" s="76" t="n">
        <f aca="false">TblMili[[#This Row],[Military]]</f>
        <v>2856</v>
      </c>
      <c r="E76" s="76" t="n">
        <f aca="false">TblMili[[#This Row],[Draftees]]</f>
        <v>-74</v>
      </c>
      <c r="F76" s="76" t="n">
        <f aca="false">TblPop[[#This Row],[Peasants]]+TblPop[[#This Row],[Military]]</f>
        <v>12701</v>
      </c>
      <c r="G76" s="135" t="n">
        <f aca="false">TblPop[[#This Row],[Military]]/TblPop[[#This Row],[Total]]</f>
        <v>0.224864183922526</v>
      </c>
      <c r="H76" s="136" t="n">
        <f aca="false">MIN(TblPop[[#This Row],[Peasants]],TblPop[[#This Row],[Jobs]])</f>
        <v>9845</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-74</v>
      </c>
      <c r="M76" s="137" t="n">
        <f aca="false">TblMili[[#This Row],[Unit 1]]</f>
        <v>0</v>
      </c>
      <c r="N76" s="137" t="n">
        <f aca="false">TblMili[[#This Row],[Unit 2]]</f>
        <v>699</v>
      </c>
      <c r="O76" s="137" t="n">
        <f aca="false">TblMili[[#This Row],[Unit 3]]</f>
        <v>625</v>
      </c>
      <c r="P76" s="137" t="n">
        <f aca="false">TblMili[[#This Row],[Unit 4]]</f>
        <v>638</v>
      </c>
      <c r="Q76" s="137" t="n">
        <f aca="false">TblMili[[#This Row],[Spies]]</f>
        <v>25</v>
      </c>
      <c r="R76" s="137" t="n">
        <f aca="false">TblMili[[#This Row],[Wizards]]</f>
        <v>25</v>
      </c>
      <c r="S76" s="137" t="n">
        <f aca="false">TblMili[[#This Row],[Archmages]]</f>
        <v>0</v>
      </c>
      <c r="T76" s="138"/>
      <c r="U76" s="76" t="n">
        <f aca="false">ROUND(TblPop[[#This Row],[Raw max]]*(1+TblPop[[#This Row],[Max pop]]),0)+MIN(TblPop[[#This Row],[Military]]-TblPop[[#This Row],[Draftees]]-SUM(TblMili[[#This Row],[Train Unit 1]:[Train AM]]),(barracks_size + tech_8_3*TblTech[[#This Row],[8-3]])*TblConstr[[#This Row],[Tot Bar]])</f>
        <v>12701</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6" s="76" t="n">
        <f aca="false">MAX(-5%*TblPop[[#This Row],[Peasants]]-TblPop[[#This Row],[Draft Growth]],MIN(OFFSET(TblPop[[#This Row],[Net max]],1,0)-TblPop[[#This Row],[Peasants]]-TblPop[[#This Row],[Military]]-TblPop[[#This Row],[Draft Growth]],TblPop[[#This Row],[Modded Birth]]-TblPop[[#This Row],[Draft Growth]]))</f>
        <v>1</v>
      </c>
      <c r="X76" s="76" t="n">
        <f aca="false">ROUND(TblPop[[#This Row],[Raw Birth]]*(1+TblPop[[#This Row],[Growth]]),0)</f>
        <v>410</v>
      </c>
      <c r="Y76" s="76" t="n">
        <f aca="false">(TblPop[[#This Row],[Peasants]]-TblPop[[#This Row],[Draft Growth]])*raw_pop_growth</f>
        <v>292.41</v>
      </c>
      <c r="Z76" s="76" t="n">
        <f aca="false">IF(TblPop[[#This Row],[Military%]]&lt;TblMili[[#This Row],[Draftrate]],ROUND(TblPop[[#This Row],[Peasants]]*Constants!$B$55,0), 0)</f>
        <v>98</v>
      </c>
      <c r="AA76" s="138"/>
      <c r="AB76" s="139" t="n">
        <f aca="false">Overview!$I$16 + IF(Magic!AE76&gt;0,Constants!$F$78) + ROUND(6*(Construction!BM77+Construction!CK76)/IF(Explore!S77&gt;0,Construction!F77-20,Construction!F77),4) + tech_6_5_2*Techs!BJ76 + tech_8_4*Techs!BT76</f>
        <v>0.4029</v>
      </c>
      <c r="AC76" s="130" t="n">
        <f aca="false">(Overview!$I$15 + Imps!Z76+ tech_2_5*Techs!AB76 + tech_3_6*Techs!AM76 + tech_6_1*Techs!BJ76 + tech_6_5*Techs!BF76 + tech_7_3_2*Techs!BN76) * (1 + Production!P76/100*prestige_pop_multiplier) + Production!P76/100*prestige_pop_multiplier</f>
        <v>0.07625</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9846</v>
      </c>
      <c r="D77" s="69" t="n">
        <f aca="false">TblMili[[#This Row],[Military]]</f>
        <v>2954</v>
      </c>
      <c r="E77" s="69" t="n">
        <f aca="false">TblMili[[#This Row],[Draftees]]</f>
        <v>-74</v>
      </c>
      <c r="F77" s="69" t="n">
        <f aca="false">TblPop[[#This Row],[Peasants]]+TblPop[[#This Row],[Military]]</f>
        <v>12800</v>
      </c>
      <c r="G77" s="130" t="n">
        <f aca="false">TblPop[[#This Row],[Military]]/TblPop[[#This Row],[Total]]</f>
        <v>0.23078125</v>
      </c>
      <c r="H77" s="95" t="n">
        <f aca="false">MIN(TblPop[[#This Row],[Peasants]],TblPop[[#This Row],[Jobs]])</f>
        <v>9846</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-74</v>
      </c>
      <c r="M77" s="33" t="n">
        <f aca="false">TblMili[[#This Row],[Unit 1]]</f>
        <v>0</v>
      </c>
      <c r="N77" s="33" t="n">
        <f aca="false">TblMili[[#This Row],[Unit 2]]</f>
        <v>798</v>
      </c>
      <c r="O77" s="33" t="n">
        <f aca="false">TblMili[[#This Row],[Unit 3]]</f>
        <v>625</v>
      </c>
      <c r="P77" s="33" t="n">
        <f aca="false">TblMili[[#This Row],[Unit 4]]</f>
        <v>638</v>
      </c>
      <c r="Q77" s="33" t="n">
        <f aca="false">TblMili[[#This Row],[Spies]]</f>
        <v>25</v>
      </c>
      <c r="R77" s="33" t="n">
        <f aca="false">TblMili[[#This Row],[Wizards]]</f>
        <v>25</v>
      </c>
      <c r="S77" s="33" t="n">
        <f aca="false">TblMili[[#This Row],[Archmages]]</f>
        <v>0</v>
      </c>
      <c r="T77" s="132"/>
      <c r="U77" s="69" t="n">
        <f aca="false">ROUND(TblPop[[#This Row],[Raw max]]*(1+TblPop[[#This Row],[Max pop]]),0)+MIN(TblPop[[#This Row],[Military]]-TblPop[[#This Row],[Draftees]]-SUM(TblMili[[#This Row],[Train Unit 1]:[Train AM]]),(barracks_size + tech_8_3*TblTech[[#This Row],[8-3]])*TblConstr[[#This Row],[Tot Bar]])</f>
        <v>12800</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10455</v>
      </c>
      <c r="W77" s="69" t="n">
        <f aca="false">MAX(-5%*TblPop[[#This Row],[Peasants]]-TblPop[[#This Row],[Draft Growth]],MIN(OFFSET(TblPop[[#This Row],[Net max]],1,0)-TblPop[[#This Row],[Peasants]]-TblPop[[#This Row],[Military]]-TblPop[[#This Row],[Draft Growth]],TblPop[[#This Row],[Modded Birth]]-TblPop[[#This Row],[Draft Growth]]))</f>
        <v>1</v>
      </c>
      <c r="X77" s="69" t="n">
        <f aca="false">ROUND(TblPop[[#This Row],[Raw Birth]]*(1+TblPop[[#This Row],[Growth]]),0)</f>
        <v>410</v>
      </c>
      <c r="Y77" s="69" t="n">
        <f aca="false">(TblPop[[#This Row],[Peasants]]-TblPop[[#This Row],[Draft Growth]])*raw_pop_growth</f>
        <v>292.44</v>
      </c>
      <c r="Z77" s="69" t="n">
        <f aca="false">IF(TblPop[[#This Row],[Military%]]&lt;TblMili[[#This Row],[Draftrate]],ROUND(TblPop[[#This Row],[Peasants]]*Constants!$B$55,0), 0)</f>
        <v>98</v>
      </c>
      <c r="AA77" s="132"/>
      <c r="AB77" s="109" t="n">
        <f aca="false">Overview!$I$16 + IF(Magic!AE77&gt;0,Constants!$F$78) + ROUND(6*(Construction!BM78+Construction!CK77)/IF(Explore!S78&gt;0,Construction!F78-20,Construction!F78),4) + tech_6_5_2*Techs!BJ77 + tech_8_4*Techs!BT77</f>
        <v>0.4029</v>
      </c>
      <c r="AC77" s="130" t="n">
        <f aca="false">(Overview!$I$15 + Imps!Z77+ tech_2_5*Techs!AB77 + tech_3_6*Techs!AM77 + tech_6_1*Techs!BJ77 + tech_6_5*Techs!BF77 + tech_7_3_2*Techs!BN77) * (1 + Production!P77/100*prestige_pop_multiplier) + Production!P77/100*prestige_pop_multiplier</f>
        <v>0.07625</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9847</v>
      </c>
      <c r="D78" s="69" t="n">
        <f aca="false">TblMili[[#This Row],[Military]]</f>
        <v>3052</v>
      </c>
      <c r="E78" s="69" t="n">
        <f aca="false">TblMili[[#This Row],[Draftees]]</f>
        <v>-74</v>
      </c>
      <c r="F78" s="69" t="n">
        <f aca="false">TblPop[[#This Row],[Peasants]]+TblPop[[#This Row],[Military]]</f>
        <v>12899</v>
      </c>
      <c r="G78" s="130" t="n">
        <f aca="false">TblPop[[#This Row],[Military]]/TblPop[[#This Row],[Total]]</f>
        <v>0.236607488952632</v>
      </c>
      <c r="H78" s="95" t="n">
        <f aca="false">MIN(TblPop[[#This Row],[Peasants]],TblPop[[#This Row],[Jobs]])</f>
        <v>9847</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-74</v>
      </c>
      <c r="M78" s="33" t="n">
        <f aca="false">TblMili[[#This Row],[Unit 1]]</f>
        <v>0</v>
      </c>
      <c r="N78" s="33" t="n">
        <f aca="false">TblMili[[#This Row],[Unit 2]]</f>
        <v>898</v>
      </c>
      <c r="O78" s="33" t="n">
        <f aca="false">TblMili[[#This Row],[Unit 3]]</f>
        <v>625</v>
      </c>
      <c r="P78" s="33" t="n">
        <f aca="false">TblMili[[#This Row],[Unit 4]]</f>
        <v>638</v>
      </c>
      <c r="Q78" s="33" t="n">
        <f aca="false">TblMili[[#This Row],[Spies]]</f>
        <v>25</v>
      </c>
      <c r="R78" s="33" t="n">
        <f aca="false">TblMili[[#This Row],[Wizards]]</f>
        <v>25</v>
      </c>
      <c r="S78" s="33" t="n">
        <f aca="false">TblMili[[#This Row],[Archmages]]</f>
        <v>0</v>
      </c>
      <c r="T78" s="132"/>
      <c r="U78" s="69" t="n">
        <f aca="false">ROUND(TblPop[[#This Row],[Raw max]]*(1+TblPop[[#This Row],[Max pop]]),0)+MIN(TblPop[[#This Row],[Military]]-TblPop[[#This Row],[Draftees]]-SUM(TblMili[[#This Row],[Train Unit 1]:[Train AM]]),(barracks_size + tech_8_3*TblTech[[#This Row],[8-3]])*TblConstr[[#This Row],[Tot Bar]])</f>
        <v>12899</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10380</v>
      </c>
      <c r="W78" s="69" t="n">
        <f aca="false">MAX(-5%*TblPop[[#This Row],[Peasants]]-TblPop[[#This Row],[Draft Growth]],MIN(OFFSET(TblPop[[#This Row],[Net max]],1,0)-TblPop[[#This Row],[Peasants]]-TblPop[[#This Row],[Military]]-TblPop[[#This Row],[Draft Growth]],TblPop[[#This Row],[Modded Birth]]-TblPop[[#This Row],[Draft Growth]]))</f>
        <v>-58</v>
      </c>
      <c r="X78" s="69" t="n">
        <f aca="false">ROUND(TblPop[[#This Row],[Raw Birth]]*(1+TblPop[[#This Row],[Growth]]),0)</f>
        <v>410</v>
      </c>
      <c r="Y78" s="69" t="n">
        <f aca="false">(TblPop[[#This Row],[Peasants]]-TblPop[[#This Row],[Draft Growth]])*raw_pop_growth</f>
        <v>292.47</v>
      </c>
      <c r="Z78" s="69" t="n">
        <f aca="false">IF(TblPop[[#This Row],[Military%]]&lt;TblMili[[#This Row],[Draftrate]],ROUND(TblPop[[#This Row],[Peasants]]*Constants!$B$55,0), 0)</f>
        <v>98</v>
      </c>
      <c r="AA78" s="132"/>
      <c r="AB78" s="109" t="n">
        <f aca="false">Overview!$I$16 + IF(Magic!AE78&gt;0,Constants!$F$78) + ROUND(6*(Construction!BM79+Construction!CK78)/IF(Explore!S79&gt;0,Construction!F79-20,Construction!F79),4) + tech_6_5_2*Techs!BJ78 + tech_8_4*Techs!BT78</f>
        <v>0.4029</v>
      </c>
      <c r="AC78" s="130" t="n">
        <f aca="false">(Overview!$I$15 + Imps!Z78+ tech_2_5*Techs!AB78 + tech_3_6*Techs!AM78 + tech_6_1*Techs!BJ78 + tech_6_5*Techs!BF78 + tech_7_3_2*Techs!BN78) * (1 + Production!P78/100*prestige_pop_multiplier) + Production!P78/100*prestige_pop_multiplier</f>
        <v>0.07625</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9789</v>
      </c>
      <c r="D79" s="69" t="n">
        <f aca="false">TblMili[[#This Row],[Military]]</f>
        <v>3150</v>
      </c>
      <c r="E79" s="69" t="n">
        <f aca="false">TblMili[[#This Row],[Draftees]]</f>
        <v>-74</v>
      </c>
      <c r="F79" s="69" t="n">
        <f aca="false">TblPop[[#This Row],[Peasants]]+TblPop[[#This Row],[Military]]</f>
        <v>12939</v>
      </c>
      <c r="G79" s="130" t="n">
        <f aca="false">TblPop[[#This Row],[Military]]/TblPop[[#This Row],[Total]]</f>
        <v>0.243450034778576</v>
      </c>
      <c r="H79" s="95" t="n">
        <f aca="false">MIN(TblPop[[#This Row],[Peasants]],TblPop[[#This Row],[Jobs]])</f>
        <v>9789</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-74</v>
      </c>
      <c r="M79" s="33" t="n">
        <f aca="false">TblMili[[#This Row],[Unit 1]]</f>
        <v>0</v>
      </c>
      <c r="N79" s="33" t="n">
        <f aca="false">TblMili[[#This Row],[Unit 2]]</f>
        <v>950</v>
      </c>
      <c r="O79" s="33" t="n">
        <f aca="false">TblMili[[#This Row],[Unit 3]]</f>
        <v>625</v>
      </c>
      <c r="P79" s="33" t="n">
        <f aca="false">TblMili[[#This Row],[Unit 4]]</f>
        <v>638</v>
      </c>
      <c r="Q79" s="33" t="n">
        <f aca="false">TblMili[[#This Row],[Spies]]</f>
        <v>25</v>
      </c>
      <c r="R79" s="33" t="n">
        <f aca="false">TblMili[[#This Row],[Wizards]]</f>
        <v>25</v>
      </c>
      <c r="S79" s="33" t="n">
        <f aca="false">TblMili[[#This Row],[Archmages]]</f>
        <v>0</v>
      </c>
      <c r="T79" s="132"/>
      <c r="U79" s="69" t="n">
        <f aca="false">ROUND(TblPop[[#This Row],[Raw max]]*(1+TblPop[[#This Row],[Max pop]]),0)+MIN(TblPop[[#This Row],[Military]]-TblPop[[#This Row],[Draftees]]-SUM(TblMili[[#This Row],[Train Unit 1]:[Train AM]]),(barracks_size + tech_8_3*TblTech[[#This Row],[8-3]])*TblConstr[[#This Row],[Tot Bar]])</f>
        <v>12939</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79" s="69" t="n">
        <f aca="false">MAX(-5%*TblPop[[#This Row],[Peasants]]-TblPop[[#This Row],[Draft Growth]],MIN(OFFSET(TblPop[[#This Row],[Net max]],1,0)-TblPop[[#This Row],[Peasants]]-TblPop[[#This Row],[Military]]-TblPop[[#This Row],[Draft Growth]],TblPop[[#This Row],[Modded Birth]]-TblPop[[#This Row],[Draft Growth]]))</f>
        <v>-98</v>
      </c>
      <c r="X79" s="69" t="n">
        <f aca="false">ROUND(TblPop[[#This Row],[Raw Birth]]*(1+TblPop[[#This Row],[Growth]]),0)</f>
        <v>408</v>
      </c>
      <c r="Y79" s="69" t="n">
        <f aca="false">(TblPop[[#This Row],[Peasants]]-TblPop[[#This Row],[Draft Growth]])*raw_pop_growth</f>
        <v>290.73</v>
      </c>
      <c r="Z79" s="69" t="n">
        <f aca="false">IF(TblPop[[#This Row],[Military%]]&lt;TblMili[[#This Row],[Draftrate]],ROUND(TblPop[[#This Row],[Peasants]]*Constants!$B$55,0), 0)</f>
        <v>98</v>
      </c>
      <c r="AA79" s="132"/>
      <c r="AB79" s="109" t="n">
        <f aca="false">Overview!$I$16 + IF(Magic!AE79&gt;0,Constants!$F$78) + ROUND(6*(Construction!BM80+Construction!CK79)/IF(Explore!S80&gt;0,Construction!F80-20,Construction!F80),4) + tech_6_5_2*Techs!BJ79 + tech_8_4*Techs!BT79</f>
        <v>0.4029</v>
      </c>
      <c r="AC79" s="130" t="n">
        <f aca="false">(Overview!$I$15 + Imps!Z79+ tech_2_5*Techs!AB79 + tech_3_6*Techs!AM79 + tech_6_1*Techs!BJ79 + tech_6_5*Techs!BF79 + tech_7_3_2*Techs!BN79) * (1 + Production!P79/100*prestige_pop_multiplier) + Production!P79/100*prestige_pop_multiplier</f>
        <v>0.07625</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9691</v>
      </c>
      <c r="D80" s="69" t="n">
        <f aca="false">TblMili[[#This Row],[Military]]</f>
        <v>3248</v>
      </c>
      <c r="E80" s="69" t="n">
        <f aca="false">TblMili[[#This Row],[Draftees]]</f>
        <v>24</v>
      </c>
      <c r="F80" s="69" t="n">
        <f aca="false">TblPop[[#This Row],[Peasants]]+TblPop[[#This Row],[Military]]</f>
        <v>12939</v>
      </c>
      <c r="G80" s="130" t="n">
        <f aca="false">TblPop[[#This Row],[Military]]/TblPop[[#This Row],[Total]]</f>
        <v>0.251024035860577</v>
      </c>
      <c r="H80" s="95" t="n">
        <f aca="false">MIN(TblPop[[#This Row],[Peasants]],TblPop[[#This Row],[Jobs]])</f>
        <v>9691</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24</v>
      </c>
      <c r="M80" s="33" t="n">
        <f aca="false">TblMili[[#This Row],[Unit 1]]</f>
        <v>0</v>
      </c>
      <c r="N80" s="33" t="n">
        <f aca="false">TblMili[[#This Row],[Unit 2]]</f>
        <v>1002</v>
      </c>
      <c r="O80" s="33" t="n">
        <f aca="false">TblMili[[#This Row],[Unit 3]]</f>
        <v>625</v>
      </c>
      <c r="P80" s="33" t="n">
        <f aca="false">TblMili[[#This Row],[Unit 4]]</f>
        <v>638</v>
      </c>
      <c r="Q80" s="33" t="n">
        <f aca="false">TblMili[[#This Row],[Spies]]</f>
        <v>25</v>
      </c>
      <c r="R80" s="33" t="n">
        <f aca="false">TblMili[[#This Row],[Wizards]]</f>
        <v>25</v>
      </c>
      <c r="S80" s="33" t="n">
        <f aca="false">TblMili[[#This Row],[Archmages]]</f>
        <v>0</v>
      </c>
      <c r="T80" s="132"/>
      <c r="U80" s="69" t="n">
        <f aca="false">ROUND(TblPop[[#This Row],[Raw max]]*(1+TblPop[[#This Row],[Max pop]]),0)+MIN(TblPop[[#This Row],[Military]]-TblPop[[#This Row],[Draftees]]-SUM(TblMili[[#This Row],[Train Unit 1]:[Train AM]]),(barracks_size + tech_8_3*TblTech[[#This Row],[8-3]])*TblConstr[[#This Row],[Tot Bar]])</f>
        <v>12939</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0" s="69" t="n">
        <f aca="false">MAX(-5%*TblPop[[#This Row],[Peasants]]-TblPop[[#This Row],[Draft Growth]],MIN(OFFSET(TblPop[[#This Row],[Net max]],1,0)-TblPop[[#This Row],[Peasants]]-TblPop[[#This Row],[Military]]-TblPop[[#This Row],[Draft Growth]],TblPop[[#This Row],[Modded Birth]]-TblPop[[#This Row],[Draft Growth]]))</f>
        <v>-97</v>
      </c>
      <c r="X80" s="69" t="n">
        <f aca="false">ROUND(TblPop[[#This Row],[Raw Birth]]*(1+TblPop[[#This Row],[Growth]]),0)</f>
        <v>404</v>
      </c>
      <c r="Y80" s="69" t="n">
        <f aca="false">(TblPop[[#This Row],[Peasants]]-TblPop[[#This Row],[Draft Growth]])*raw_pop_growth</f>
        <v>287.82</v>
      </c>
      <c r="Z80" s="69" t="n">
        <f aca="false">IF(TblPop[[#This Row],[Military%]]&lt;TblMili[[#This Row],[Draftrate]],ROUND(TblPop[[#This Row],[Peasants]]*Constants!$B$55,0), 0)</f>
        <v>97</v>
      </c>
      <c r="AA80" s="132"/>
      <c r="AB80" s="109" t="n">
        <f aca="false">Overview!$I$16 + IF(Magic!AE80&gt;0,Constants!$F$78) + ROUND(6*(Construction!BM81+Construction!CK80)/IF(Explore!S81&gt;0,Construction!F81-20,Construction!F81),4) + tech_6_5_2*Techs!BJ80 + tech_8_4*Techs!BT80</f>
        <v>0.4029</v>
      </c>
      <c r="AC80" s="130" t="n">
        <f aca="false">(Overview!$I$15 + Imps!Z80+ tech_2_5*Techs!AB80 + tech_3_6*Techs!AM80 + tech_6_1*Techs!BJ80 + tech_6_5*Techs!BF80 + tech_7_3_2*Techs!BN80) * (1 + Production!P80/100*prestige_pop_multiplier) + Production!P80/100*prestige_pop_multiplier</f>
        <v>0.07625</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9594</v>
      </c>
      <c r="D81" s="69" t="n">
        <f aca="false">TblMili[[#This Row],[Military]]</f>
        <v>3345</v>
      </c>
      <c r="E81" s="69" t="n">
        <f aca="false">TblMili[[#This Row],[Draftees]]</f>
        <v>121</v>
      </c>
      <c r="F81" s="69" t="n">
        <f aca="false">TblPop[[#This Row],[Peasants]]+TblPop[[#This Row],[Military]]</f>
        <v>12939</v>
      </c>
      <c r="G81" s="130" t="n">
        <f aca="false">TblPop[[#This Row],[Military]]/TblPop[[#This Row],[Total]]</f>
        <v>0.25852075121725</v>
      </c>
      <c r="H81" s="95" t="n">
        <f aca="false">MIN(TblPop[[#This Row],[Peasants]],TblPop[[#This Row],[Jobs]])</f>
        <v>9594</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121</v>
      </c>
      <c r="M81" s="33" t="n">
        <f aca="false">TblMili[[#This Row],[Unit 1]]</f>
        <v>0</v>
      </c>
      <c r="N81" s="33" t="n">
        <f aca="false">TblMili[[#This Row],[Unit 2]]</f>
        <v>1002</v>
      </c>
      <c r="O81" s="33" t="n">
        <f aca="false">TblMili[[#This Row],[Unit 3]]</f>
        <v>625</v>
      </c>
      <c r="P81" s="33" t="n">
        <f aca="false">TblMili[[#This Row],[Unit 4]]</f>
        <v>638</v>
      </c>
      <c r="Q81" s="33" t="n">
        <f aca="false">TblMili[[#This Row],[Spies]]</f>
        <v>25</v>
      </c>
      <c r="R81" s="33" t="n">
        <f aca="false">TblMili[[#This Row],[Wizards]]</f>
        <v>25</v>
      </c>
      <c r="S81" s="33" t="n">
        <f aca="false">TblMili[[#This Row],[Archmages]]</f>
        <v>0</v>
      </c>
      <c r="T81" s="132"/>
      <c r="U81" s="69" t="n">
        <f aca="false">ROUND(TblPop[[#This Row],[Raw max]]*(1+TblPop[[#This Row],[Max pop]]),0)+MIN(TblPop[[#This Row],[Military]]-TblPop[[#This Row],[Draftees]]-SUM(TblMili[[#This Row],[Train Unit 1]:[Train AM]]),(barracks_size + tech_8_3*TblTech[[#This Row],[8-3]])*TblConstr[[#This Row],[Tot Bar]])</f>
        <v>12939</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1" s="69" t="n">
        <f aca="false">MAX(-5%*TblPop[[#This Row],[Peasants]]-TblPop[[#This Row],[Draft Growth]],MIN(OFFSET(TblPop[[#This Row],[Net max]],1,0)-TblPop[[#This Row],[Peasants]]-TblPop[[#This Row],[Military]]-TblPop[[#This Row],[Draft Growth]],TblPop[[#This Row],[Modded Birth]]-TblPop[[#This Row],[Draft Growth]]))</f>
        <v>-96</v>
      </c>
      <c r="X81" s="69" t="n">
        <f aca="false">ROUND(TblPop[[#This Row],[Raw Birth]]*(1+TblPop[[#This Row],[Growth]]),0)</f>
        <v>400</v>
      </c>
      <c r="Y81" s="69" t="n">
        <f aca="false">(TblPop[[#This Row],[Peasants]]-TblPop[[#This Row],[Draft Growth]])*raw_pop_growth</f>
        <v>284.94</v>
      </c>
      <c r="Z81" s="69" t="n">
        <f aca="false">IF(TblPop[[#This Row],[Military%]]&lt;TblMili[[#This Row],[Draftrate]],ROUND(TblPop[[#This Row],[Peasants]]*Constants!$B$55,0), 0)</f>
        <v>96</v>
      </c>
      <c r="AA81" s="132"/>
      <c r="AB81" s="109" t="n">
        <f aca="false">Overview!$I$16 + IF(Magic!AE81&gt;0,Constants!$F$78) + ROUND(6*(Construction!BM82+Construction!CK81)/IF(Explore!S82&gt;0,Construction!F82-20,Construction!F82),4) + tech_6_5_2*Techs!BJ81 + tech_8_4*Techs!BT81</f>
        <v>0.4029</v>
      </c>
      <c r="AC81" s="130" t="n">
        <f aca="false">(Overview!$I$15 + Imps!Z81+ tech_2_5*Techs!AB81 + tech_3_6*Techs!AM81 + tech_6_1*Techs!BJ81 + tech_6_5*Techs!BF81 + tech_7_3_2*Techs!BN81) * (1 + Production!P81/100*prestige_pop_multiplier) + Production!P81/100*prestige_pop_multiplier</f>
        <v>0.07625</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9498</v>
      </c>
      <c r="D82" s="69" t="n">
        <f aca="false">TblMili[[#This Row],[Military]]</f>
        <v>3441</v>
      </c>
      <c r="E82" s="69" t="n">
        <f aca="false">TblMili[[#This Row],[Draftees]]</f>
        <v>217</v>
      </c>
      <c r="F82" s="69" t="n">
        <f aca="false">TblPop[[#This Row],[Peasants]]+TblPop[[#This Row],[Military]]</f>
        <v>12939</v>
      </c>
      <c r="G82" s="130" t="n">
        <f aca="false">TblPop[[#This Row],[Military]]/TblPop[[#This Row],[Total]]</f>
        <v>0.265940180848597</v>
      </c>
      <c r="H82" s="95" t="n">
        <f aca="false">MIN(TblPop[[#This Row],[Peasants]],TblPop[[#This Row],[Jobs]])</f>
        <v>9498</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217</v>
      </c>
      <c r="M82" s="33" t="n">
        <f aca="false">TblMili[[#This Row],[Unit 1]]</f>
        <v>0</v>
      </c>
      <c r="N82" s="33" t="n">
        <f aca="false">TblMili[[#This Row],[Unit 2]]</f>
        <v>1002</v>
      </c>
      <c r="O82" s="33" t="n">
        <f aca="false">TblMili[[#This Row],[Unit 3]]</f>
        <v>625</v>
      </c>
      <c r="P82" s="33" t="n">
        <f aca="false">TblMili[[#This Row],[Unit 4]]</f>
        <v>696</v>
      </c>
      <c r="Q82" s="33" t="n">
        <f aca="false">TblMili[[#This Row],[Spies]]</f>
        <v>25</v>
      </c>
      <c r="R82" s="33" t="n">
        <f aca="false">TblMili[[#This Row],[Wizards]]</f>
        <v>25</v>
      </c>
      <c r="S82" s="33" t="n">
        <f aca="false">TblMili[[#This Row],[Archmages]]</f>
        <v>0</v>
      </c>
      <c r="T82" s="132"/>
      <c r="U82" s="69" t="n">
        <f aca="false">ROUND(TblPop[[#This Row],[Raw max]]*(1+TblPop[[#This Row],[Max pop]]),0)+MIN(TblPop[[#This Row],[Military]]-TblPop[[#This Row],[Draftees]]-SUM(TblMili[[#This Row],[Train Unit 1]:[Train AM]]),(barracks_size + tech_8_3*TblTech[[#This Row],[8-3]])*TblConstr[[#This Row],[Tot Bar]])</f>
        <v>12939</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2" s="69" t="n">
        <f aca="false">MAX(-5%*TblPop[[#This Row],[Peasants]]-TblPop[[#This Row],[Draft Growth]],MIN(OFFSET(TblPop[[#This Row],[Net max]],1,0)-TblPop[[#This Row],[Peasants]]-TblPop[[#This Row],[Military]]-TblPop[[#This Row],[Draft Growth]],TblPop[[#This Row],[Modded Birth]]-TblPop[[#This Row],[Draft Growth]]))</f>
        <v>-95</v>
      </c>
      <c r="X82" s="69" t="n">
        <f aca="false">ROUND(TblPop[[#This Row],[Raw Birth]]*(1+TblPop[[#This Row],[Growth]]),0)</f>
        <v>396</v>
      </c>
      <c r="Y82" s="69" t="n">
        <f aca="false">(TblPop[[#This Row],[Peasants]]-TblPop[[#This Row],[Draft Growth]])*raw_pop_growth</f>
        <v>282.09</v>
      </c>
      <c r="Z82" s="69" t="n">
        <f aca="false">IF(TblPop[[#This Row],[Military%]]&lt;TblMili[[#This Row],[Draftrate]],ROUND(TblPop[[#This Row],[Peasants]]*Constants!$B$55,0), 0)</f>
        <v>95</v>
      </c>
      <c r="AA82" s="132"/>
      <c r="AB82" s="109" t="n">
        <f aca="false">Overview!$I$16 + IF(Magic!AE82&gt;0,Constants!$F$78) + ROUND(6*(Construction!BM83+Construction!CK82)/IF(Explore!S83&gt;0,Construction!F83-20,Construction!F83),4) + tech_6_5_2*Techs!BJ82 + tech_8_4*Techs!BT82</f>
        <v>0.4029</v>
      </c>
      <c r="AC82" s="130" t="n">
        <f aca="false">(Overview!$I$15 + Imps!Z82+ tech_2_5*Techs!AB82 + tech_3_6*Techs!AM82 + tech_6_1*Techs!BJ82 + tech_6_5*Techs!BF82 + tech_7_3_2*Techs!BN82) * (1 + Production!P82/100*prestige_pop_multiplier) + Production!P82/100*prestige_pop_multiplier</f>
        <v>0.07625</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9403</v>
      </c>
      <c r="D83" s="69" t="n">
        <f aca="false">TblMili[[#This Row],[Military]]</f>
        <v>3536</v>
      </c>
      <c r="E83" s="69" t="n">
        <f aca="false">TblMili[[#This Row],[Draftees]]</f>
        <v>312</v>
      </c>
      <c r="F83" s="69" t="n">
        <f aca="false">TblPop[[#This Row],[Peasants]]+TblPop[[#This Row],[Military]]</f>
        <v>12939</v>
      </c>
      <c r="G83" s="130" t="n">
        <f aca="false">TblPop[[#This Row],[Military]]/TblPop[[#This Row],[Total]]</f>
        <v>0.273282324754618</v>
      </c>
      <c r="H83" s="95" t="n">
        <f aca="false">MIN(TblPop[[#This Row],[Peasants]],TblPop[[#This Row],[Jobs]])</f>
        <v>9403</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312</v>
      </c>
      <c r="M83" s="33" t="n">
        <f aca="false">TblMili[[#This Row],[Unit 1]]</f>
        <v>0</v>
      </c>
      <c r="N83" s="33" t="n">
        <f aca="false">TblMili[[#This Row],[Unit 2]]</f>
        <v>1002</v>
      </c>
      <c r="O83" s="33" t="n">
        <f aca="false">TblMili[[#This Row],[Unit 3]]</f>
        <v>625</v>
      </c>
      <c r="P83" s="33" t="n">
        <f aca="false">TblMili[[#This Row],[Unit 4]]</f>
        <v>748</v>
      </c>
      <c r="Q83" s="33" t="n">
        <f aca="false">TblMili[[#This Row],[Spies]]</f>
        <v>25</v>
      </c>
      <c r="R83" s="33" t="n">
        <f aca="false">TblMili[[#This Row],[Wizards]]</f>
        <v>25</v>
      </c>
      <c r="S83" s="33" t="n">
        <f aca="false">TblMili[[#This Row],[Archmages]]</f>
        <v>0</v>
      </c>
      <c r="T83" s="132"/>
      <c r="U83" s="69" t="n">
        <f aca="false">ROUND(TblPop[[#This Row],[Raw max]]*(1+TblPop[[#This Row],[Max pop]]),0)+MIN(TblPop[[#This Row],[Military]]-TblPop[[#This Row],[Draftees]]-SUM(TblMili[[#This Row],[Train Unit 1]:[Train AM]]),(barracks_size + tech_8_3*TblTech[[#This Row],[8-3]])*TblConstr[[#This Row],[Tot Bar]])</f>
        <v>12939</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3" s="69" t="n">
        <f aca="false">MAX(-5%*TblPop[[#This Row],[Peasants]]-TblPop[[#This Row],[Draft Growth]],MIN(OFFSET(TblPop[[#This Row],[Net max]],1,0)-TblPop[[#This Row],[Peasants]]-TblPop[[#This Row],[Military]]-TblPop[[#This Row],[Draft Growth]],TblPop[[#This Row],[Modded Birth]]-TblPop[[#This Row],[Draft Growth]]))</f>
        <v>-94</v>
      </c>
      <c r="X83" s="69" t="n">
        <f aca="false">ROUND(TblPop[[#This Row],[Raw Birth]]*(1+TblPop[[#This Row],[Growth]]),0)</f>
        <v>392</v>
      </c>
      <c r="Y83" s="69" t="n">
        <f aca="false">(TblPop[[#This Row],[Peasants]]-TblPop[[#This Row],[Draft Growth]])*raw_pop_growth</f>
        <v>279.27</v>
      </c>
      <c r="Z83" s="69" t="n">
        <f aca="false">IF(TblPop[[#This Row],[Military%]]&lt;TblMili[[#This Row],[Draftrate]],ROUND(TblPop[[#This Row],[Peasants]]*Constants!$B$55,0), 0)</f>
        <v>94</v>
      </c>
      <c r="AA83" s="132"/>
      <c r="AB83" s="109" t="n">
        <f aca="false">Overview!$I$16 + IF(Magic!AE83&gt;0,Constants!$F$78) + ROUND(6*(Construction!BM84+Construction!CK83)/IF(Explore!S84&gt;0,Construction!F84-20,Construction!F84),4) + tech_6_5_2*Techs!BJ83 + tech_8_4*Techs!BT83</f>
        <v>0.4029</v>
      </c>
      <c r="AC83" s="130" t="n">
        <f aca="false">(Overview!$I$15 + Imps!Z83+ tech_2_5*Techs!AB83 + tech_3_6*Techs!AM83 + tech_6_1*Techs!BJ83 + tech_6_5*Techs!BF83 + tech_7_3_2*Techs!BN83) * (1 + Production!P83/100*prestige_pop_multiplier) + Production!P83/100*prestige_pop_multiplier</f>
        <v>0.07625</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9309</v>
      </c>
      <c r="D84" s="69" t="n">
        <f aca="false">TblMili[[#This Row],[Military]]</f>
        <v>3630</v>
      </c>
      <c r="E84" s="69" t="n">
        <f aca="false">TblMili[[#This Row],[Draftees]]</f>
        <v>406</v>
      </c>
      <c r="F84" s="69" t="n">
        <f aca="false">TblPop[[#This Row],[Peasants]]+TblPop[[#This Row],[Military]]</f>
        <v>12939</v>
      </c>
      <c r="G84" s="130" t="n">
        <f aca="false">TblPop[[#This Row],[Military]]/TblPop[[#This Row],[Total]]</f>
        <v>0.280547182935312</v>
      </c>
      <c r="H84" s="95" t="n">
        <f aca="false">MIN(TblPop[[#This Row],[Peasants]],TblPop[[#This Row],[Jobs]])</f>
        <v>9309</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406</v>
      </c>
      <c r="M84" s="33" t="n">
        <f aca="false">TblMili[[#This Row],[Unit 1]]</f>
        <v>0</v>
      </c>
      <c r="N84" s="33" t="n">
        <f aca="false">TblMili[[#This Row],[Unit 2]]</f>
        <v>1002</v>
      </c>
      <c r="O84" s="33" t="n">
        <f aca="false">TblMili[[#This Row],[Unit 3]]</f>
        <v>625</v>
      </c>
      <c r="P84" s="33" t="n">
        <f aca="false">TblMili[[#This Row],[Unit 4]]</f>
        <v>851</v>
      </c>
      <c r="Q84" s="33" t="n">
        <f aca="false">TblMili[[#This Row],[Spies]]</f>
        <v>25</v>
      </c>
      <c r="R84" s="33" t="n">
        <f aca="false">TblMili[[#This Row],[Wizards]]</f>
        <v>25</v>
      </c>
      <c r="S84" s="33" t="n">
        <f aca="false">TblMili[[#This Row],[Archmages]]</f>
        <v>0</v>
      </c>
      <c r="T84" s="132"/>
      <c r="U84" s="69" t="n">
        <f aca="false">ROUND(TblPop[[#This Row],[Raw max]]*(1+TblPop[[#This Row],[Max pop]]),0)+MIN(TblPop[[#This Row],[Military]]-TblPop[[#This Row],[Draftees]]-SUM(TblMili[[#This Row],[Train Unit 1]:[Train AM]]),(barracks_size + tech_8_3*TblTech[[#This Row],[8-3]])*TblConstr[[#This Row],[Tot Bar]])</f>
        <v>12939</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4" s="69" t="n">
        <f aca="false">MAX(-5%*TblPop[[#This Row],[Peasants]]-TblPop[[#This Row],[Draft Growth]],MIN(OFFSET(TblPop[[#This Row],[Net max]],1,0)-TblPop[[#This Row],[Peasants]]-TblPop[[#This Row],[Military]]-TblPop[[#This Row],[Draft Growth]],TblPop[[#This Row],[Modded Birth]]-TblPop[[#This Row],[Draft Growth]]))</f>
        <v>-93</v>
      </c>
      <c r="X84" s="69" t="n">
        <f aca="false">ROUND(TblPop[[#This Row],[Raw Birth]]*(1+TblPop[[#This Row],[Growth]]),0)</f>
        <v>388</v>
      </c>
      <c r="Y84" s="69" t="n">
        <f aca="false">(TblPop[[#This Row],[Peasants]]-TblPop[[#This Row],[Draft Growth]])*raw_pop_growth</f>
        <v>276.48</v>
      </c>
      <c r="Z84" s="69" t="n">
        <f aca="false">IF(TblPop[[#This Row],[Military%]]&lt;TblMili[[#This Row],[Draftrate]],ROUND(TblPop[[#This Row],[Peasants]]*Constants!$B$55,0), 0)</f>
        <v>93</v>
      </c>
      <c r="AA84" s="132"/>
      <c r="AB84" s="109" t="n">
        <f aca="false">Overview!$I$16 + IF(Magic!AE84&gt;0,Constants!$F$78) + ROUND(6*(Construction!BM85+Construction!CK84)/IF(Explore!S85&gt;0,Construction!F85-20,Construction!F85),4) + tech_6_5_2*Techs!BJ84 + tech_8_4*Techs!BT84</f>
        <v>0.4029</v>
      </c>
      <c r="AC84" s="130" t="n">
        <f aca="false">(Overview!$I$15 + Imps!Z84+ tech_2_5*Techs!AB84 + tech_3_6*Techs!AM84 + tech_6_1*Techs!BJ84 + tech_6_5*Techs!BF84 + tech_7_3_2*Techs!BN84) * (1 + Production!P84/100*prestige_pop_multiplier) + Production!P84/100*prestige_pop_multiplier</f>
        <v>0.07625</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9216</v>
      </c>
      <c r="D85" s="69" t="n">
        <f aca="false">TblMili[[#This Row],[Military]]</f>
        <v>3723</v>
      </c>
      <c r="E85" s="69" t="n">
        <f aca="false">TblMili[[#This Row],[Draftees]]</f>
        <v>499</v>
      </c>
      <c r="F85" s="69" t="n">
        <f aca="false">TblPop[[#This Row],[Peasants]]+TblPop[[#This Row],[Military]]</f>
        <v>12939</v>
      </c>
      <c r="G85" s="130" t="n">
        <f aca="false">TblPop[[#This Row],[Military]]/TblPop[[#This Row],[Total]]</f>
        <v>0.287734755390679</v>
      </c>
      <c r="H85" s="95" t="n">
        <f aca="false">MIN(TblPop[[#This Row],[Peasants]],TblPop[[#This Row],[Jobs]])</f>
        <v>9216</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499</v>
      </c>
      <c r="M85" s="33" t="n">
        <f aca="false">TblMili[[#This Row],[Unit 1]]</f>
        <v>0</v>
      </c>
      <c r="N85" s="33" t="n">
        <f aca="false">TblMili[[#This Row],[Unit 2]]</f>
        <v>1002</v>
      </c>
      <c r="O85" s="33" t="n">
        <f aca="false">TblMili[[#This Row],[Unit 3]]</f>
        <v>625</v>
      </c>
      <c r="P85" s="33" t="n">
        <f aca="false">TblMili[[#This Row],[Unit 4]]</f>
        <v>953</v>
      </c>
      <c r="Q85" s="33" t="n">
        <f aca="false">TblMili[[#This Row],[Spies]]</f>
        <v>25</v>
      </c>
      <c r="R85" s="33" t="n">
        <f aca="false">TblMili[[#This Row],[Wizards]]</f>
        <v>25</v>
      </c>
      <c r="S85" s="33" t="n">
        <f aca="false">TblMili[[#This Row],[Archmages]]</f>
        <v>0</v>
      </c>
      <c r="T85" s="132"/>
      <c r="U85" s="69" t="n">
        <f aca="false">ROUND(TblPop[[#This Row],[Raw max]]*(1+TblPop[[#This Row],[Max pop]]),0)+MIN(TblPop[[#This Row],[Military]]-TblPop[[#This Row],[Draftees]]-SUM(TblMili[[#This Row],[Train Unit 1]:[Train AM]]),(barracks_size + tech_8_3*TblTech[[#This Row],[8-3]])*TblConstr[[#This Row],[Tot Bar]])</f>
        <v>12939</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5" s="69" t="n">
        <f aca="false">MAX(-5%*TblPop[[#This Row],[Peasants]]-TblPop[[#This Row],[Draft Growth]],MIN(OFFSET(TblPop[[#This Row],[Net max]],1,0)-TblPop[[#This Row],[Peasants]]-TblPop[[#This Row],[Military]]-TblPop[[#This Row],[Draft Growth]],TblPop[[#This Row],[Modded Birth]]-TblPop[[#This Row],[Draft Growth]]))</f>
        <v>-92</v>
      </c>
      <c r="X85" s="69" t="n">
        <f aca="false">ROUND(TblPop[[#This Row],[Raw Birth]]*(1+TblPop[[#This Row],[Growth]]),0)</f>
        <v>384</v>
      </c>
      <c r="Y85" s="69" t="n">
        <f aca="false">(TblPop[[#This Row],[Peasants]]-TblPop[[#This Row],[Draft Growth]])*raw_pop_growth</f>
        <v>273.72</v>
      </c>
      <c r="Z85" s="69" t="n">
        <f aca="false">IF(TblPop[[#This Row],[Military%]]&lt;TblMili[[#This Row],[Draftrate]],ROUND(TblPop[[#This Row],[Peasants]]*Constants!$B$55,0), 0)</f>
        <v>92</v>
      </c>
      <c r="AA85" s="132"/>
      <c r="AB85" s="109" t="n">
        <f aca="false">Overview!$I$16 + IF(Magic!AE85&gt;0,Constants!$F$78) + ROUND(6*(Construction!BM86+Construction!CK85)/IF(Explore!S86&gt;0,Construction!F86-20,Construction!F86),4) + tech_6_5_2*Techs!BJ85 + tech_8_4*Techs!BT85</f>
        <v>0.4029</v>
      </c>
      <c r="AC85" s="130" t="n">
        <f aca="false">(Overview!$I$15 + Imps!Z85+ tech_2_5*Techs!AB85 + tech_3_6*Techs!AM85 + tech_6_1*Techs!BJ85 + tech_6_5*Techs!BF85 + tech_7_3_2*Techs!BN85) * (1 + Production!P85/100*prestige_pop_multiplier) + Production!P85/100*prestige_pop_multiplier</f>
        <v>0.07625</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9124</v>
      </c>
      <c r="D86" s="69" t="n">
        <f aca="false">TblMili[[#This Row],[Military]]</f>
        <v>3815</v>
      </c>
      <c r="E86" s="69" t="n">
        <f aca="false">TblMili[[#This Row],[Draftees]]</f>
        <v>591</v>
      </c>
      <c r="F86" s="69" t="n">
        <f aca="false">TblPop[[#This Row],[Peasants]]+TblPop[[#This Row],[Military]]</f>
        <v>12939</v>
      </c>
      <c r="G86" s="130" t="n">
        <f aca="false">TblPop[[#This Row],[Military]]/TblPop[[#This Row],[Total]]</f>
        <v>0.29484504212072</v>
      </c>
      <c r="H86" s="95" t="n">
        <f aca="false">MIN(TblPop[[#This Row],[Peasants]],TblPop[[#This Row],[Jobs]])</f>
        <v>9124</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591</v>
      </c>
      <c r="M86" s="33" t="n">
        <f aca="false">TblMili[[#This Row],[Unit 1]]</f>
        <v>0</v>
      </c>
      <c r="N86" s="33" t="n">
        <f aca="false">TblMili[[#This Row],[Unit 2]]</f>
        <v>1050</v>
      </c>
      <c r="O86" s="33" t="n">
        <f aca="false">TblMili[[#This Row],[Unit 3]]</f>
        <v>625</v>
      </c>
      <c r="P86" s="33" t="n">
        <f aca="false">TblMili[[#This Row],[Unit 4]]</f>
        <v>1054</v>
      </c>
      <c r="Q86" s="33" t="n">
        <f aca="false">TblMili[[#This Row],[Spies]]</f>
        <v>25</v>
      </c>
      <c r="R86" s="33" t="n">
        <f aca="false">TblMili[[#This Row],[Wizards]]</f>
        <v>25</v>
      </c>
      <c r="S86" s="33" t="n">
        <f aca="false">TblMili[[#This Row],[Archmages]]</f>
        <v>0</v>
      </c>
      <c r="T86" s="132"/>
      <c r="U86" s="69" t="n">
        <f aca="false">ROUND(TblPop[[#This Row],[Raw max]]*(1+TblPop[[#This Row],[Max pop]]),0)+MIN(TblPop[[#This Row],[Military]]-TblPop[[#This Row],[Draftees]]-SUM(TblMili[[#This Row],[Train Unit 1]:[Train AM]]),(barracks_size + tech_8_3*TblTech[[#This Row],[8-3]])*TblConstr[[#This Row],[Tot Bar]])</f>
        <v>12939</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6" s="69" t="n">
        <f aca="false">MAX(-5%*TblPop[[#This Row],[Peasants]]-TblPop[[#This Row],[Draft Growth]],MIN(OFFSET(TblPop[[#This Row],[Net max]],1,0)-TblPop[[#This Row],[Peasants]]-TblPop[[#This Row],[Military]]-TblPop[[#This Row],[Draft Growth]],TblPop[[#This Row],[Modded Birth]]-TblPop[[#This Row],[Draft Growth]]))</f>
        <v>-91</v>
      </c>
      <c r="X86" s="69" t="n">
        <f aca="false">ROUND(TblPop[[#This Row],[Raw Birth]]*(1+TblPop[[#This Row],[Growth]]),0)</f>
        <v>380</v>
      </c>
      <c r="Y86" s="69" t="n">
        <f aca="false">(TblPop[[#This Row],[Peasants]]-TblPop[[#This Row],[Draft Growth]])*raw_pop_growth</f>
        <v>270.99</v>
      </c>
      <c r="Z86" s="69" t="n">
        <f aca="false">IF(TblPop[[#This Row],[Military%]]&lt;TblMili[[#This Row],[Draftrate]],ROUND(TblPop[[#This Row],[Peasants]]*Constants!$B$55,0), 0)</f>
        <v>91</v>
      </c>
      <c r="AA86" s="132"/>
      <c r="AB86" s="109" t="n">
        <f aca="false">Overview!$I$16 + IF(Magic!AE86&gt;0,Constants!$F$78) + ROUND(6*(Construction!BM87+Construction!CK86)/IF(Explore!S87&gt;0,Construction!F87-20,Construction!F87),4) + tech_6_5_2*Techs!BJ86 + tech_8_4*Techs!BT86</f>
        <v>0.4029</v>
      </c>
      <c r="AC86" s="130" t="n">
        <f aca="false">(Overview!$I$15 + Imps!Z86+ tech_2_5*Techs!AB86 + tech_3_6*Techs!AM86 + tech_6_1*Techs!BJ86 + tech_6_5*Techs!BF86 + tech_7_3_2*Techs!BN86) * (1 + Production!P86/100*prestige_pop_multiplier) + Production!P86/100*prestige_pop_multiplier</f>
        <v>0.07625</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9033</v>
      </c>
      <c r="D87" s="69" t="n">
        <f aca="false">TblMili[[#This Row],[Military]]</f>
        <v>3906</v>
      </c>
      <c r="E87" s="69" t="n">
        <f aca="false">TblMili[[#This Row],[Draftees]]</f>
        <v>682</v>
      </c>
      <c r="F87" s="69" t="n">
        <f aca="false">TblPop[[#This Row],[Peasants]]+TblPop[[#This Row],[Military]]</f>
        <v>12939</v>
      </c>
      <c r="G87" s="130" t="n">
        <f aca="false">TblPop[[#This Row],[Military]]/TblPop[[#This Row],[Total]]</f>
        <v>0.301878043125435</v>
      </c>
      <c r="H87" s="95" t="n">
        <f aca="false">MIN(TblPop[[#This Row],[Peasants]],TblPop[[#This Row],[Jobs]])</f>
        <v>9033</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682</v>
      </c>
      <c r="M87" s="33" t="n">
        <f aca="false">TblMili[[#This Row],[Unit 1]]</f>
        <v>0</v>
      </c>
      <c r="N87" s="33" t="n">
        <f aca="false">TblMili[[#This Row],[Unit 2]]</f>
        <v>1148</v>
      </c>
      <c r="O87" s="33" t="n">
        <f aca="false">TblMili[[#This Row],[Unit 3]]</f>
        <v>625</v>
      </c>
      <c r="P87" s="33" t="n">
        <f aca="false">TblMili[[#This Row],[Unit 4]]</f>
        <v>1154</v>
      </c>
      <c r="Q87" s="33" t="n">
        <f aca="false">TblMili[[#This Row],[Spies]]</f>
        <v>25</v>
      </c>
      <c r="R87" s="33" t="n">
        <f aca="false">TblMili[[#This Row],[Wizards]]</f>
        <v>25</v>
      </c>
      <c r="S87" s="33" t="n">
        <f aca="false">TblMili[[#This Row],[Archmages]]</f>
        <v>0</v>
      </c>
      <c r="T87" s="132"/>
      <c r="U87" s="69" t="n">
        <f aca="false">ROUND(TblPop[[#This Row],[Raw max]]*(1+TblPop[[#This Row],[Max pop]]),0)+MIN(TblPop[[#This Row],[Military]]-TblPop[[#This Row],[Draftees]]-SUM(TblMili[[#This Row],[Train Unit 1]:[Train AM]]),(barracks_size + tech_8_3*TblTech[[#This Row],[8-3]])*TblConstr[[#This Row],[Tot Bar]])</f>
        <v>12939</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7" s="69" t="n">
        <f aca="false">MAX(-5%*TblPop[[#This Row],[Peasants]]-TblPop[[#This Row],[Draft Growth]],MIN(OFFSET(TblPop[[#This Row],[Net max]],1,0)-TblPop[[#This Row],[Peasants]]-TblPop[[#This Row],[Military]]-TblPop[[#This Row],[Draft Growth]],TblPop[[#This Row],[Modded Birth]]-TblPop[[#This Row],[Draft Growth]]))</f>
        <v>-90</v>
      </c>
      <c r="X87" s="69" t="n">
        <f aca="false">ROUND(TblPop[[#This Row],[Raw Birth]]*(1+TblPop[[#This Row],[Growth]]),0)</f>
        <v>376</v>
      </c>
      <c r="Y87" s="69" t="n">
        <f aca="false">(TblPop[[#This Row],[Peasants]]-TblPop[[#This Row],[Draft Growth]])*raw_pop_growth</f>
        <v>268.29</v>
      </c>
      <c r="Z87" s="69" t="n">
        <f aca="false">IF(TblPop[[#This Row],[Military%]]&lt;TblMili[[#This Row],[Draftrate]],ROUND(TblPop[[#This Row],[Peasants]]*Constants!$B$55,0), 0)</f>
        <v>90</v>
      </c>
      <c r="AA87" s="132"/>
      <c r="AB87" s="109" t="n">
        <f aca="false">Overview!$I$16 + IF(Magic!AE87&gt;0,Constants!$F$78) + ROUND(6*(Construction!BM88+Construction!CK87)/IF(Explore!S88&gt;0,Construction!F88-20,Construction!F88),4) + tech_6_5_2*Techs!BJ87 + tech_8_4*Techs!BT87</f>
        <v>0.4029</v>
      </c>
      <c r="AC87" s="130" t="n">
        <f aca="false">(Overview!$I$15 + Imps!Z87+ tech_2_5*Techs!AB87 + tech_3_6*Techs!AM87 + tech_6_1*Techs!BJ87 + tech_6_5*Techs!BF87 + tech_7_3_2*Techs!BN87) * (1 + Production!P87/100*prestige_pop_multiplier) + Production!P87/100*prestige_pop_multiplier</f>
        <v>0.07625</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8943</v>
      </c>
      <c r="D88" s="69" t="n">
        <f aca="false">TblMili[[#This Row],[Military]]</f>
        <v>3996</v>
      </c>
      <c r="E88" s="69" t="n">
        <f aca="false">TblMili[[#This Row],[Draftees]]</f>
        <v>772</v>
      </c>
      <c r="F88" s="69" t="n">
        <f aca="false">TblPop[[#This Row],[Peasants]]+TblPop[[#This Row],[Military]]</f>
        <v>12939</v>
      </c>
      <c r="G88" s="130" t="n">
        <f aca="false">TblPop[[#This Row],[Military]]/TblPop[[#This Row],[Total]]</f>
        <v>0.308833758404823</v>
      </c>
      <c r="H88" s="95" t="n">
        <f aca="false">MIN(TblPop[[#This Row],[Peasants]],TblPop[[#This Row],[Jobs]])</f>
        <v>8943</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772</v>
      </c>
      <c r="M88" s="33" t="n">
        <f aca="false">TblMili[[#This Row],[Unit 1]]</f>
        <v>0</v>
      </c>
      <c r="N88" s="33" t="n">
        <f aca="false">TblMili[[#This Row],[Unit 2]]</f>
        <v>1246</v>
      </c>
      <c r="O88" s="33" t="n">
        <f aca="false">TblMili[[#This Row],[Unit 3]]</f>
        <v>650</v>
      </c>
      <c r="P88" s="33" t="n">
        <f aca="false">TblMili[[#This Row],[Unit 4]]</f>
        <v>1228</v>
      </c>
      <c r="Q88" s="33" t="n">
        <f aca="false">TblMili[[#This Row],[Spies]]</f>
        <v>25</v>
      </c>
      <c r="R88" s="33" t="n">
        <f aca="false">TblMili[[#This Row],[Wizards]]</f>
        <v>25</v>
      </c>
      <c r="S88" s="33" t="n">
        <f aca="false">TblMili[[#This Row],[Archmages]]</f>
        <v>0</v>
      </c>
      <c r="T88" s="132"/>
      <c r="U88" s="69" t="n">
        <f aca="false">ROUND(TblPop[[#This Row],[Raw max]]*(1+TblPop[[#This Row],[Max pop]]),0)+MIN(TblPop[[#This Row],[Military]]-TblPop[[#This Row],[Draftees]]-SUM(TblMili[[#This Row],[Train Unit 1]:[Train AM]]),(barracks_size + tech_8_3*TblTech[[#This Row],[8-3]])*TblConstr[[#This Row],[Tot Bar]])</f>
        <v>12939</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8" s="69" t="n">
        <f aca="false">MAX(-5%*TblPop[[#This Row],[Peasants]]-TblPop[[#This Row],[Draft Growth]],MIN(OFFSET(TblPop[[#This Row],[Net max]],1,0)-TblPop[[#This Row],[Peasants]]-TblPop[[#This Row],[Military]]-TblPop[[#This Row],[Draft Growth]],TblPop[[#This Row],[Modded Birth]]-TblPop[[#This Row],[Draft Growth]]))</f>
        <v>-89</v>
      </c>
      <c r="X88" s="69" t="n">
        <f aca="false">ROUND(TblPop[[#This Row],[Raw Birth]]*(1+TblPop[[#This Row],[Growth]]),0)</f>
        <v>373</v>
      </c>
      <c r="Y88" s="69" t="n">
        <f aca="false">(TblPop[[#This Row],[Peasants]]-TblPop[[#This Row],[Draft Growth]])*raw_pop_growth</f>
        <v>265.62</v>
      </c>
      <c r="Z88" s="69" t="n">
        <f aca="false">IF(TblPop[[#This Row],[Military%]]&lt;TblMili[[#This Row],[Draftrate]],ROUND(TblPop[[#This Row],[Peasants]]*Constants!$B$55,0), 0)</f>
        <v>89</v>
      </c>
      <c r="AA88" s="132"/>
      <c r="AB88" s="109" t="n">
        <f aca="false">Overview!$I$16 + IF(Magic!AE88&gt;0,Constants!$F$78) + ROUND(6*(Construction!BM89+Construction!CK88)/IF(Explore!S89&gt;0,Construction!F89-20,Construction!F89),4) + tech_6_5_2*Techs!BJ88 + tech_8_4*Techs!BT88</f>
        <v>0.4029</v>
      </c>
      <c r="AC88" s="130" t="n">
        <f aca="false">(Overview!$I$15 + Imps!Z88+ tech_2_5*Techs!AB88 + tech_3_6*Techs!AM88 + tech_6_1*Techs!BJ88 + tech_6_5*Techs!BF88 + tech_7_3_2*Techs!BN88) * (1 + Production!P88/100*prestige_pop_multiplier) + Production!P88/100*prestige_pop_multiplier</f>
        <v>0.07625</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8854</v>
      </c>
      <c r="D89" s="69" t="n">
        <f aca="false">TblMili[[#This Row],[Military]]</f>
        <v>4085</v>
      </c>
      <c r="E89" s="69" t="n">
        <f aca="false">TblMili[[#This Row],[Draftees]]</f>
        <v>861</v>
      </c>
      <c r="F89" s="69" t="n">
        <f aca="false">TblPop[[#This Row],[Peasants]]+TblPop[[#This Row],[Military]]</f>
        <v>12939</v>
      </c>
      <c r="G89" s="130" t="n">
        <f aca="false">TblPop[[#This Row],[Military]]/TblPop[[#This Row],[Total]]</f>
        <v>0.315712187958884</v>
      </c>
      <c r="H89" s="95" t="n">
        <f aca="false">MIN(TblPop[[#This Row],[Peasants]],TblPop[[#This Row],[Jobs]])</f>
        <v>8854</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861</v>
      </c>
      <c r="M89" s="33" t="n">
        <f aca="false">TblMili[[#This Row],[Unit 1]]</f>
        <v>0</v>
      </c>
      <c r="N89" s="33" t="n">
        <f aca="false">TblMili[[#This Row],[Unit 2]]</f>
        <v>1246</v>
      </c>
      <c r="O89" s="33" t="n">
        <f aca="false">TblMili[[#This Row],[Unit 3]]</f>
        <v>700</v>
      </c>
      <c r="P89" s="33" t="n">
        <f aca="false">TblMili[[#This Row],[Unit 4]]</f>
        <v>1228</v>
      </c>
      <c r="Q89" s="33" t="n">
        <f aca="false">TblMili[[#This Row],[Spies]]</f>
        <v>25</v>
      </c>
      <c r="R89" s="33" t="n">
        <f aca="false">TblMili[[#This Row],[Wizards]]</f>
        <v>25</v>
      </c>
      <c r="S89" s="33" t="n">
        <f aca="false">TblMili[[#This Row],[Archmages]]</f>
        <v>0</v>
      </c>
      <c r="T89" s="132"/>
      <c r="U89" s="69" t="n">
        <f aca="false">ROUND(TblPop[[#This Row],[Raw max]]*(1+TblPop[[#This Row],[Max pop]]),0)+MIN(TblPop[[#This Row],[Military]]-TblPop[[#This Row],[Draftees]]-SUM(TblMili[[#This Row],[Train Unit 1]:[Train AM]]),(barracks_size + tech_8_3*TblTech[[#This Row],[8-3]])*TblConstr[[#This Row],[Tot Bar]])</f>
        <v>12939</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9" s="69" t="n">
        <f aca="false">MAX(-5%*TblPop[[#This Row],[Peasants]]-TblPop[[#This Row],[Draft Growth]],MIN(OFFSET(TblPop[[#This Row],[Net max]],1,0)-TblPop[[#This Row],[Peasants]]-TblPop[[#This Row],[Military]]-TblPop[[#This Row],[Draft Growth]],TblPop[[#This Row],[Modded Birth]]-TblPop[[#This Row],[Draft Growth]]))</f>
        <v>-89</v>
      </c>
      <c r="X89" s="69" t="n">
        <f aca="false">ROUND(TblPop[[#This Row],[Raw Birth]]*(1+TblPop[[#This Row],[Growth]]),0)</f>
        <v>369</v>
      </c>
      <c r="Y89" s="69" t="n">
        <f aca="false">(TblPop[[#This Row],[Peasants]]-TblPop[[#This Row],[Draft Growth]])*raw_pop_growth</f>
        <v>262.95</v>
      </c>
      <c r="Z89" s="69" t="n">
        <f aca="false">IF(TblPop[[#This Row],[Military%]]&lt;TblMili[[#This Row],[Draftrate]],ROUND(TblPop[[#This Row],[Peasants]]*Constants!$B$55,0), 0)</f>
        <v>89</v>
      </c>
      <c r="AA89" s="132"/>
      <c r="AB89" s="109" t="n">
        <f aca="false">Overview!$I$16 + IF(Magic!AE89&gt;0,Constants!$F$78) + ROUND(6*(Construction!BM90+Construction!CK89)/IF(Explore!S90&gt;0,Construction!F90-20,Construction!F90),4) + tech_6_5_2*Techs!BJ89 + tech_8_4*Techs!BT89</f>
        <v>0.4029</v>
      </c>
      <c r="AC89" s="130" t="n">
        <f aca="false">(Overview!$I$15 + Imps!Z89+ tech_2_5*Techs!AB89 + tech_3_6*Techs!AM89 + tech_6_1*Techs!BJ89 + tech_6_5*Techs!BF89 + tech_7_3_2*Techs!BN89) * (1 + Production!P89/100*prestige_pop_multiplier) + Production!P89/100*prestige_pop_multiplier</f>
        <v>0.07625</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8765</v>
      </c>
      <c r="D90" s="69" t="n">
        <f aca="false">TblMili[[#This Row],[Military]]</f>
        <v>4174</v>
      </c>
      <c r="E90" s="69" t="n">
        <f aca="false">TblMili[[#This Row],[Draftees]]</f>
        <v>950</v>
      </c>
      <c r="F90" s="69" t="n">
        <f aca="false">TblPop[[#This Row],[Peasants]]+TblPop[[#This Row],[Military]]</f>
        <v>12939</v>
      </c>
      <c r="G90" s="130" t="n">
        <f aca="false">TblPop[[#This Row],[Military]]/TblPop[[#This Row],[Total]]</f>
        <v>0.322590617512945</v>
      </c>
      <c r="H90" s="95" t="n">
        <f aca="false">MIN(TblPop[[#This Row],[Peasants]],TblPop[[#This Row],[Jobs]])</f>
        <v>8765</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950</v>
      </c>
      <c r="M90" s="33" t="n">
        <f aca="false">TblMili[[#This Row],[Unit 1]]</f>
        <v>0</v>
      </c>
      <c r="N90" s="33" t="n">
        <f aca="false">TblMili[[#This Row],[Unit 2]]</f>
        <v>1246</v>
      </c>
      <c r="O90" s="33" t="n">
        <f aca="false">TblMili[[#This Row],[Unit 3]]</f>
        <v>700</v>
      </c>
      <c r="P90" s="33" t="n">
        <f aca="false">TblMili[[#This Row],[Unit 4]]</f>
        <v>1228</v>
      </c>
      <c r="Q90" s="33" t="n">
        <f aca="false">TblMili[[#This Row],[Spies]]</f>
        <v>25</v>
      </c>
      <c r="R90" s="33" t="n">
        <f aca="false">TblMili[[#This Row],[Wizards]]</f>
        <v>25</v>
      </c>
      <c r="S90" s="33" t="n">
        <f aca="false">TblMili[[#This Row],[Archmages]]</f>
        <v>0</v>
      </c>
      <c r="T90" s="132"/>
      <c r="U90" s="69" t="n">
        <f aca="false">ROUND(TblPop[[#This Row],[Raw max]]*(1+TblPop[[#This Row],[Max pop]]),0)+MIN(TblPop[[#This Row],[Military]]-TblPop[[#This Row],[Draftees]]-SUM(TblMili[[#This Row],[Train Unit 1]:[Train AM]]),(barracks_size + tech_8_3*TblTech[[#This Row],[8-3]])*TblConstr[[#This Row],[Tot Bar]])</f>
        <v>12939</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0" s="69" t="n">
        <f aca="false">MAX(-5%*TblPop[[#This Row],[Peasants]]-TblPop[[#This Row],[Draft Growth]],MIN(OFFSET(TblPop[[#This Row],[Net max]],1,0)-TblPop[[#This Row],[Peasants]]-TblPop[[#This Row],[Military]]-TblPop[[#This Row],[Draft Growth]],TblPop[[#This Row],[Modded Birth]]-TblPop[[#This Row],[Draft Growth]]))</f>
        <v>-88</v>
      </c>
      <c r="X90" s="69" t="n">
        <f aca="false">ROUND(TblPop[[#This Row],[Raw Birth]]*(1+TblPop[[#This Row],[Growth]]),0)</f>
        <v>365</v>
      </c>
      <c r="Y90" s="69" t="n">
        <f aca="false">(TblPop[[#This Row],[Peasants]]-TblPop[[#This Row],[Draft Growth]])*raw_pop_growth</f>
        <v>260.31</v>
      </c>
      <c r="Z90" s="69" t="n">
        <f aca="false">IF(TblPop[[#This Row],[Military%]]&lt;TblMili[[#This Row],[Draftrate]],ROUND(TblPop[[#This Row],[Peasants]]*Constants!$B$55,0), 0)</f>
        <v>88</v>
      </c>
      <c r="AA90" s="132"/>
      <c r="AB90" s="109" t="n">
        <f aca="false">Overview!$I$16 + IF(Magic!AE90&gt;0,Constants!$F$78) + ROUND(6*(Construction!BM91+Construction!CK90)/IF(Explore!S91&gt;0,Construction!F91-20,Construction!F91),4) + tech_6_5_2*Techs!BJ90 + tech_8_4*Techs!BT90</f>
        <v>0.4029</v>
      </c>
      <c r="AC90" s="130" t="n">
        <f aca="false">(Overview!$I$15 + Imps!Z90+ tech_2_5*Techs!AB90 + tech_3_6*Techs!AM90 + tech_6_1*Techs!BJ90 + tech_6_5*Techs!BF90 + tech_7_3_2*Techs!BN90) * (1 + Production!P90/100*prestige_pop_multiplier) + Production!P90/100*prestige_pop_multiplier</f>
        <v>0.07625</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8677</v>
      </c>
      <c r="D91" s="69" t="n">
        <f aca="false">TblMili[[#This Row],[Military]]</f>
        <v>4262</v>
      </c>
      <c r="E91" s="69" t="n">
        <f aca="false">TblMili[[#This Row],[Draftees]]</f>
        <v>1038</v>
      </c>
      <c r="F91" s="69" t="n">
        <f aca="false">TblPop[[#This Row],[Peasants]]+TblPop[[#This Row],[Military]]</f>
        <v>12939</v>
      </c>
      <c r="G91" s="130" t="n">
        <f aca="false">TblPop[[#This Row],[Military]]/TblPop[[#This Row],[Total]]</f>
        <v>0.32939176134168</v>
      </c>
      <c r="H91" s="95" t="n">
        <f aca="false">MIN(TblPop[[#This Row],[Peasants]],TblPop[[#This Row],[Jobs]])</f>
        <v>8677</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1038</v>
      </c>
      <c r="M91" s="33" t="n">
        <f aca="false">TblMili[[#This Row],[Unit 1]]</f>
        <v>0</v>
      </c>
      <c r="N91" s="33" t="n">
        <f aca="false">TblMili[[#This Row],[Unit 2]]</f>
        <v>1246</v>
      </c>
      <c r="O91" s="33" t="n">
        <f aca="false">TblMili[[#This Row],[Unit 3]]</f>
        <v>700</v>
      </c>
      <c r="P91" s="33" t="n">
        <f aca="false">TblMili[[#This Row],[Unit 4]]</f>
        <v>1228</v>
      </c>
      <c r="Q91" s="33" t="n">
        <f aca="false">TblMili[[#This Row],[Spies]]</f>
        <v>25</v>
      </c>
      <c r="R91" s="33" t="n">
        <f aca="false">TblMili[[#This Row],[Wizards]]</f>
        <v>25</v>
      </c>
      <c r="S91" s="33" t="n">
        <f aca="false">TblMili[[#This Row],[Archmages]]</f>
        <v>0</v>
      </c>
      <c r="T91" s="132"/>
      <c r="U91" s="69" t="n">
        <f aca="false">ROUND(TblPop[[#This Row],[Raw max]]*(1+TblPop[[#This Row],[Max pop]]),0)+MIN(TblPop[[#This Row],[Military]]-TblPop[[#This Row],[Draftees]]-SUM(TblMili[[#This Row],[Train Unit 1]:[Train AM]]),(barracks_size + tech_8_3*TblTech[[#This Row],[8-3]])*TblConstr[[#This Row],[Tot Bar]])</f>
        <v>12939</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1" s="69" t="n">
        <f aca="false">MAX(-5%*TblPop[[#This Row],[Peasants]]-TblPop[[#This Row],[Draft Growth]],MIN(OFFSET(TblPop[[#This Row],[Net max]],1,0)-TblPop[[#This Row],[Peasants]]-TblPop[[#This Row],[Military]]-TblPop[[#This Row],[Draft Growth]],TblPop[[#This Row],[Modded Birth]]-TblPop[[#This Row],[Draft Growth]]))</f>
        <v>-87</v>
      </c>
      <c r="X91" s="69" t="n">
        <f aca="false">ROUND(TblPop[[#This Row],[Raw Birth]]*(1+TblPop[[#This Row],[Growth]]),0)</f>
        <v>362</v>
      </c>
      <c r="Y91" s="69" t="n">
        <f aca="false">(TblPop[[#This Row],[Peasants]]-TblPop[[#This Row],[Draft Growth]])*raw_pop_growth</f>
        <v>257.7</v>
      </c>
      <c r="Z91" s="69" t="n">
        <f aca="false">IF(TblPop[[#This Row],[Military%]]&lt;TblMili[[#This Row],[Draftrate]],ROUND(TblPop[[#This Row],[Peasants]]*Constants!$B$55,0), 0)</f>
        <v>87</v>
      </c>
      <c r="AA91" s="132"/>
      <c r="AB91" s="109" t="n">
        <f aca="false">Overview!$I$16 + IF(Magic!AE91&gt;0,Constants!$F$78) + ROUND(6*(Construction!BM92+Construction!CK91)/IF(Explore!S92&gt;0,Construction!F92-20,Construction!F92),4) + tech_6_5_2*Techs!BJ91 + tech_8_4*Techs!BT91</f>
        <v>0.4029</v>
      </c>
      <c r="AC91" s="130" t="n">
        <f aca="false">(Overview!$I$15 + Imps!Z91+ tech_2_5*Techs!AB91 + tech_3_6*Techs!AM91 + tech_6_1*Techs!BJ91 + tech_6_5*Techs!BF91 + tech_7_3_2*Techs!BN91) * (1 + Production!P91/100*prestige_pop_multiplier) + Production!P91/100*prestige_pop_multiplier</f>
        <v>0.07625</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8590</v>
      </c>
      <c r="D92" s="69" t="n">
        <f aca="false">TblMili[[#This Row],[Military]]</f>
        <v>4349</v>
      </c>
      <c r="E92" s="69" t="n">
        <f aca="false">TblMili[[#This Row],[Draftees]]</f>
        <v>1125</v>
      </c>
      <c r="F92" s="69" t="n">
        <f aca="false">TblPop[[#This Row],[Peasants]]+TblPop[[#This Row],[Military]]</f>
        <v>12939</v>
      </c>
      <c r="G92" s="130" t="n">
        <f aca="false">TblPop[[#This Row],[Military]]/TblPop[[#This Row],[Total]]</f>
        <v>0.336115619445089</v>
      </c>
      <c r="H92" s="95" t="n">
        <f aca="false">MIN(TblPop[[#This Row],[Peasants]],TblPop[[#This Row],[Jobs]])</f>
        <v>8590</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1125</v>
      </c>
      <c r="M92" s="33" t="n">
        <f aca="false">TblMili[[#This Row],[Unit 1]]</f>
        <v>0</v>
      </c>
      <c r="N92" s="33" t="n">
        <f aca="false">TblMili[[#This Row],[Unit 2]]</f>
        <v>1246</v>
      </c>
      <c r="O92" s="33" t="n">
        <f aca="false">TblMili[[#This Row],[Unit 3]]</f>
        <v>700</v>
      </c>
      <c r="P92" s="33" t="n">
        <f aca="false">TblMili[[#This Row],[Unit 4]]</f>
        <v>1228</v>
      </c>
      <c r="Q92" s="33" t="n">
        <f aca="false">TblMili[[#This Row],[Spies]]</f>
        <v>25</v>
      </c>
      <c r="R92" s="33" t="n">
        <f aca="false">TblMili[[#This Row],[Wizards]]</f>
        <v>25</v>
      </c>
      <c r="S92" s="33" t="n">
        <f aca="false">TblMili[[#This Row],[Archmages]]</f>
        <v>0</v>
      </c>
      <c r="T92" s="132"/>
      <c r="U92" s="69" t="n">
        <f aca="false">ROUND(TblPop[[#This Row],[Raw max]]*(1+TblPop[[#This Row],[Max pop]]),0)+MIN(TblPop[[#This Row],[Military]]-TblPop[[#This Row],[Draftees]]-SUM(TblMili[[#This Row],[Train Unit 1]:[Train AM]]),(barracks_size + tech_8_3*TblTech[[#This Row],[8-3]])*TblConstr[[#This Row],[Tot Bar]])</f>
        <v>12939</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2" s="69" t="n">
        <f aca="false">MAX(-5%*TblPop[[#This Row],[Peasants]]-TblPop[[#This Row],[Draft Growth]],MIN(OFFSET(TblPop[[#This Row],[Net max]],1,0)-TblPop[[#This Row],[Peasants]]-TblPop[[#This Row],[Military]]-TblPop[[#This Row],[Draft Growth]],TblPop[[#This Row],[Modded Birth]]-TblPop[[#This Row],[Draft Growth]]))</f>
        <v>-86</v>
      </c>
      <c r="X92" s="69" t="n">
        <f aca="false">ROUND(TblPop[[#This Row],[Raw Birth]]*(1+TblPop[[#This Row],[Growth]]),0)</f>
        <v>358</v>
      </c>
      <c r="Y92" s="69" t="n">
        <f aca="false">(TblPop[[#This Row],[Peasants]]-TblPop[[#This Row],[Draft Growth]])*raw_pop_growth</f>
        <v>255.12</v>
      </c>
      <c r="Z92" s="69" t="n">
        <f aca="false">IF(TblPop[[#This Row],[Military%]]&lt;TblMili[[#This Row],[Draftrate]],ROUND(TblPop[[#This Row],[Peasants]]*Constants!$B$55,0), 0)</f>
        <v>86</v>
      </c>
      <c r="AA92" s="132"/>
      <c r="AB92" s="109" t="n">
        <f aca="false">Overview!$I$16 + IF(Magic!AE92&gt;0,Constants!$F$78) + ROUND(6*(Construction!BM93+Construction!CK92)/IF(Explore!S93&gt;0,Construction!F93-20,Construction!F93),4) + tech_6_5_2*Techs!BJ92 + tech_8_4*Techs!BT92</f>
        <v>0.4029</v>
      </c>
      <c r="AC92" s="130" t="n">
        <f aca="false">(Overview!$I$15 + Imps!Z92+ tech_2_5*Techs!AB92 + tech_3_6*Techs!AM92 + tech_6_1*Techs!BJ92 + tech_6_5*Techs!BF92 + tech_7_3_2*Techs!BN92) * (1 + Production!P92/100*prestige_pop_multiplier) + Production!P92/100*prestige_pop_multiplier</f>
        <v>0.07625</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8504</v>
      </c>
      <c r="D93" s="69" t="n">
        <f aca="false">TblMili[[#This Row],[Military]]</f>
        <v>4435</v>
      </c>
      <c r="E93" s="69" t="n">
        <f aca="false">TblMili[[#This Row],[Draftees]]</f>
        <v>1211</v>
      </c>
      <c r="F93" s="69" t="n">
        <f aca="false">TblPop[[#This Row],[Peasants]]+TblPop[[#This Row],[Military]]</f>
        <v>12939</v>
      </c>
      <c r="G93" s="130" t="n">
        <f aca="false">TblPop[[#This Row],[Military]]/TblPop[[#This Row],[Total]]</f>
        <v>0.34276219182317</v>
      </c>
      <c r="H93" s="95" t="n">
        <f aca="false">MIN(TblPop[[#This Row],[Peasants]],TblPop[[#This Row],[Jobs]])</f>
        <v>8504</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1211</v>
      </c>
      <c r="M93" s="33" t="n">
        <f aca="false">TblMili[[#This Row],[Unit 1]]</f>
        <v>0</v>
      </c>
      <c r="N93" s="33" t="n">
        <f aca="false">TblMili[[#This Row],[Unit 2]]</f>
        <v>1246</v>
      </c>
      <c r="O93" s="33" t="n">
        <f aca="false">TblMili[[#This Row],[Unit 3]]</f>
        <v>700</v>
      </c>
      <c r="P93" s="33" t="n">
        <f aca="false">TblMili[[#This Row],[Unit 4]]</f>
        <v>1228</v>
      </c>
      <c r="Q93" s="33" t="n">
        <f aca="false">TblMili[[#This Row],[Spies]]</f>
        <v>25</v>
      </c>
      <c r="R93" s="33" t="n">
        <f aca="false">TblMili[[#This Row],[Wizards]]</f>
        <v>25</v>
      </c>
      <c r="S93" s="33" t="n">
        <f aca="false">TblMili[[#This Row],[Archmages]]</f>
        <v>0</v>
      </c>
      <c r="T93" s="132"/>
      <c r="U93" s="69" t="n">
        <f aca="false">ROUND(TblPop[[#This Row],[Raw max]]*(1+TblPop[[#This Row],[Max pop]]),0)+MIN(TblPop[[#This Row],[Military]]-TblPop[[#This Row],[Draftees]]-SUM(TblMili[[#This Row],[Train Unit 1]:[Train AM]]),(barracks_size + tech_8_3*TblTech[[#This Row],[8-3]])*TblConstr[[#This Row],[Tot Bar]])</f>
        <v>12939</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3" s="69" t="n">
        <f aca="false">MAX(-5%*TblPop[[#This Row],[Peasants]]-TblPop[[#This Row],[Draft Growth]],MIN(OFFSET(TblPop[[#This Row],[Net max]],1,0)-TblPop[[#This Row],[Peasants]]-TblPop[[#This Row],[Military]]-TblPop[[#This Row],[Draft Growth]],TblPop[[#This Row],[Modded Birth]]-TblPop[[#This Row],[Draft Growth]]))</f>
        <v>-85</v>
      </c>
      <c r="X93" s="69" t="n">
        <f aca="false">ROUND(TblPop[[#This Row],[Raw Birth]]*(1+TblPop[[#This Row],[Growth]]),0)</f>
        <v>354</v>
      </c>
      <c r="Y93" s="69" t="n">
        <f aca="false">(TblPop[[#This Row],[Peasants]]-TblPop[[#This Row],[Draft Growth]])*raw_pop_growth</f>
        <v>252.57</v>
      </c>
      <c r="Z93" s="69" t="n">
        <f aca="false">IF(TblPop[[#This Row],[Military%]]&lt;TblMili[[#This Row],[Draftrate]],ROUND(TblPop[[#This Row],[Peasants]]*Constants!$B$55,0), 0)</f>
        <v>85</v>
      </c>
      <c r="AA93" s="132"/>
      <c r="AB93" s="109" t="n">
        <f aca="false">Overview!$I$16 + IF(Magic!AE93&gt;0,Constants!$F$78) + ROUND(6*(Construction!BM94+Construction!CK93)/IF(Explore!S94&gt;0,Construction!F94-20,Construction!F94),4) + tech_6_5_2*Techs!BJ93 + tech_8_4*Techs!BT93</f>
        <v>0.4029</v>
      </c>
      <c r="AC93" s="130" t="n">
        <f aca="false">(Overview!$I$15 + Imps!Z93+ tech_2_5*Techs!AB93 + tech_3_6*Techs!AM93 + tech_6_1*Techs!BJ93 + tech_6_5*Techs!BF93 + tech_7_3_2*Techs!BN93) * (1 + Production!P93/100*prestige_pop_multiplier) + Production!P93/100*prestige_pop_multiplier</f>
        <v>0.07625</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8419</v>
      </c>
      <c r="D94" s="69" t="n">
        <f aca="false">TblMili[[#This Row],[Military]]</f>
        <v>4520</v>
      </c>
      <c r="E94" s="69" t="n">
        <f aca="false">TblMili[[#This Row],[Draftees]]</f>
        <v>1296</v>
      </c>
      <c r="F94" s="69" t="n">
        <f aca="false">TblPop[[#This Row],[Peasants]]+TblPop[[#This Row],[Military]]</f>
        <v>12939</v>
      </c>
      <c r="G94" s="130" t="n">
        <f aca="false">TblPop[[#This Row],[Military]]/TblPop[[#This Row],[Total]]</f>
        <v>0.349331478475926</v>
      </c>
      <c r="H94" s="95" t="n">
        <f aca="false">MIN(TblPop[[#This Row],[Peasants]],TblPop[[#This Row],[Jobs]])</f>
        <v>8419</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1296</v>
      </c>
      <c r="M94" s="33" t="n">
        <f aca="false">TblMili[[#This Row],[Unit 1]]</f>
        <v>0</v>
      </c>
      <c r="N94" s="33" t="n">
        <f aca="false">TblMili[[#This Row],[Unit 2]]</f>
        <v>1246</v>
      </c>
      <c r="O94" s="33" t="n">
        <f aca="false">TblMili[[#This Row],[Unit 3]]</f>
        <v>700</v>
      </c>
      <c r="P94" s="33" t="n">
        <f aca="false">TblMili[[#This Row],[Unit 4]]</f>
        <v>1228</v>
      </c>
      <c r="Q94" s="33" t="n">
        <f aca="false">TblMili[[#This Row],[Spies]]</f>
        <v>25</v>
      </c>
      <c r="R94" s="33" t="n">
        <f aca="false">TblMili[[#This Row],[Wizards]]</f>
        <v>25</v>
      </c>
      <c r="S94" s="33" t="n">
        <f aca="false">TblMili[[#This Row],[Archmages]]</f>
        <v>0</v>
      </c>
      <c r="T94" s="132"/>
      <c r="U94" s="69" t="n">
        <f aca="false">ROUND(TblPop[[#This Row],[Raw max]]*(1+TblPop[[#This Row],[Max pop]]),0)+MIN(TblPop[[#This Row],[Military]]-TblPop[[#This Row],[Draftees]]-SUM(TblMili[[#This Row],[Train Unit 1]:[Train AM]]),(barracks_size + tech_8_3*TblTech[[#This Row],[8-3]])*TblConstr[[#This Row],[Tot Bar]])</f>
        <v>12939</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4" s="69" t="n">
        <f aca="false">MAX(-5%*TblPop[[#This Row],[Peasants]]-TblPop[[#This Row],[Draft Growth]],MIN(OFFSET(TblPop[[#This Row],[Net max]],1,0)-TblPop[[#This Row],[Peasants]]-TblPop[[#This Row],[Military]]-TblPop[[#This Row],[Draft Growth]],TblPop[[#This Row],[Modded Birth]]-TblPop[[#This Row],[Draft Growth]]))</f>
        <v>-84</v>
      </c>
      <c r="X94" s="69" t="n">
        <f aca="false">ROUND(TblPop[[#This Row],[Raw Birth]]*(1+TblPop[[#This Row],[Growth]]),0)</f>
        <v>351</v>
      </c>
      <c r="Y94" s="69" t="n">
        <f aca="false">(TblPop[[#This Row],[Peasants]]-TblPop[[#This Row],[Draft Growth]])*raw_pop_growth</f>
        <v>250.05</v>
      </c>
      <c r="Z94" s="69" t="n">
        <f aca="false">IF(TblPop[[#This Row],[Military%]]&lt;TblMili[[#This Row],[Draftrate]],ROUND(TblPop[[#This Row],[Peasants]]*Constants!$B$55,0), 0)</f>
        <v>84</v>
      </c>
      <c r="AA94" s="132"/>
      <c r="AB94" s="109" t="n">
        <f aca="false">Overview!$I$16 + IF(Magic!AE94&gt;0,Constants!$F$78) + ROUND(6*(Construction!BM95+Construction!CK94)/IF(Explore!S95&gt;0,Construction!F95-20,Construction!F95),4) + tech_6_5_2*Techs!BJ94 + tech_8_4*Techs!BT94</f>
        <v>0.4029</v>
      </c>
      <c r="AC94" s="130" t="n">
        <f aca="false">(Overview!$I$15 + Imps!Z94+ tech_2_5*Techs!AB94 + tech_3_6*Techs!AM94 + tech_6_1*Techs!BJ94 + tech_6_5*Techs!BF94 + tech_7_3_2*Techs!BN94) * (1 + Production!P94/100*prestige_pop_multiplier) + Production!P94/100*prestige_pop_multiplier</f>
        <v>0.07625</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8335</v>
      </c>
      <c r="D95" s="69" t="n">
        <f aca="false">TblMili[[#This Row],[Military]]</f>
        <v>4604</v>
      </c>
      <c r="E95" s="69" t="n">
        <f aca="false">TblMili[[#This Row],[Draftees]]</f>
        <v>1380</v>
      </c>
      <c r="F95" s="69" t="n">
        <f aca="false">TblPop[[#This Row],[Peasants]]+TblPop[[#This Row],[Military]]</f>
        <v>12939</v>
      </c>
      <c r="G95" s="130" t="n">
        <f aca="false">TblPop[[#This Row],[Military]]/TblPop[[#This Row],[Total]]</f>
        <v>0.355823479403354</v>
      </c>
      <c r="H95" s="95" t="n">
        <f aca="false">MIN(TblPop[[#This Row],[Peasants]],TblPop[[#This Row],[Jobs]])</f>
        <v>8335</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1380</v>
      </c>
      <c r="M95" s="33" t="n">
        <f aca="false">TblMili[[#This Row],[Unit 1]]</f>
        <v>0</v>
      </c>
      <c r="N95" s="33" t="n">
        <f aca="false">TblMili[[#This Row],[Unit 2]]</f>
        <v>1246</v>
      </c>
      <c r="O95" s="33" t="n">
        <f aca="false">TblMili[[#This Row],[Unit 3]]</f>
        <v>700</v>
      </c>
      <c r="P95" s="33" t="n">
        <f aca="false">TblMili[[#This Row],[Unit 4]]</f>
        <v>1228</v>
      </c>
      <c r="Q95" s="33" t="n">
        <f aca="false">TblMili[[#This Row],[Spies]]</f>
        <v>25</v>
      </c>
      <c r="R95" s="33" t="n">
        <f aca="false">TblMili[[#This Row],[Wizards]]</f>
        <v>25</v>
      </c>
      <c r="S95" s="33" t="n">
        <f aca="false">TblMili[[#This Row],[Archmages]]</f>
        <v>0</v>
      </c>
      <c r="T95" s="132"/>
      <c r="U95" s="69" t="n">
        <f aca="false">ROUND(TblPop[[#This Row],[Raw max]]*(1+TblPop[[#This Row],[Max pop]]),0)+MIN(TblPop[[#This Row],[Military]]-TblPop[[#This Row],[Draftees]]-SUM(TblMili[[#This Row],[Train Unit 1]:[Train AM]]),(barracks_size + tech_8_3*TblTech[[#This Row],[8-3]])*TblConstr[[#This Row],[Tot Bar]])</f>
        <v>12939</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5" s="69" t="n">
        <f aca="false">MAX(-5%*TblPop[[#This Row],[Peasants]]-TblPop[[#This Row],[Draft Growth]],MIN(OFFSET(TblPop[[#This Row],[Net max]],1,0)-TblPop[[#This Row],[Peasants]]-TblPop[[#This Row],[Military]]-TblPop[[#This Row],[Draft Growth]],TblPop[[#This Row],[Modded Birth]]-TblPop[[#This Row],[Draft Growth]]))</f>
        <v>-83</v>
      </c>
      <c r="X95" s="69" t="n">
        <f aca="false">ROUND(TblPop[[#This Row],[Raw Birth]]*(1+TblPop[[#This Row],[Growth]]),0)</f>
        <v>347</v>
      </c>
      <c r="Y95" s="69" t="n">
        <f aca="false">(TblPop[[#This Row],[Peasants]]-TblPop[[#This Row],[Draft Growth]])*raw_pop_growth</f>
        <v>247.56</v>
      </c>
      <c r="Z95" s="69" t="n">
        <f aca="false">IF(TblPop[[#This Row],[Military%]]&lt;TblMili[[#This Row],[Draftrate]],ROUND(TblPop[[#This Row],[Peasants]]*Constants!$B$55,0), 0)</f>
        <v>83</v>
      </c>
      <c r="AA95" s="132"/>
      <c r="AB95" s="109" t="n">
        <f aca="false">Overview!$I$16 + IF(Magic!AE95&gt;0,Constants!$F$78) + ROUND(6*(Construction!BM96+Construction!CK95)/IF(Explore!S96&gt;0,Construction!F96-20,Construction!F96),4) + tech_6_5_2*Techs!BJ95 + tech_8_4*Techs!BT95</f>
        <v>0.4029</v>
      </c>
      <c r="AC95" s="130" t="n">
        <f aca="false">(Overview!$I$15 + Imps!Z95+ tech_2_5*Techs!AB95 + tech_3_6*Techs!AM95 + tech_6_1*Techs!BJ95 + tech_6_5*Techs!BF95 + tech_7_3_2*Techs!BN95) * (1 + Production!P95/100*prestige_pop_multiplier) + Production!P95/100*prestige_pop_multiplier</f>
        <v>0.07625</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8252</v>
      </c>
      <c r="D96" s="69" t="n">
        <f aca="false">TblMili[[#This Row],[Military]]</f>
        <v>4687</v>
      </c>
      <c r="E96" s="69" t="n">
        <f aca="false">TblMili[[#This Row],[Draftees]]</f>
        <v>1463</v>
      </c>
      <c r="F96" s="69" t="n">
        <f aca="false">TblPop[[#This Row],[Peasants]]+TblPop[[#This Row],[Military]]</f>
        <v>12939</v>
      </c>
      <c r="G96" s="130" t="n">
        <f aca="false">TblPop[[#This Row],[Military]]/TblPop[[#This Row],[Total]]</f>
        <v>0.362238194605456</v>
      </c>
      <c r="H96" s="95" t="n">
        <f aca="false">MIN(TblPop[[#This Row],[Peasants]],TblPop[[#This Row],[Jobs]])</f>
        <v>8252</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1463</v>
      </c>
      <c r="M96" s="33" t="n">
        <f aca="false">TblMili[[#This Row],[Unit 1]]</f>
        <v>0</v>
      </c>
      <c r="N96" s="33" t="n">
        <f aca="false">TblMili[[#This Row],[Unit 2]]</f>
        <v>1246</v>
      </c>
      <c r="O96" s="33" t="n">
        <f aca="false">TblMili[[#This Row],[Unit 3]]</f>
        <v>700</v>
      </c>
      <c r="P96" s="33" t="n">
        <f aca="false">TblMili[[#This Row],[Unit 4]]</f>
        <v>1228</v>
      </c>
      <c r="Q96" s="33" t="n">
        <f aca="false">TblMili[[#This Row],[Spies]]</f>
        <v>25</v>
      </c>
      <c r="R96" s="33" t="n">
        <f aca="false">TblMili[[#This Row],[Wizards]]</f>
        <v>25</v>
      </c>
      <c r="S96" s="33" t="n">
        <f aca="false">TblMili[[#This Row],[Archmages]]</f>
        <v>0</v>
      </c>
      <c r="T96" s="132"/>
      <c r="U96" s="69" t="n">
        <f aca="false">ROUND(TblPop[[#This Row],[Raw max]]*(1+TblPop[[#This Row],[Max pop]]),0)+MIN(TblPop[[#This Row],[Military]]-TblPop[[#This Row],[Draftees]]-SUM(TblMili[[#This Row],[Train Unit 1]:[Train AM]]),(barracks_size + tech_8_3*TblTech[[#This Row],[8-3]])*TblConstr[[#This Row],[Tot Bar]])</f>
        <v>12939</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6" s="69" t="n">
        <f aca="false">MAX(-5%*TblPop[[#This Row],[Peasants]]-TblPop[[#This Row],[Draft Growth]],MIN(OFFSET(TblPop[[#This Row],[Net max]],1,0)-TblPop[[#This Row],[Peasants]]-TblPop[[#This Row],[Military]]-TblPop[[#This Row],[Draft Growth]],TblPop[[#This Row],[Modded Birth]]-TblPop[[#This Row],[Draft Growth]]))</f>
        <v>-83</v>
      </c>
      <c r="X96" s="69" t="n">
        <f aca="false">ROUND(TblPop[[#This Row],[Raw Birth]]*(1+TblPop[[#This Row],[Growth]]),0)</f>
        <v>344</v>
      </c>
      <c r="Y96" s="69" t="n">
        <f aca="false">(TblPop[[#This Row],[Peasants]]-TblPop[[#This Row],[Draft Growth]])*raw_pop_growth</f>
        <v>245.07</v>
      </c>
      <c r="Z96" s="69" t="n">
        <f aca="false">IF(TblPop[[#This Row],[Military%]]&lt;TblMili[[#This Row],[Draftrate]],ROUND(TblPop[[#This Row],[Peasants]]*Constants!$B$55,0), 0)</f>
        <v>83</v>
      </c>
      <c r="AA96" s="132"/>
      <c r="AB96" s="109" t="n">
        <f aca="false">Overview!$I$16 + IF(Magic!AE96&gt;0,Constants!$F$78) + ROUND(6*(Construction!BM97+Construction!CK96)/IF(Explore!S97&gt;0,Construction!F97-20,Construction!F97),4) + tech_6_5_2*Techs!BJ96 + tech_8_4*Techs!BT96</f>
        <v>0.4029</v>
      </c>
      <c r="AC96" s="130" t="n">
        <f aca="false">(Overview!$I$15 + Imps!Z96+ tech_2_5*Techs!AB96 + tech_3_6*Techs!AM96 + tech_6_1*Techs!BJ96 + tech_6_5*Techs!BF96 + tech_7_3_2*Techs!BN96) * (1 + Production!P96/100*prestige_pop_multiplier) + Production!P96/100*prestige_pop_multiplier</f>
        <v>0.07625</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8169</v>
      </c>
      <c r="D97" s="69" t="n">
        <f aca="false">TblMili[[#This Row],[Military]]</f>
        <v>4770</v>
      </c>
      <c r="E97" s="69" t="n">
        <f aca="false">TblMili[[#This Row],[Draftees]]</f>
        <v>1546</v>
      </c>
      <c r="F97" s="69" t="n">
        <f aca="false">TblPop[[#This Row],[Peasants]]+TblPop[[#This Row],[Military]]</f>
        <v>12939</v>
      </c>
      <c r="G97" s="130" t="n">
        <f aca="false">TblPop[[#This Row],[Military]]/TblPop[[#This Row],[Total]]</f>
        <v>0.368652909807559</v>
      </c>
      <c r="H97" s="95" t="n">
        <f aca="false">MIN(TblPop[[#This Row],[Peasants]],TblPop[[#This Row],[Jobs]])</f>
        <v>8169</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1546</v>
      </c>
      <c r="M97" s="33" t="n">
        <f aca="false">TblMili[[#This Row],[Unit 1]]</f>
        <v>0</v>
      </c>
      <c r="N97" s="33" t="n">
        <f aca="false">TblMili[[#This Row],[Unit 2]]</f>
        <v>1246</v>
      </c>
      <c r="O97" s="33" t="n">
        <f aca="false">TblMili[[#This Row],[Unit 3]]</f>
        <v>700</v>
      </c>
      <c r="P97" s="33" t="n">
        <f aca="false">TblMili[[#This Row],[Unit 4]]</f>
        <v>1228</v>
      </c>
      <c r="Q97" s="33" t="n">
        <f aca="false">TblMili[[#This Row],[Spies]]</f>
        <v>25</v>
      </c>
      <c r="R97" s="33" t="n">
        <f aca="false">TblMili[[#This Row],[Wizards]]</f>
        <v>25</v>
      </c>
      <c r="S97" s="33" t="n">
        <f aca="false">TblMili[[#This Row],[Archmages]]</f>
        <v>0</v>
      </c>
      <c r="T97" s="132"/>
      <c r="U97" s="69" t="n">
        <f aca="false">ROUND(TblPop[[#This Row],[Raw max]]*(1+TblPop[[#This Row],[Max pop]]),0)+MIN(TblPop[[#This Row],[Military]]-TblPop[[#This Row],[Draftees]]-SUM(TblMili[[#This Row],[Train Unit 1]:[Train AM]]),(barracks_size + tech_8_3*TblTech[[#This Row],[8-3]])*TblConstr[[#This Row],[Tot Bar]])</f>
        <v>12939</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7" s="69" t="n">
        <f aca="false">MAX(-5%*TblPop[[#This Row],[Peasants]]-TblPop[[#This Row],[Draft Growth]],MIN(OFFSET(TblPop[[#This Row],[Net max]],1,0)-TblPop[[#This Row],[Peasants]]-TblPop[[#This Row],[Military]]-TblPop[[#This Row],[Draft Growth]],TblPop[[#This Row],[Modded Birth]]-TblPop[[#This Row],[Draft Growth]]))</f>
        <v>-82</v>
      </c>
      <c r="X97" s="69" t="n">
        <f aca="false">ROUND(TblPop[[#This Row],[Raw Birth]]*(1+TblPop[[#This Row],[Growth]]),0)</f>
        <v>340</v>
      </c>
      <c r="Y97" s="69" t="n">
        <f aca="false">(TblPop[[#This Row],[Peasants]]-TblPop[[#This Row],[Draft Growth]])*raw_pop_growth</f>
        <v>242.61</v>
      </c>
      <c r="Z97" s="69" t="n">
        <f aca="false">IF(TblPop[[#This Row],[Military%]]&lt;TblMili[[#This Row],[Draftrate]],ROUND(TblPop[[#This Row],[Peasants]]*Constants!$B$55,0), 0)</f>
        <v>82</v>
      </c>
      <c r="AA97" s="132"/>
      <c r="AB97" s="109" t="n">
        <f aca="false">Overview!$I$16 + IF(Magic!AE97&gt;0,Constants!$F$78) + ROUND(6*(Construction!BM98+Construction!CK97)/IF(Explore!S98&gt;0,Construction!F98-20,Construction!F98),4) + tech_6_5_2*Techs!BJ97 + tech_8_4*Techs!BT97</f>
        <v>0.4029</v>
      </c>
      <c r="AC97" s="130" t="n">
        <f aca="false">(Overview!$I$15 + Imps!Z97+ tech_2_5*Techs!AB97 + tech_3_6*Techs!AM97 + tech_6_1*Techs!BJ97 + tech_6_5*Techs!BF97 + tech_7_3_2*Techs!BN97) * (1 + Production!P97/100*prestige_pop_multiplier) + Production!P97/100*prestige_pop_multiplier</f>
        <v>0.07625</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8087</v>
      </c>
      <c r="D98" s="69" t="n">
        <f aca="false">TblMili[[#This Row],[Military]]</f>
        <v>4852</v>
      </c>
      <c r="E98" s="69" t="n">
        <f aca="false">TblMili[[#This Row],[Draftees]]</f>
        <v>1628</v>
      </c>
      <c r="F98" s="69" t="n">
        <f aca="false">TblPop[[#This Row],[Peasants]]+TblPop[[#This Row],[Military]]</f>
        <v>12939</v>
      </c>
      <c r="G98" s="130" t="n">
        <f aca="false">TblPop[[#This Row],[Military]]/TblPop[[#This Row],[Total]]</f>
        <v>0.374990339284334</v>
      </c>
      <c r="H98" s="95" t="n">
        <f aca="false">MIN(TblPop[[#This Row],[Peasants]],TblPop[[#This Row],[Jobs]])</f>
        <v>8087</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1628</v>
      </c>
      <c r="M98" s="33" t="n">
        <f aca="false">TblMili[[#This Row],[Unit 1]]</f>
        <v>0</v>
      </c>
      <c r="N98" s="33" t="n">
        <f aca="false">TblMili[[#This Row],[Unit 2]]</f>
        <v>1246</v>
      </c>
      <c r="O98" s="33" t="n">
        <f aca="false">TblMili[[#This Row],[Unit 3]]</f>
        <v>700</v>
      </c>
      <c r="P98" s="33" t="n">
        <f aca="false">TblMili[[#This Row],[Unit 4]]</f>
        <v>1228</v>
      </c>
      <c r="Q98" s="33" t="n">
        <f aca="false">TblMili[[#This Row],[Spies]]</f>
        <v>25</v>
      </c>
      <c r="R98" s="33" t="n">
        <f aca="false">TblMili[[#This Row],[Wizards]]</f>
        <v>25</v>
      </c>
      <c r="S98" s="33" t="n">
        <f aca="false">TblMili[[#This Row],[Archmages]]</f>
        <v>0</v>
      </c>
      <c r="T98" s="132"/>
      <c r="U98" s="69" t="n">
        <f aca="false">ROUND(TblPop[[#This Row],[Raw max]]*(1+TblPop[[#This Row],[Max pop]]),0)+MIN(TblPop[[#This Row],[Military]]-TblPop[[#This Row],[Draftees]]-SUM(TblMili[[#This Row],[Train Unit 1]:[Train AM]]),(barracks_size + tech_8_3*TblTech[[#This Row],[8-3]])*TblConstr[[#This Row],[Tot Bar]])</f>
        <v>12939</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8" s="69" t="n">
        <f aca="false">MAX(-5%*TblPop[[#This Row],[Peasants]]-TblPop[[#This Row],[Draft Growth]],MIN(OFFSET(TblPop[[#This Row],[Net max]],1,0)-TblPop[[#This Row],[Peasants]]-TblPop[[#This Row],[Military]]-TblPop[[#This Row],[Draft Growth]],TblPop[[#This Row],[Modded Birth]]-TblPop[[#This Row],[Draft Growth]]))</f>
        <v>-81</v>
      </c>
      <c r="X98" s="69" t="n">
        <f aca="false">ROUND(TblPop[[#This Row],[Raw Birth]]*(1+TblPop[[#This Row],[Growth]]),0)</f>
        <v>337</v>
      </c>
      <c r="Y98" s="69" t="n">
        <f aca="false">(TblPop[[#This Row],[Peasants]]-TblPop[[#This Row],[Draft Growth]])*raw_pop_growth</f>
        <v>240.18</v>
      </c>
      <c r="Z98" s="69" t="n">
        <f aca="false">IF(TblPop[[#This Row],[Military%]]&lt;TblMili[[#This Row],[Draftrate]],ROUND(TblPop[[#This Row],[Peasants]]*Constants!$B$55,0), 0)</f>
        <v>81</v>
      </c>
      <c r="AA98" s="132"/>
      <c r="AB98" s="109" t="n">
        <f aca="false">Overview!$I$16 + IF(Magic!AE98&gt;0,Constants!$F$78) + ROUND(6*(Construction!BM99+Construction!CK98)/IF(Explore!S99&gt;0,Construction!F99-20,Construction!F99),4) + tech_6_5_2*Techs!BJ98 + tech_8_4*Techs!BT98</f>
        <v>0.4029</v>
      </c>
      <c r="AC98" s="130" t="n">
        <f aca="false">(Overview!$I$15 + Imps!Z98+ tech_2_5*Techs!AB98 + tech_3_6*Techs!AM98 + tech_6_1*Techs!BJ98 + tech_6_5*Techs!BF98 + tech_7_3_2*Techs!BN98) * (1 + Production!P98/100*prestige_pop_multiplier) + Production!P98/100*prestige_pop_multiplier</f>
        <v>0.07625</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8006</v>
      </c>
      <c r="D99" s="69" t="n">
        <f aca="false">TblMili[[#This Row],[Military]]</f>
        <v>4933</v>
      </c>
      <c r="E99" s="69" t="n">
        <f aca="false">TblMili[[#This Row],[Draftees]]</f>
        <v>1709</v>
      </c>
      <c r="F99" s="69" t="n">
        <f aca="false">TblPop[[#This Row],[Peasants]]+TblPop[[#This Row],[Military]]</f>
        <v>12939</v>
      </c>
      <c r="G99" s="130" t="n">
        <f aca="false">TblPop[[#This Row],[Military]]/TblPop[[#This Row],[Total]]</f>
        <v>0.381250483035783</v>
      </c>
      <c r="H99" s="95" t="n">
        <f aca="false">MIN(TblPop[[#This Row],[Peasants]],TblPop[[#This Row],[Jobs]])</f>
        <v>8006</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1709</v>
      </c>
      <c r="M99" s="33" t="n">
        <f aca="false">TblMili[[#This Row],[Unit 1]]</f>
        <v>0</v>
      </c>
      <c r="N99" s="33" t="n">
        <f aca="false">TblMili[[#This Row],[Unit 2]]</f>
        <v>1246</v>
      </c>
      <c r="O99" s="33" t="n">
        <f aca="false">TblMili[[#This Row],[Unit 3]]</f>
        <v>700</v>
      </c>
      <c r="P99" s="33" t="n">
        <f aca="false">TblMili[[#This Row],[Unit 4]]</f>
        <v>1228</v>
      </c>
      <c r="Q99" s="33" t="n">
        <f aca="false">TblMili[[#This Row],[Spies]]</f>
        <v>25</v>
      </c>
      <c r="R99" s="33" t="n">
        <f aca="false">TblMili[[#This Row],[Wizards]]</f>
        <v>25</v>
      </c>
      <c r="S99" s="33" t="n">
        <f aca="false">TblMili[[#This Row],[Archmages]]</f>
        <v>0</v>
      </c>
      <c r="T99" s="132"/>
      <c r="U99" s="69" t="n">
        <f aca="false">ROUND(TblPop[[#This Row],[Raw max]]*(1+TblPop[[#This Row],[Max pop]]),0)+MIN(TblPop[[#This Row],[Military]]-TblPop[[#This Row],[Draftees]]-SUM(TblMili[[#This Row],[Train Unit 1]:[Train AM]]),(barracks_size + tech_8_3*TblTech[[#This Row],[8-3]])*TblConstr[[#This Row],[Tot Bar]])</f>
        <v>12939</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9" s="69" t="n">
        <f aca="false">MAX(-5%*TblPop[[#This Row],[Peasants]]-TblPop[[#This Row],[Draft Growth]],MIN(OFFSET(TblPop[[#This Row],[Net max]],1,0)-TblPop[[#This Row],[Peasants]]-TblPop[[#This Row],[Military]]-TblPop[[#This Row],[Draft Growth]],TblPop[[#This Row],[Modded Birth]]-TblPop[[#This Row],[Draft Growth]]))</f>
        <v>-80</v>
      </c>
      <c r="X99" s="69" t="n">
        <f aca="false">ROUND(TblPop[[#This Row],[Raw Birth]]*(1+TblPop[[#This Row],[Growth]]),0)</f>
        <v>334</v>
      </c>
      <c r="Y99" s="69" t="n">
        <f aca="false">(TblPop[[#This Row],[Peasants]]-TblPop[[#This Row],[Draft Growth]])*raw_pop_growth</f>
        <v>237.78</v>
      </c>
      <c r="Z99" s="69" t="n">
        <f aca="false">IF(TblPop[[#This Row],[Military%]]&lt;TblMili[[#This Row],[Draftrate]],ROUND(TblPop[[#This Row],[Peasants]]*Constants!$B$55,0), 0)</f>
        <v>80</v>
      </c>
      <c r="AA99" s="132"/>
      <c r="AB99" s="109" t="n">
        <f aca="false">Overview!$I$16 + IF(Magic!AE99&gt;0,Constants!$F$78) + ROUND(6*(Construction!BM100+Construction!CK99)/IF(Explore!S100&gt;0,Construction!F100-20,Construction!F100),4) + tech_6_5_2*Techs!BJ99 + tech_8_4*Techs!BT99</f>
        <v>0.4029</v>
      </c>
      <c r="AC99" s="130" t="n">
        <f aca="false">(Overview!$I$15 + Imps!Z99+ tech_2_5*Techs!AB99 + tech_3_6*Techs!AM99 + tech_6_1*Techs!BJ99 + tech_6_5*Techs!BF99 + tech_7_3_2*Techs!BN99) * (1 + Production!P99/100*prestige_pop_multiplier) + Production!P99/100*prestige_pop_multiplier</f>
        <v>0.07625</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7926</v>
      </c>
      <c r="D100" s="69" t="n">
        <f aca="false">TblMili[[#This Row],[Military]]</f>
        <v>5013</v>
      </c>
      <c r="E100" s="69" t="n">
        <f aca="false">TblMili[[#This Row],[Draftees]]</f>
        <v>1789</v>
      </c>
      <c r="F100" s="69" t="n">
        <f aca="false">TblPop[[#This Row],[Peasants]]+TblPop[[#This Row],[Military]]</f>
        <v>12939</v>
      </c>
      <c r="G100" s="130" t="n">
        <f aca="false">TblPop[[#This Row],[Military]]/TblPop[[#This Row],[Total]]</f>
        <v>0.387433341061906</v>
      </c>
      <c r="H100" s="95" t="n">
        <f aca="false">MIN(TblPop[[#This Row],[Peasants]],TblPop[[#This Row],[Jobs]])</f>
        <v>7926</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1789</v>
      </c>
      <c r="M100" s="33" t="n">
        <f aca="false">TblMili[[#This Row],[Unit 1]]</f>
        <v>0</v>
      </c>
      <c r="N100" s="33" t="n">
        <f aca="false">TblMili[[#This Row],[Unit 2]]</f>
        <v>1246</v>
      </c>
      <c r="O100" s="33" t="n">
        <f aca="false">TblMili[[#This Row],[Unit 3]]</f>
        <v>700</v>
      </c>
      <c r="P100" s="33" t="n">
        <f aca="false">TblMili[[#This Row],[Unit 4]]</f>
        <v>1228</v>
      </c>
      <c r="Q100" s="33" t="n">
        <f aca="false">TblMili[[#This Row],[Spies]]</f>
        <v>25</v>
      </c>
      <c r="R100" s="33" t="n">
        <f aca="false">TblMili[[#This Row],[Wizards]]</f>
        <v>25</v>
      </c>
      <c r="S100" s="33" t="n">
        <f aca="false">TblMili[[#This Row],[Archmages]]</f>
        <v>0</v>
      </c>
      <c r="T100" s="132"/>
      <c r="U100" s="69" t="n">
        <f aca="false">ROUND(TblPop[[#This Row],[Raw max]]*(1+TblPop[[#This Row],[Max pop]]),0)+MIN(TblPop[[#This Row],[Military]]-TblPop[[#This Row],[Draftees]]-SUM(TblMili[[#This Row],[Train Unit 1]:[Train AM]]),(barracks_size + tech_8_3*TblTech[[#This Row],[8-3]])*TblConstr[[#This Row],[Tot Bar]])</f>
        <v>12939</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0" s="69" t="n">
        <f aca="false">MAX(-5%*TblPop[[#This Row],[Peasants]]-TblPop[[#This Row],[Draft Growth]],MIN(OFFSET(TblPop[[#This Row],[Net max]],1,0)-TblPop[[#This Row],[Peasants]]-TblPop[[#This Row],[Military]]-TblPop[[#This Row],[Draft Growth]],TblPop[[#This Row],[Modded Birth]]-TblPop[[#This Row],[Draft Growth]]))</f>
        <v>-79</v>
      </c>
      <c r="X100" s="69" t="n">
        <f aca="false">ROUND(TblPop[[#This Row],[Raw Birth]]*(1+TblPop[[#This Row],[Growth]]),0)</f>
        <v>330</v>
      </c>
      <c r="Y100" s="69" t="n">
        <f aca="false">(TblPop[[#This Row],[Peasants]]-TblPop[[#This Row],[Draft Growth]])*raw_pop_growth</f>
        <v>235.41</v>
      </c>
      <c r="Z100" s="69" t="n">
        <f aca="false">IF(TblPop[[#This Row],[Military%]]&lt;TblMili[[#This Row],[Draftrate]],ROUND(TblPop[[#This Row],[Peasants]]*Constants!$B$55,0), 0)</f>
        <v>79</v>
      </c>
      <c r="AA100" s="132"/>
      <c r="AB100" s="109" t="n">
        <f aca="false">Overview!$I$16 + IF(Magic!AE100&gt;0,Constants!$F$78) + ROUND(6*(Construction!BM101+Construction!CK100)/IF(Explore!S101&gt;0,Construction!F101-20,Construction!F101),4) + tech_6_5_2*Techs!BJ100 + tech_8_4*Techs!BT100</f>
        <v>0.4029</v>
      </c>
      <c r="AC100" s="130" t="n">
        <f aca="false">(Overview!$I$15 + Imps!Z100+ tech_2_5*Techs!AB100 + tech_3_6*Techs!AM100 + tech_6_1*Techs!BJ100 + tech_6_5*Techs!BF100 + tech_7_3_2*Techs!BN100) * (1 + Production!P100/100*prestige_pop_multiplier) + Production!P100/100*prestige_pop_multiplier</f>
        <v>0.07625</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7847</v>
      </c>
      <c r="D101" s="69" t="n">
        <f aca="false">TblMili[[#This Row],[Military]]</f>
        <v>5092</v>
      </c>
      <c r="E101" s="69" t="n">
        <f aca="false">TblMili[[#This Row],[Draftees]]</f>
        <v>1868</v>
      </c>
      <c r="F101" s="69" t="n">
        <f aca="false">TblPop[[#This Row],[Peasants]]+TblPop[[#This Row],[Military]]</f>
        <v>12939</v>
      </c>
      <c r="G101" s="130" t="n">
        <f aca="false">TblPop[[#This Row],[Military]]/TblPop[[#This Row],[Total]]</f>
        <v>0.393538913362702</v>
      </c>
      <c r="H101" s="95" t="n">
        <f aca="false">MIN(TblPop[[#This Row],[Peasants]],TblPop[[#This Row],[Jobs]])</f>
        <v>7847</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1868</v>
      </c>
      <c r="M101" s="33" t="n">
        <f aca="false">TblMili[[#This Row],[Unit 1]]</f>
        <v>0</v>
      </c>
      <c r="N101" s="33" t="n">
        <f aca="false">TblMili[[#This Row],[Unit 2]]</f>
        <v>1246</v>
      </c>
      <c r="O101" s="33" t="n">
        <f aca="false">TblMili[[#This Row],[Unit 3]]</f>
        <v>700</v>
      </c>
      <c r="P101" s="33" t="n">
        <f aca="false">TblMili[[#This Row],[Unit 4]]</f>
        <v>1228</v>
      </c>
      <c r="Q101" s="33" t="n">
        <f aca="false">TblMili[[#This Row],[Spies]]</f>
        <v>25</v>
      </c>
      <c r="R101" s="33" t="n">
        <f aca="false">TblMili[[#This Row],[Wizards]]</f>
        <v>25</v>
      </c>
      <c r="S101" s="33" t="n">
        <f aca="false">TblMili[[#This Row],[Archmages]]</f>
        <v>0</v>
      </c>
      <c r="T101" s="132"/>
      <c r="U101" s="69" t="n">
        <f aca="false">ROUND(TblPop[[#This Row],[Raw max]]*(1+TblPop[[#This Row],[Max pop]]),0)+MIN(TblPop[[#This Row],[Military]]-TblPop[[#This Row],[Draftees]]-SUM(TblMili[[#This Row],[Train Unit 1]:[Train AM]]),(barracks_size + tech_8_3*TblTech[[#This Row],[8-3]])*TblConstr[[#This Row],[Tot Bar]])</f>
        <v>12939</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1" s="69" t="n">
        <f aca="false">MAX(-5%*TblPop[[#This Row],[Peasants]]-TblPop[[#This Row],[Draft Growth]],MIN(OFFSET(TblPop[[#This Row],[Net max]],1,0)-TblPop[[#This Row],[Peasants]]-TblPop[[#This Row],[Military]]-TblPop[[#This Row],[Draft Growth]],TblPop[[#This Row],[Modded Birth]]-TblPop[[#This Row],[Draft Growth]]))</f>
        <v>-78</v>
      </c>
      <c r="X101" s="69" t="n">
        <f aca="false">ROUND(TblPop[[#This Row],[Raw Birth]]*(1+TblPop[[#This Row],[Growth]]),0)</f>
        <v>327</v>
      </c>
      <c r="Y101" s="69" t="n">
        <f aca="false">(TblPop[[#This Row],[Peasants]]-TblPop[[#This Row],[Draft Growth]])*raw_pop_growth</f>
        <v>233.07</v>
      </c>
      <c r="Z101" s="69" t="n">
        <f aca="false">IF(TblPop[[#This Row],[Military%]]&lt;TblMili[[#This Row],[Draftrate]],ROUND(TblPop[[#This Row],[Peasants]]*Constants!$B$55,0), 0)</f>
        <v>78</v>
      </c>
      <c r="AA101" s="132"/>
      <c r="AB101" s="109" t="n">
        <f aca="false">Overview!$I$16 + IF(Magic!AE101&gt;0,Constants!$F$78) + ROUND(6*(Construction!BM102+Construction!CK101)/IF(Explore!S102&gt;0,Construction!F102-20,Construction!F102),4) + tech_6_5_2*Techs!BJ101 + tech_8_4*Techs!BT101</f>
        <v>0.4029</v>
      </c>
      <c r="AC101" s="130" t="n">
        <f aca="false">(Overview!$I$15 + Imps!Z101+ tech_2_5*Techs!AB101 + tech_3_6*Techs!AM101 + tech_6_1*Techs!BJ101 + tech_6_5*Techs!BF101 + tech_7_3_2*Techs!BN101) * (1 + Production!P101/100*prestige_pop_multiplier) + Production!P101/100*prestige_pop_multiplier</f>
        <v>0.07625</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7769</v>
      </c>
      <c r="D102" s="69" t="n">
        <f aca="false">TblMili[[#This Row],[Military]]</f>
        <v>5170</v>
      </c>
      <c r="E102" s="69" t="n">
        <f aca="false">TblMili[[#This Row],[Draftees]]</f>
        <v>1946</v>
      </c>
      <c r="F102" s="69" t="n">
        <f aca="false">TblPop[[#This Row],[Peasants]]+TblPop[[#This Row],[Military]]</f>
        <v>12939</v>
      </c>
      <c r="G102" s="130" t="n">
        <f aca="false">TblPop[[#This Row],[Military]]/TblPop[[#This Row],[Total]]</f>
        <v>0.399567199938171</v>
      </c>
      <c r="H102" s="95" t="n">
        <f aca="false">MIN(TblPop[[#This Row],[Peasants]],TblPop[[#This Row],[Jobs]])</f>
        <v>7769</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1946</v>
      </c>
      <c r="M102" s="33" t="n">
        <f aca="false">TblMili[[#This Row],[Unit 1]]</f>
        <v>0</v>
      </c>
      <c r="N102" s="33" t="n">
        <f aca="false">TblMili[[#This Row],[Unit 2]]</f>
        <v>1246</v>
      </c>
      <c r="O102" s="33" t="n">
        <f aca="false">TblMili[[#This Row],[Unit 3]]</f>
        <v>700</v>
      </c>
      <c r="P102" s="33" t="n">
        <f aca="false">TblMili[[#This Row],[Unit 4]]</f>
        <v>1228</v>
      </c>
      <c r="Q102" s="33" t="n">
        <f aca="false">TblMili[[#This Row],[Spies]]</f>
        <v>25</v>
      </c>
      <c r="R102" s="33" t="n">
        <f aca="false">TblMili[[#This Row],[Wizards]]</f>
        <v>25</v>
      </c>
      <c r="S102" s="33" t="n">
        <f aca="false">TblMili[[#This Row],[Archmages]]</f>
        <v>0</v>
      </c>
      <c r="T102" s="132"/>
      <c r="U102" s="69" t="n">
        <f aca="false">ROUND(TblPop[[#This Row],[Raw max]]*(1+TblPop[[#This Row],[Max pop]]),0)+MIN(TblPop[[#This Row],[Military]]-TblPop[[#This Row],[Draftees]]-SUM(TblMili[[#This Row],[Train Unit 1]:[Train AM]]),(barracks_size + tech_8_3*TblTech[[#This Row],[8-3]])*TblConstr[[#This Row],[Tot Bar]])</f>
        <v>12939</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2" s="69" t="n">
        <f aca="false">MAX(-5%*TblPop[[#This Row],[Peasants]]-TblPop[[#This Row],[Draft Growth]],MIN(OFFSET(TblPop[[#This Row],[Net max]],1,0)-TblPop[[#This Row],[Peasants]]-TblPop[[#This Row],[Military]]-TblPop[[#This Row],[Draft Growth]],TblPop[[#This Row],[Modded Birth]]-TblPop[[#This Row],[Draft Growth]]))</f>
        <v>-78</v>
      </c>
      <c r="X102" s="69" t="n">
        <f aca="false">ROUND(TblPop[[#This Row],[Raw Birth]]*(1+TblPop[[#This Row],[Growth]]),0)</f>
        <v>324</v>
      </c>
      <c r="Y102" s="69" t="n">
        <f aca="false">(TblPop[[#This Row],[Peasants]]-TblPop[[#This Row],[Draft Growth]])*raw_pop_growth</f>
        <v>230.73</v>
      </c>
      <c r="Z102" s="69" t="n">
        <f aca="false">IF(TblPop[[#This Row],[Military%]]&lt;TblMili[[#This Row],[Draftrate]],ROUND(TblPop[[#This Row],[Peasants]]*Constants!$B$55,0), 0)</f>
        <v>78</v>
      </c>
      <c r="AA102" s="132"/>
      <c r="AB102" s="109" t="n">
        <f aca="false">Overview!$I$16 + IF(Magic!AE102&gt;0,Constants!$F$78) + ROUND(6*(Construction!BM103+Construction!CK102)/IF(Explore!S103&gt;0,Construction!F103-20,Construction!F103),4) + tech_6_5_2*Techs!BJ102 + tech_8_4*Techs!BT102</f>
        <v>0.4029</v>
      </c>
      <c r="AC102" s="130" t="n">
        <f aca="false">(Overview!$I$15 + Imps!Z102+ tech_2_5*Techs!AB102 + tech_3_6*Techs!AM102 + tech_6_1*Techs!BJ102 + tech_6_5*Techs!BF102 + tech_7_3_2*Techs!BN102) * (1 + Production!P102/100*prestige_pop_multiplier) + Production!P102/100*prestige_pop_multiplier</f>
        <v>0.07625</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7691</v>
      </c>
      <c r="D103" s="69" t="n">
        <f aca="false">TblMili[[#This Row],[Military]]</f>
        <v>5248</v>
      </c>
      <c r="E103" s="69" t="n">
        <f aca="false">TblMili[[#This Row],[Draftees]]</f>
        <v>2024</v>
      </c>
      <c r="F103" s="69" t="n">
        <f aca="false">TblPop[[#This Row],[Peasants]]+TblPop[[#This Row],[Military]]</f>
        <v>12939</v>
      </c>
      <c r="G103" s="130" t="n">
        <f aca="false">TblPop[[#This Row],[Military]]/TblPop[[#This Row],[Total]]</f>
        <v>0.405595486513641</v>
      </c>
      <c r="H103" s="95" t="n">
        <f aca="false">MIN(TblPop[[#This Row],[Peasants]],TblPop[[#This Row],[Jobs]])</f>
        <v>7691</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2024</v>
      </c>
      <c r="M103" s="33" t="n">
        <f aca="false">TblMili[[#This Row],[Unit 1]]</f>
        <v>0</v>
      </c>
      <c r="N103" s="33" t="n">
        <f aca="false">TblMili[[#This Row],[Unit 2]]</f>
        <v>1246</v>
      </c>
      <c r="O103" s="33" t="n">
        <f aca="false">TblMili[[#This Row],[Unit 3]]</f>
        <v>700</v>
      </c>
      <c r="P103" s="33" t="n">
        <f aca="false">TblMili[[#This Row],[Unit 4]]</f>
        <v>1228</v>
      </c>
      <c r="Q103" s="33" t="n">
        <f aca="false">TblMili[[#This Row],[Spies]]</f>
        <v>25</v>
      </c>
      <c r="R103" s="33" t="n">
        <f aca="false">TblMili[[#This Row],[Wizards]]</f>
        <v>25</v>
      </c>
      <c r="S103" s="33" t="n">
        <f aca="false">TblMili[[#This Row],[Archmages]]</f>
        <v>0</v>
      </c>
      <c r="T103" s="132"/>
      <c r="U103" s="69" t="n">
        <f aca="false">ROUND(TblPop[[#This Row],[Raw max]]*(1+TblPop[[#This Row],[Max pop]]),0)+MIN(TblPop[[#This Row],[Military]]-TblPop[[#This Row],[Draftees]]-SUM(TblMili[[#This Row],[Train Unit 1]:[Train AM]]),(barracks_size + tech_8_3*TblTech[[#This Row],[8-3]])*TblConstr[[#This Row],[Tot Bar]])</f>
        <v>12939</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3" s="69" t="n">
        <f aca="false">MAX(-5%*TblPop[[#This Row],[Peasants]]-TblPop[[#This Row],[Draft Growth]],MIN(OFFSET(TblPop[[#This Row],[Net max]],1,0)-TblPop[[#This Row],[Peasants]]-TblPop[[#This Row],[Military]]-TblPop[[#This Row],[Draft Growth]],TblPop[[#This Row],[Modded Birth]]-TblPop[[#This Row],[Draft Growth]]))</f>
        <v>-77</v>
      </c>
      <c r="X103" s="69" t="n">
        <f aca="false">ROUND(TblPop[[#This Row],[Raw Birth]]*(1+TblPop[[#This Row],[Growth]]),0)</f>
        <v>320</v>
      </c>
      <c r="Y103" s="69" t="n">
        <f aca="false">(TblPop[[#This Row],[Peasants]]-TblPop[[#This Row],[Draft Growth]])*raw_pop_growth</f>
        <v>228.42</v>
      </c>
      <c r="Z103" s="69" t="n">
        <f aca="false">IF(TblPop[[#This Row],[Military%]]&lt;TblMili[[#This Row],[Draftrate]],ROUND(TblPop[[#This Row],[Peasants]]*Constants!$B$55,0), 0)</f>
        <v>77</v>
      </c>
      <c r="AA103" s="132"/>
      <c r="AB103" s="109" t="n">
        <f aca="false">Overview!$I$16 + IF(Magic!AE103&gt;0,Constants!$F$78) + ROUND(6*(Construction!BM104+Construction!CK103)/IF(Explore!S104&gt;0,Construction!F104-20,Construction!F104),4) + tech_6_5_2*Techs!BJ103 + tech_8_4*Techs!BT103</f>
        <v>0.4029</v>
      </c>
      <c r="AC103" s="130" t="n">
        <f aca="false">(Overview!$I$15 + Imps!Z103+ tech_2_5*Techs!AB103 + tech_3_6*Techs!AM103 + tech_6_1*Techs!BJ103 + tech_6_5*Techs!BF103 + tech_7_3_2*Techs!BN103) * (1 + Production!P103/100*prestige_pop_multiplier) + Production!P103/100*prestige_pop_multiplier</f>
        <v>0.07625</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7614</v>
      </c>
      <c r="D104" s="69" t="n">
        <f aca="false">TblMili[[#This Row],[Military]]</f>
        <v>5325</v>
      </c>
      <c r="E104" s="69" t="n">
        <f aca="false">TblMili[[#This Row],[Draftees]]</f>
        <v>2101</v>
      </c>
      <c r="F104" s="69" t="n">
        <f aca="false">TblPop[[#This Row],[Peasants]]+TblPop[[#This Row],[Military]]</f>
        <v>12939</v>
      </c>
      <c r="G104" s="130" t="n">
        <f aca="false">TblPop[[#This Row],[Military]]/TblPop[[#This Row],[Total]]</f>
        <v>0.411546487363784</v>
      </c>
      <c r="H104" s="95" t="n">
        <f aca="false">MIN(TblPop[[#This Row],[Peasants]],TblPop[[#This Row],[Jobs]])</f>
        <v>7614</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2101</v>
      </c>
      <c r="M104" s="33" t="n">
        <f aca="false">TblMili[[#This Row],[Unit 1]]</f>
        <v>0</v>
      </c>
      <c r="N104" s="33" t="n">
        <f aca="false">TblMili[[#This Row],[Unit 2]]</f>
        <v>1246</v>
      </c>
      <c r="O104" s="33" t="n">
        <f aca="false">TblMili[[#This Row],[Unit 3]]</f>
        <v>700</v>
      </c>
      <c r="P104" s="33" t="n">
        <f aca="false">TblMili[[#This Row],[Unit 4]]</f>
        <v>1228</v>
      </c>
      <c r="Q104" s="33" t="n">
        <f aca="false">TblMili[[#This Row],[Spies]]</f>
        <v>25</v>
      </c>
      <c r="R104" s="33" t="n">
        <f aca="false">TblMili[[#This Row],[Wizards]]</f>
        <v>25</v>
      </c>
      <c r="S104" s="33" t="n">
        <f aca="false">TblMili[[#This Row],[Archmages]]</f>
        <v>0</v>
      </c>
      <c r="T104" s="132"/>
      <c r="U104" s="69" t="n">
        <f aca="false">ROUND(TblPop[[#This Row],[Raw max]]*(1+TblPop[[#This Row],[Max pop]]),0)+MIN(TblPop[[#This Row],[Military]]-TblPop[[#This Row],[Draftees]]-SUM(TblMili[[#This Row],[Train Unit 1]:[Train AM]]),(barracks_size + tech_8_3*TblTech[[#This Row],[8-3]])*TblConstr[[#This Row],[Tot Bar]])</f>
        <v>12939</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4" s="69" t="n">
        <f aca="false">MAX(-5%*TblPop[[#This Row],[Peasants]]-TblPop[[#This Row],[Draft Growth]],MIN(OFFSET(TblPop[[#This Row],[Net max]],1,0)-TblPop[[#This Row],[Peasants]]-TblPop[[#This Row],[Military]]-TblPop[[#This Row],[Draft Growth]],TblPop[[#This Row],[Modded Birth]]-TblPop[[#This Row],[Draft Growth]]))</f>
        <v>-76</v>
      </c>
      <c r="X104" s="69" t="n">
        <f aca="false">ROUND(TblPop[[#This Row],[Raw Birth]]*(1+TblPop[[#This Row],[Growth]]),0)</f>
        <v>317</v>
      </c>
      <c r="Y104" s="69" t="n">
        <f aca="false">(TblPop[[#This Row],[Peasants]]-TblPop[[#This Row],[Draft Growth]])*raw_pop_growth</f>
        <v>226.14</v>
      </c>
      <c r="Z104" s="69" t="n">
        <f aca="false">IF(TblPop[[#This Row],[Military%]]&lt;TblMili[[#This Row],[Draftrate]],ROUND(TblPop[[#This Row],[Peasants]]*Constants!$B$55,0), 0)</f>
        <v>76</v>
      </c>
      <c r="AA104" s="132"/>
      <c r="AB104" s="109" t="n">
        <f aca="false">Overview!$I$16 + IF(Magic!AE104&gt;0,Constants!$F$78) + ROUND(6*(Construction!BM105+Construction!CK104)/IF(Explore!S105&gt;0,Construction!F105-20,Construction!F105),4) + tech_6_5_2*Techs!BJ104 + tech_8_4*Techs!BT104</f>
        <v>0.4029</v>
      </c>
      <c r="AC104" s="130" t="n">
        <f aca="false">(Overview!$I$15 + Imps!Z104+ tech_2_5*Techs!AB104 + tech_3_6*Techs!AM104 + tech_6_1*Techs!BJ104 + tech_6_5*Techs!BF104 + tech_7_3_2*Techs!BN104) * (1 + Production!P104/100*prestige_pop_multiplier) + Production!P104/100*prestige_pop_multiplier</f>
        <v>0.07625</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7538</v>
      </c>
      <c r="D105" s="69" t="n">
        <f aca="false">TblMili[[#This Row],[Military]]</f>
        <v>5401</v>
      </c>
      <c r="E105" s="69" t="n">
        <f aca="false">TblMili[[#This Row],[Draftees]]</f>
        <v>2177</v>
      </c>
      <c r="F105" s="69" t="n">
        <f aca="false">TblPop[[#This Row],[Peasants]]+TblPop[[#This Row],[Military]]</f>
        <v>12939</v>
      </c>
      <c r="G105" s="130" t="n">
        <f aca="false">TblPop[[#This Row],[Military]]/TblPop[[#This Row],[Total]]</f>
        <v>0.4174202024886</v>
      </c>
      <c r="H105" s="95" t="n">
        <f aca="false">MIN(TblPop[[#This Row],[Peasants]],TblPop[[#This Row],[Jobs]])</f>
        <v>7538</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2177</v>
      </c>
      <c r="M105" s="33" t="n">
        <f aca="false">TblMili[[#This Row],[Unit 1]]</f>
        <v>0</v>
      </c>
      <c r="N105" s="33" t="n">
        <f aca="false">TblMili[[#This Row],[Unit 2]]</f>
        <v>1246</v>
      </c>
      <c r="O105" s="33" t="n">
        <f aca="false">TblMili[[#This Row],[Unit 3]]</f>
        <v>700</v>
      </c>
      <c r="P105" s="33" t="n">
        <f aca="false">TblMili[[#This Row],[Unit 4]]</f>
        <v>1228</v>
      </c>
      <c r="Q105" s="33" t="n">
        <f aca="false">TblMili[[#This Row],[Spies]]</f>
        <v>25</v>
      </c>
      <c r="R105" s="33" t="n">
        <f aca="false">TblMili[[#This Row],[Wizards]]</f>
        <v>25</v>
      </c>
      <c r="S105" s="33" t="n">
        <f aca="false">TblMili[[#This Row],[Archmages]]</f>
        <v>0</v>
      </c>
      <c r="T105" s="132"/>
      <c r="U105" s="69" t="n">
        <f aca="false">ROUND(TblPop[[#This Row],[Raw max]]*(1+TblPop[[#This Row],[Max pop]]),0)+MIN(TblPop[[#This Row],[Military]]-TblPop[[#This Row],[Draftees]]-SUM(TblMili[[#This Row],[Train Unit 1]:[Train AM]]),(barracks_size + tech_8_3*TblTech[[#This Row],[8-3]])*TblConstr[[#This Row],[Tot Bar]])</f>
        <v>12939</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5" s="69" t="n">
        <f aca="false">MAX(-5%*TblPop[[#This Row],[Peasants]]-TblPop[[#This Row],[Draft Growth]],MIN(OFFSET(TblPop[[#This Row],[Net max]],1,0)-TblPop[[#This Row],[Peasants]]-TblPop[[#This Row],[Military]]-TblPop[[#This Row],[Draft Growth]],TblPop[[#This Row],[Modded Birth]]-TblPop[[#This Row],[Draft Growth]]))</f>
        <v>-75</v>
      </c>
      <c r="X105" s="69" t="n">
        <f aca="false">ROUND(TblPop[[#This Row],[Raw Birth]]*(1+TblPop[[#This Row],[Growth]]),0)</f>
        <v>314</v>
      </c>
      <c r="Y105" s="69" t="n">
        <f aca="false">(TblPop[[#This Row],[Peasants]]-TblPop[[#This Row],[Draft Growth]])*raw_pop_growth</f>
        <v>223.89</v>
      </c>
      <c r="Z105" s="69" t="n">
        <f aca="false">IF(TblPop[[#This Row],[Military%]]&lt;TblMili[[#This Row],[Draftrate]],ROUND(TblPop[[#This Row],[Peasants]]*Constants!$B$55,0), 0)</f>
        <v>75</v>
      </c>
      <c r="AA105" s="132"/>
      <c r="AB105" s="109" t="n">
        <f aca="false">Overview!$I$16 + IF(Magic!AE105&gt;0,Constants!$F$78) + ROUND(6*(Construction!BM106+Construction!CK105)/IF(Explore!S106&gt;0,Construction!F106-20,Construction!F106),4) + tech_6_5_2*Techs!BJ105 + tech_8_4*Techs!BT105</f>
        <v>0.4029</v>
      </c>
      <c r="AC105" s="130" t="n">
        <f aca="false">(Overview!$I$15 + Imps!Z105+ tech_2_5*Techs!AB105 + tech_3_6*Techs!AM105 + tech_6_1*Techs!BJ105 + tech_6_5*Techs!BF105 + tech_7_3_2*Techs!BN105) * (1 + Production!P105/100*prestige_pop_multiplier) + Production!P105/100*prestige_pop_multiplier</f>
        <v>0.07625</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7463</v>
      </c>
      <c r="D106" s="69" t="n">
        <f aca="false">TblMili[[#This Row],[Military]]</f>
        <v>5476</v>
      </c>
      <c r="E106" s="69" t="n">
        <f aca="false">TblMili[[#This Row],[Draftees]]</f>
        <v>2252</v>
      </c>
      <c r="F106" s="69" t="n">
        <f aca="false">TblPop[[#This Row],[Peasants]]+TblPop[[#This Row],[Military]]</f>
        <v>12939</v>
      </c>
      <c r="G106" s="130" t="n">
        <f aca="false">TblPop[[#This Row],[Military]]/TblPop[[#This Row],[Total]]</f>
        <v>0.42321663188809</v>
      </c>
      <c r="H106" s="95" t="n">
        <f aca="false">MIN(TblPop[[#This Row],[Peasants]],TblPop[[#This Row],[Jobs]])</f>
        <v>7463</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2252</v>
      </c>
      <c r="M106" s="33" t="n">
        <f aca="false">TblMili[[#This Row],[Unit 1]]</f>
        <v>0</v>
      </c>
      <c r="N106" s="33" t="n">
        <f aca="false">TblMili[[#This Row],[Unit 2]]</f>
        <v>1246</v>
      </c>
      <c r="O106" s="33" t="n">
        <f aca="false">TblMili[[#This Row],[Unit 3]]</f>
        <v>700</v>
      </c>
      <c r="P106" s="33" t="n">
        <f aca="false">TblMili[[#This Row],[Unit 4]]</f>
        <v>1228</v>
      </c>
      <c r="Q106" s="33" t="n">
        <f aca="false">TblMili[[#This Row],[Spies]]</f>
        <v>25</v>
      </c>
      <c r="R106" s="33" t="n">
        <f aca="false">TblMili[[#This Row],[Wizards]]</f>
        <v>25</v>
      </c>
      <c r="S106" s="33" t="n">
        <f aca="false">TblMili[[#This Row],[Archmages]]</f>
        <v>0</v>
      </c>
      <c r="T106" s="132"/>
      <c r="U106" s="69" t="n">
        <f aca="false">ROUND(TblPop[[#This Row],[Raw max]]*(1+TblPop[[#This Row],[Max pop]]),0)+MIN(TblPop[[#This Row],[Military]]-TblPop[[#This Row],[Draftees]]-SUM(TblMili[[#This Row],[Train Unit 1]:[Train AM]]),(barracks_size + tech_8_3*TblTech[[#This Row],[8-3]])*TblConstr[[#This Row],[Tot Bar]])</f>
        <v>12939</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6" s="69" t="n">
        <f aca="false">MAX(-5%*TblPop[[#This Row],[Peasants]]-TblPop[[#This Row],[Draft Growth]],MIN(OFFSET(TblPop[[#This Row],[Net max]],1,0)-TblPop[[#This Row],[Peasants]]-TblPop[[#This Row],[Military]]-TblPop[[#This Row],[Draft Growth]],TblPop[[#This Row],[Modded Birth]]-TblPop[[#This Row],[Draft Growth]]))</f>
        <v>-75</v>
      </c>
      <c r="X106" s="69" t="n">
        <f aca="false">ROUND(TblPop[[#This Row],[Raw Birth]]*(1+TblPop[[#This Row],[Growth]]),0)</f>
        <v>311</v>
      </c>
      <c r="Y106" s="69" t="n">
        <f aca="false">(TblPop[[#This Row],[Peasants]]-TblPop[[#This Row],[Draft Growth]])*raw_pop_growth</f>
        <v>221.64</v>
      </c>
      <c r="Z106" s="69" t="n">
        <f aca="false">IF(TblPop[[#This Row],[Military%]]&lt;TblMili[[#This Row],[Draftrate]],ROUND(TblPop[[#This Row],[Peasants]]*Constants!$B$55,0), 0)</f>
        <v>75</v>
      </c>
      <c r="AA106" s="132"/>
      <c r="AB106" s="109" t="n">
        <f aca="false">Overview!$I$16 + IF(Magic!AE106&gt;0,Constants!$F$78) + ROUND(6*(Construction!BM107+Construction!CK106)/IF(Explore!S107&gt;0,Construction!F107-20,Construction!F107),4) + tech_6_5_2*Techs!BJ106 + tech_8_4*Techs!BT106</f>
        <v>0.4029</v>
      </c>
      <c r="AC106" s="130" t="n">
        <f aca="false">(Overview!$I$15 + Imps!Z106+ tech_2_5*Techs!AB106 + tech_3_6*Techs!AM106 + tech_6_1*Techs!BJ106 + tech_6_5*Techs!BF106 + tech_7_3_2*Techs!BN106) * (1 + Production!P106/100*prestige_pop_multiplier) + Production!P106/100*prestige_pop_multiplier</f>
        <v>0.07625</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7388</v>
      </c>
      <c r="D107" s="69" t="n">
        <f aca="false">TblMili[[#This Row],[Military]]</f>
        <v>5551</v>
      </c>
      <c r="E107" s="69" t="n">
        <f aca="false">TblMili[[#This Row],[Draftees]]</f>
        <v>2327</v>
      </c>
      <c r="F107" s="69" t="n">
        <f aca="false">TblPop[[#This Row],[Peasants]]+TblPop[[#This Row],[Military]]</f>
        <v>12939</v>
      </c>
      <c r="G107" s="130" t="n">
        <f aca="false">TblPop[[#This Row],[Military]]/TblPop[[#This Row],[Total]]</f>
        <v>0.42901306128758</v>
      </c>
      <c r="H107" s="95" t="n">
        <f aca="false">MIN(TblPop[[#This Row],[Peasants]],TblPop[[#This Row],[Jobs]])</f>
        <v>7388</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2327</v>
      </c>
      <c r="M107" s="33" t="n">
        <f aca="false">TblMili[[#This Row],[Unit 1]]</f>
        <v>0</v>
      </c>
      <c r="N107" s="33" t="n">
        <f aca="false">TblMili[[#This Row],[Unit 2]]</f>
        <v>1246</v>
      </c>
      <c r="O107" s="33" t="n">
        <f aca="false">TblMili[[#This Row],[Unit 3]]</f>
        <v>700</v>
      </c>
      <c r="P107" s="33" t="n">
        <f aca="false">TblMili[[#This Row],[Unit 4]]</f>
        <v>1228</v>
      </c>
      <c r="Q107" s="33" t="n">
        <f aca="false">TblMili[[#This Row],[Spies]]</f>
        <v>25</v>
      </c>
      <c r="R107" s="33" t="n">
        <f aca="false">TblMili[[#This Row],[Wizards]]</f>
        <v>25</v>
      </c>
      <c r="S107" s="33" t="n">
        <f aca="false">TblMili[[#This Row],[Archmages]]</f>
        <v>0</v>
      </c>
      <c r="T107" s="132"/>
      <c r="U107" s="69" t="n">
        <f aca="false">ROUND(TblPop[[#This Row],[Raw max]]*(1+TblPop[[#This Row],[Max pop]]),0)+MIN(TblPop[[#This Row],[Military]]-TblPop[[#This Row],[Draftees]]-SUM(TblMili[[#This Row],[Train Unit 1]:[Train AM]]),(barracks_size + tech_8_3*TblTech[[#This Row],[8-3]])*TblConstr[[#This Row],[Tot Bar]])</f>
        <v>12939</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7" s="69" t="n">
        <f aca="false">MAX(-5%*TblPop[[#This Row],[Peasants]]-TblPop[[#This Row],[Draft Growth]],MIN(OFFSET(TblPop[[#This Row],[Net max]],1,0)-TblPop[[#This Row],[Peasants]]-TblPop[[#This Row],[Military]]-TblPop[[#This Row],[Draft Growth]],TblPop[[#This Row],[Modded Birth]]-TblPop[[#This Row],[Draft Growth]]))</f>
        <v>-74</v>
      </c>
      <c r="X107" s="69" t="n">
        <f aca="false">ROUND(TblPop[[#This Row],[Raw Birth]]*(1+TblPop[[#This Row],[Growth]]),0)</f>
        <v>308</v>
      </c>
      <c r="Y107" s="69" t="n">
        <f aca="false">(TblPop[[#This Row],[Peasants]]-TblPop[[#This Row],[Draft Growth]])*raw_pop_growth</f>
        <v>219.42</v>
      </c>
      <c r="Z107" s="69" t="n">
        <f aca="false">IF(TblPop[[#This Row],[Military%]]&lt;TblMili[[#This Row],[Draftrate]],ROUND(TblPop[[#This Row],[Peasants]]*Constants!$B$55,0), 0)</f>
        <v>74</v>
      </c>
      <c r="AA107" s="132"/>
      <c r="AB107" s="109" t="n">
        <f aca="false">Overview!$I$16 + IF(Magic!AE107&gt;0,Constants!$F$78) + ROUND(6*(Construction!BM108+Construction!CK107)/IF(Explore!S108&gt;0,Construction!F108-20,Construction!F108),4) + tech_6_5_2*Techs!BJ107 + tech_8_4*Techs!BT107</f>
        <v>0.4029</v>
      </c>
      <c r="AC107" s="130" t="n">
        <f aca="false">(Overview!$I$15 + Imps!Z107+ tech_2_5*Techs!AB107 + tech_3_6*Techs!AM107 + tech_6_1*Techs!BJ107 + tech_6_5*Techs!BF107 + tech_7_3_2*Techs!BN107) * (1 + Production!P107/100*prestige_pop_multiplier) + Production!P107/100*prestige_pop_multiplier</f>
        <v>0.07625</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7314</v>
      </c>
      <c r="D108" s="69" t="n">
        <f aca="false">TblMili[[#This Row],[Military]]</f>
        <v>5625</v>
      </c>
      <c r="E108" s="69" t="n">
        <f aca="false">TblMili[[#This Row],[Draftees]]</f>
        <v>2401</v>
      </c>
      <c r="F108" s="69" t="n">
        <f aca="false">TblPop[[#This Row],[Peasants]]+TblPop[[#This Row],[Military]]</f>
        <v>12939</v>
      </c>
      <c r="G108" s="130" t="n">
        <f aca="false">TblPop[[#This Row],[Military]]/TblPop[[#This Row],[Total]]</f>
        <v>0.434732204961744</v>
      </c>
      <c r="H108" s="95" t="n">
        <f aca="false">MIN(TblPop[[#This Row],[Peasants]],TblPop[[#This Row],[Jobs]])</f>
        <v>7314</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2401</v>
      </c>
      <c r="M108" s="33" t="n">
        <f aca="false">TblMili[[#This Row],[Unit 1]]</f>
        <v>0</v>
      </c>
      <c r="N108" s="33" t="n">
        <f aca="false">TblMili[[#This Row],[Unit 2]]</f>
        <v>1246</v>
      </c>
      <c r="O108" s="33" t="n">
        <f aca="false">TblMili[[#This Row],[Unit 3]]</f>
        <v>700</v>
      </c>
      <c r="P108" s="33" t="n">
        <f aca="false">TblMili[[#This Row],[Unit 4]]</f>
        <v>1228</v>
      </c>
      <c r="Q108" s="33" t="n">
        <f aca="false">TblMili[[#This Row],[Spies]]</f>
        <v>25</v>
      </c>
      <c r="R108" s="33" t="n">
        <f aca="false">TblMili[[#This Row],[Wizards]]</f>
        <v>25</v>
      </c>
      <c r="S108" s="33" t="n">
        <f aca="false">TblMili[[#This Row],[Archmages]]</f>
        <v>0</v>
      </c>
      <c r="T108" s="132"/>
      <c r="U108" s="69" t="n">
        <f aca="false">ROUND(TblPop[[#This Row],[Raw max]]*(1+TblPop[[#This Row],[Max pop]]),0)+MIN(TblPop[[#This Row],[Military]]-TblPop[[#This Row],[Draftees]]-SUM(TblMili[[#This Row],[Train Unit 1]:[Train AM]]),(barracks_size + tech_8_3*TblTech[[#This Row],[8-3]])*TblConstr[[#This Row],[Tot Bar]])</f>
        <v>12939</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8" s="69" t="n">
        <f aca="false">MAX(-5%*TblPop[[#This Row],[Peasants]]-TblPop[[#This Row],[Draft Growth]],MIN(OFFSET(TblPop[[#This Row],[Net max]],1,0)-TblPop[[#This Row],[Peasants]]-TblPop[[#This Row],[Military]]-TblPop[[#This Row],[Draft Growth]],TblPop[[#This Row],[Modded Birth]]-TblPop[[#This Row],[Draft Growth]]))</f>
        <v>-73</v>
      </c>
      <c r="X108" s="69" t="n">
        <f aca="false">ROUND(TblPop[[#This Row],[Raw Birth]]*(1+TblPop[[#This Row],[Growth]]),0)</f>
        <v>305</v>
      </c>
      <c r="Y108" s="69" t="n">
        <f aca="false">(TblPop[[#This Row],[Peasants]]-TblPop[[#This Row],[Draft Growth]])*raw_pop_growth</f>
        <v>217.23</v>
      </c>
      <c r="Z108" s="69" t="n">
        <f aca="false">IF(TblPop[[#This Row],[Military%]]&lt;TblMili[[#This Row],[Draftrate]],ROUND(TblPop[[#This Row],[Peasants]]*Constants!$B$55,0), 0)</f>
        <v>73</v>
      </c>
      <c r="AA108" s="132"/>
      <c r="AB108" s="109" t="n">
        <f aca="false">Overview!$I$16 + IF(Magic!AE108&gt;0,Constants!$F$78) + ROUND(6*(Construction!BM109+Construction!CK108)/IF(Explore!S109&gt;0,Construction!F109-20,Construction!F109),4) + tech_6_5_2*Techs!BJ108 + tech_8_4*Techs!BT108</f>
        <v>0.4029</v>
      </c>
      <c r="AC108" s="130" t="n">
        <f aca="false">(Overview!$I$15 + Imps!Z108+ tech_2_5*Techs!AB108 + tech_3_6*Techs!AM108 + tech_6_1*Techs!BJ108 + tech_6_5*Techs!BF108 + tech_7_3_2*Techs!BN108) * (1 + Production!P108/100*prestige_pop_multiplier) + Production!P108/100*prestige_pop_multiplier</f>
        <v>0.07625</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7241</v>
      </c>
      <c r="D109" s="69" t="n">
        <f aca="false">TblMili[[#This Row],[Military]]</f>
        <v>5698</v>
      </c>
      <c r="E109" s="69" t="n">
        <f aca="false">TblMili[[#This Row],[Draftees]]</f>
        <v>2474</v>
      </c>
      <c r="F109" s="69" t="n">
        <f aca="false">TblPop[[#This Row],[Peasants]]+TblPop[[#This Row],[Military]]</f>
        <v>12939</v>
      </c>
      <c r="G109" s="130" t="n">
        <f aca="false">TblPop[[#This Row],[Military]]/TblPop[[#This Row],[Total]]</f>
        <v>0.44037406291058</v>
      </c>
      <c r="H109" s="95" t="n">
        <f aca="false">MIN(TblPop[[#This Row],[Peasants]],TblPop[[#This Row],[Jobs]])</f>
        <v>7241</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2474</v>
      </c>
      <c r="M109" s="33" t="n">
        <f aca="false">TblMili[[#This Row],[Unit 1]]</f>
        <v>0</v>
      </c>
      <c r="N109" s="33" t="n">
        <f aca="false">TblMili[[#This Row],[Unit 2]]</f>
        <v>1246</v>
      </c>
      <c r="O109" s="33" t="n">
        <f aca="false">TblMili[[#This Row],[Unit 3]]</f>
        <v>700</v>
      </c>
      <c r="P109" s="33" t="n">
        <f aca="false">TblMili[[#This Row],[Unit 4]]</f>
        <v>1228</v>
      </c>
      <c r="Q109" s="33" t="n">
        <f aca="false">TblMili[[#This Row],[Spies]]</f>
        <v>25</v>
      </c>
      <c r="R109" s="33" t="n">
        <f aca="false">TblMili[[#This Row],[Wizards]]</f>
        <v>25</v>
      </c>
      <c r="S109" s="33" t="n">
        <f aca="false">TblMili[[#This Row],[Archmages]]</f>
        <v>0</v>
      </c>
      <c r="T109" s="132"/>
      <c r="U109" s="69" t="n">
        <f aca="false">ROUND(TblPop[[#This Row],[Raw max]]*(1+TblPop[[#This Row],[Max pop]]),0)+MIN(TblPop[[#This Row],[Military]]-TblPop[[#This Row],[Draftees]]-SUM(TblMili[[#This Row],[Train Unit 1]:[Train AM]]),(barracks_size + tech_8_3*TblTech[[#This Row],[8-3]])*TblConstr[[#This Row],[Tot Bar]])</f>
        <v>12939</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9" s="69" t="n">
        <f aca="false">MAX(-5%*TblPop[[#This Row],[Peasants]]-TblPop[[#This Row],[Draft Growth]],MIN(OFFSET(TblPop[[#This Row],[Net max]],1,0)-TblPop[[#This Row],[Peasants]]-TblPop[[#This Row],[Military]]-TblPop[[#This Row],[Draft Growth]],TblPop[[#This Row],[Modded Birth]]-TblPop[[#This Row],[Draft Growth]]))</f>
        <v>-72</v>
      </c>
      <c r="X109" s="69" t="n">
        <f aca="false">ROUND(TblPop[[#This Row],[Raw Birth]]*(1+TblPop[[#This Row],[Growth]]),0)</f>
        <v>302</v>
      </c>
      <c r="Y109" s="69" t="n">
        <f aca="false">(TblPop[[#This Row],[Peasants]]-TblPop[[#This Row],[Draft Growth]])*raw_pop_growth</f>
        <v>215.07</v>
      </c>
      <c r="Z109" s="69" t="n">
        <f aca="false">IF(TblPop[[#This Row],[Military%]]&lt;TblMili[[#This Row],[Draftrate]],ROUND(TblPop[[#This Row],[Peasants]]*Constants!$B$55,0), 0)</f>
        <v>72</v>
      </c>
      <c r="AA109" s="132"/>
      <c r="AB109" s="109" t="n">
        <f aca="false">Overview!$I$16 + IF(Magic!AE109&gt;0,Constants!$F$78) + ROUND(6*(Construction!BM110+Construction!CK109)/IF(Explore!S110&gt;0,Construction!F110-20,Construction!F110),4) + tech_6_5_2*Techs!BJ109 + tech_8_4*Techs!BT109</f>
        <v>0.4029</v>
      </c>
      <c r="AC109" s="130" t="n">
        <f aca="false">(Overview!$I$15 + Imps!Z109+ tech_2_5*Techs!AB109 + tech_3_6*Techs!AM109 + tech_6_1*Techs!BJ109 + tech_6_5*Techs!BF109 + tech_7_3_2*Techs!BN109) * (1 + Production!P109/100*prestige_pop_multiplier) + Production!P109/100*prestige_pop_multiplier</f>
        <v>0.07625</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7169</v>
      </c>
      <c r="D110" s="69" t="n">
        <f aca="false">TblMili[[#This Row],[Military]]</f>
        <v>5770</v>
      </c>
      <c r="E110" s="69" t="n">
        <f aca="false">TblMili[[#This Row],[Draftees]]</f>
        <v>2546</v>
      </c>
      <c r="F110" s="69" t="n">
        <f aca="false">TblPop[[#This Row],[Peasants]]+TblPop[[#This Row],[Military]]</f>
        <v>12939</v>
      </c>
      <c r="G110" s="130" t="n">
        <f aca="false">TblPop[[#This Row],[Military]]/TblPop[[#This Row],[Total]]</f>
        <v>0.445938635134091</v>
      </c>
      <c r="H110" s="95" t="n">
        <f aca="false">MIN(TblPop[[#This Row],[Peasants]],TblPop[[#This Row],[Jobs]])</f>
        <v>7169</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2546</v>
      </c>
      <c r="M110" s="33" t="n">
        <f aca="false">TblMili[[#This Row],[Unit 1]]</f>
        <v>0</v>
      </c>
      <c r="N110" s="33" t="n">
        <f aca="false">TblMili[[#This Row],[Unit 2]]</f>
        <v>1246</v>
      </c>
      <c r="O110" s="33" t="n">
        <f aca="false">TblMili[[#This Row],[Unit 3]]</f>
        <v>700</v>
      </c>
      <c r="P110" s="33" t="n">
        <f aca="false">TblMili[[#This Row],[Unit 4]]</f>
        <v>1228</v>
      </c>
      <c r="Q110" s="33" t="n">
        <f aca="false">TblMili[[#This Row],[Spies]]</f>
        <v>25</v>
      </c>
      <c r="R110" s="33" t="n">
        <f aca="false">TblMili[[#This Row],[Wizards]]</f>
        <v>25</v>
      </c>
      <c r="S110" s="33" t="n">
        <f aca="false">TblMili[[#This Row],[Archmages]]</f>
        <v>0</v>
      </c>
      <c r="T110" s="132"/>
      <c r="U110" s="69" t="n">
        <f aca="false">ROUND(TblPop[[#This Row],[Raw max]]*(1+TblPop[[#This Row],[Max pop]]),0)+MIN(TblPop[[#This Row],[Military]]-TblPop[[#This Row],[Draftees]]-SUM(TblMili[[#This Row],[Train Unit 1]:[Train AM]]),(barracks_size + tech_8_3*TblTech[[#This Row],[8-3]])*TblConstr[[#This Row],[Tot Bar]])</f>
        <v>12939</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0" s="69" t="n">
        <f aca="false">MAX(-5%*TblPop[[#This Row],[Peasants]]-TblPop[[#This Row],[Draft Growth]],MIN(OFFSET(TblPop[[#This Row],[Net max]],1,0)-TblPop[[#This Row],[Peasants]]-TblPop[[#This Row],[Military]]-TblPop[[#This Row],[Draft Growth]],TblPop[[#This Row],[Modded Birth]]-TblPop[[#This Row],[Draft Growth]]))</f>
        <v>-72</v>
      </c>
      <c r="X110" s="69" t="n">
        <f aca="false">ROUND(TblPop[[#This Row],[Raw Birth]]*(1+TblPop[[#This Row],[Growth]]),0)</f>
        <v>299</v>
      </c>
      <c r="Y110" s="69" t="n">
        <f aca="false">(TblPop[[#This Row],[Peasants]]-TblPop[[#This Row],[Draft Growth]])*raw_pop_growth</f>
        <v>212.91</v>
      </c>
      <c r="Z110" s="69" t="n">
        <f aca="false">IF(TblPop[[#This Row],[Military%]]&lt;TblMili[[#This Row],[Draftrate]],ROUND(TblPop[[#This Row],[Peasants]]*Constants!$B$55,0), 0)</f>
        <v>72</v>
      </c>
      <c r="AA110" s="132"/>
      <c r="AB110" s="109" t="n">
        <f aca="false">Overview!$I$16 + IF(Magic!AE110&gt;0,Constants!$F$78) + ROUND(6*(Construction!BM111+Construction!CK110)/IF(Explore!S111&gt;0,Construction!F111-20,Construction!F111),4) + tech_6_5_2*Techs!BJ110 + tech_8_4*Techs!BT110</f>
        <v>0.4029</v>
      </c>
      <c r="AC110" s="130" t="n">
        <f aca="false">(Overview!$I$15 + Imps!Z110+ tech_2_5*Techs!AB110 + tech_3_6*Techs!AM110 + tech_6_1*Techs!BJ110 + tech_6_5*Techs!BF110 + tech_7_3_2*Techs!BN110) * (1 + Production!P110/100*prestige_pop_multiplier) + Production!P110/100*prestige_pop_multiplier</f>
        <v>0.07625</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7097</v>
      </c>
      <c r="D111" s="69" t="n">
        <f aca="false">TblMili[[#This Row],[Military]]</f>
        <v>5842</v>
      </c>
      <c r="E111" s="69" t="n">
        <f aca="false">TblMili[[#This Row],[Draftees]]</f>
        <v>2618</v>
      </c>
      <c r="F111" s="69" t="n">
        <f aca="false">TblPop[[#This Row],[Peasants]]+TblPop[[#This Row],[Military]]</f>
        <v>12939</v>
      </c>
      <c r="G111" s="130" t="n">
        <f aca="false">TblPop[[#This Row],[Military]]/TblPop[[#This Row],[Total]]</f>
        <v>0.451503207357601</v>
      </c>
      <c r="H111" s="95" t="n">
        <f aca="false">MIN(TblPop[[#This Row],[Peasants]],TblPop[[#This Row],[Jobs]])</f>
        <v>7097</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2618</v>
      </c>
      <c r="M111" s="33" t="n">
        <f aca="false">TblMili[[#This Row],[Unit 1]]</f>
        <v>0</v>
      </c>
      <c r="N111" s="33" t="n">
        <f aca="false">TblMili[[#This Row],[Unit 2]]</f>
        <v>1246</v>
      </c>
      <c r="O111" s="33" t="n">
        <f aca="false">TblMili[[#This Row],[Unit 3]]</f>
        <v>700</v>
      </c>
      <c r="P111" s="33" t="n">
        <f aca="false">TblMili[[#This Row],[Unit 4]]</f>
        <v>1228</v>
      </c>
      <c r="Q111" s="33" t="n">
        <f aca="false">TblMili[[#This Row],[Spies]]</f>
        <v>25</v>
      </c>
      <c r="R111" s="33" t="n">
        <f aca="false">TblMili[[#This Row],[Wizards]]</f>
        <v>25</v>
      </c>
      <c r="S111" s="33" t="n">
        <f aca="false">TblMili[[#This Row],[Archmages]]</f>
        <v>0</v>
      </c>
      <c r="T111" s="132"/>
      <c r="U111" s="69" t="n">
        <f aca="false">ROUND(TblPop[[#This Row],[Raw max]]*(1+TblPop[[#This Row],[Max pop]]),0)+MIN(TblPop[[#This Row],[Military]]-TblPop[[#This Row],[Draftees]]-SUM(TblMili[[#This Row],[Train Unit 1]:[Train AM]]),(barracks_size + tech_8_3*TblTech[[#This Row],[8-3]])*TblConstr[[#This Row],[Tot Bar]])</f>
        <v>12939</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1" s="69" t="n">
        <f aca="false">MAX(-5%*TblPop[[#This Row],[Peasants]]-TblPop[[#This Row],[Draft Growth]],MIN(OFFSET(TblPop[[#This Row],[Net max]],1,0)-TblPop[[#This Row],[Peasants]]-TblPop[[#This Row],[Military]]-TblPop[[#This Row],[Draft Growth]],TblPop[[#This Row],[Modded Birth]]-TblPop[[#This Row],[Draft Growth]]))</f>
        <v>-71</v>
      </c>
      <c r="X111" s="69" t="n">
        <f aca="false">ROUND(TblPop[[#This Row],[Raw Birth]]*(1+TblPop[[#This Row],[Growth]]),0)</f>
        <v>296</v>
      </c>
      <c r="Y111" s="69" t="n">
        <f aca="false">(TblPop[[#This Row],[Peasants]]-TblPop[[#This Row],[Draft Growth]])*raw_pop_growth</f>
        <v>210.78</v>
      </c>
      <c r="Z111" s="69" t="n">
        <f aca="false">IF(TblPop[[#This Row],[Military%]]&lt;TblMili[[#This Row],[Draftrate]],ROUND(TblPop[[#This Row],[Peasants]]*Constants!$B$55,0), 0)</f>
        <v>71</v>
      </c>
      <c r="AA111" s="132"/>
      <c r="AB111" s="109" t="n">
        <f aca="false">Overview!$I$16 + IF(Magic!AE111&gt;0,Constants!$F$78) + ROUND(6*(Construction!BM112+Construction!CK111)/IF(Explore!S112&gt;0,Construction!F112-20,Construction!F112),4) + tech_6_5_2*Techs!BJ111 + tech_8_4*Techs!BT111</f>
        <v>0.4029</v>
      </c>
      <c r="AC111" s="130" t="n">
        <f aca="false">(Overview!$I$15 + Imps!Z111+ tech_2_5*Techs!AB111 + tech_3_6*Techs!AM111 + tech_6_1*Techs!BJ111 + tech_6_5*Techs!BF111 + tech_7_3_2*Techs!BN111) * (1 + Production!P111/100*prestige_pop_multiplier) + Production!P111/100*prestige_pop_multiplier</f>
        <v>0.07625</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7026</v>
      </c>
      <c r="D112" s="69" t="n">
        <f aca="false">TblMili[[#This Row],[Military]]</f>
        <v>5913</v>
      </c>
      <c r="E112" s="69" t="n">
        <f aca="false">TblMili[[#This Row],[Draftees]]</f>
        <v>2689</v>
      </c>
      <c r="F112" s="69" t="n">
        <f aca="false">TblPop[[#This Row],[Peasants]]+TblPop[[#This Row],[Military]]</f>
        <v>12939</v>
      </c>
      <c r="G112" s="130" t="n">
        <f aca="false">TblPop[[#This Row],[Military]]/TblPop[[#This Row],[Total]]</f>
        <v>0.456990493855785</v>
      </c>
      <c r="H112" s="95" t="n">
        <f aca="false">MIN(TblPop[[#This Row],[Peasants]],TblPop[[#This Row],[Jobs]])</f>
        <v>7026</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2689</v>
      </c>
      <c r="M112" s="33" t="n">
        <f aca="false">TblMili[[#This Row],[Unit 1]]</f>
        <v>0</v>
      </c>
      <c r="N112" s="33" t="n">
        <f aca="false">TblMili[[#This Row],[Unit 2]]</f>
        <v>1246</v>
      </c>
      <c r="O112" s="33" t="n">
        <f aca="false">TblMili[[#This Row],[Unit 3]]</f>
        <v>700</v>
      </c>
      <c r="P112" s="33" t="n">
        <f aca="false">TblMili[[#This Row],[Unit 4]]</f>
        <v>1228</v>
      </c>
      <c r="Q112" s="33" t="n">
        <f aca="false">TblMili[[#This Row],[Spies]]</f>
        <v>25</v>
      </c>
      <c r="R112" s="33" t="n">
        <f aca="false">TblMili[[#This Row],[Wizards]]</f>
        <v>25</v>
      </c>
      <c r="S112" s="33" t="n">
        <f aca="false">TblMili[[#This Row],[Archmages]]</f>
        <v>0</v>
      </c>
      <c r="T112" s="132"/>
      <c r="U112" s="69" t="n">
        <f aca="false">ROUND(TblPop[[#This Row],[Raw max]]*(1+TblPop[[#This Row],[Max pop]]),0)+MIN(TblPop[[#This Row],[Military]]-TblPop[[#This Row],[Draftees]]-SUM(TblMili[[#This Row],[Train Unit 1]:[Train AM]]),(barracks_size + tech_8_3*TblTech[[#This Row],[8-3]])*TblConstr[[#This Row],[Tot Bar]])</f>
        <v>12939</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2" s="69" t="n">
        <f aca="false">MAX(-5%*TblPop[[#This Row],[Peasants]]-TblPop[[#This Row],[Draft Growth]],MIN(OFFSET(TblPop[[#This Row],[Net max]],1,0)-TblPop[[#This Row],[Peasants]]-TblPop[[#This Row],[Military]]-TblPop[[#This Row],[Draft Growth]],TblPop[[#This Row],[Modded Birth]]-TblPop[[#This Row],[Draft Growth]]))</f>
        <v>-70</v>
      </c>
      <c r="X112" s="69" t="n">
        <f aca="false">ROUND(TblPop[[#This Row],[Raw Birth]]*(1+TblPop[[#This Row],[Growth]]),0)</f>
        <v>293</v>
      </c>
      <c r="Y112" s="69" t="n">
        <f aca="false">(TblPop[[#This Row],[Peasants]]-TblPop[[#This Row],[Draft Growth]])*raw_pop_growth</f>
        <v>208.68</v>
      </c>
      <c r="Z112" s="69" t="n">
        <f aca="false">IF(TblPop[[#This Row],[Military%]]&lt;TblMili[[#This Row],[Draftrate]],ROUND(TblPop[[#This Row],[Peasants]]*Constants!$B$55,0), 0)</f>
        <v>70</v>
      </c>
      <c r="AA112" s="132"/>
      <c r="AB112" s="109" t="n">
        <f aca="false">Overview!$I$16 + IF(Magic!AE112&gt;0,Constants!$F$78) + ROUND(6*(Construction!BM113+Construction!CK112)/IF(Explore!S113&gt;0,Construction!F113-20,Construction!F113),4) + tech_6_5_2*Techs!BJ112 + tech_8_4*Techs!BT112</f>
        <v>0.4029</v>
      </c>
      <c r="AC112" s="130" t="n">
        <f aca="false">(Overview!$I$15 + Imps!Z112+ tech_2_5*Techs!AB112 + tech_3_6*Techs!AM112 + tech_6_1*Techs!BJ112 + tech_6_5*Techs!BF112 + tech_7_3_2*Techs!BN112) * (1 + Production!P112/100*prestige_pop_multiplier) + Production!P112/100*prestige_pop_multiplier</f>
        <v>0.07625</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6956</v>
      </c>
      <c r="D113" s="69" t="n">
        <f aca="false">TblMili[[#This Row],[Military]]</f>
        <v>5983</v>
      </c>
      <c r="E113" s="69" t="n">
        <f aca="false">TblMili[[#This Row],[Draftees]]</f>
        <v>2759</v>
      </c>
      <c r="F113" s="69" t="n">
        <f aca="false">TblPop[[#This Row],[Peasants]]+TblPop[[#This Row],[Military]]</f>
        <v>12939</v>
      </c>
      <c r="G113" s="130" t="n">
        <f aca="false">TblPop[[#This Row],[Military]]/TblPop[[#This Row],[Total]]</f>
        <v>0.462400494628642</v>
      </c>
      <c r="H113" s="95" t="n">
        <f aca="false">MIN(TblPop[[#This Row],[Peasants]],TblPop[[#This Row],[Jobs]])</f>
        <v>6956</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2759</v>
      </c>
      <c r="M113" s="33" t="n">
        <f aca="false">TblMili[[#This Row],[Unit 1]]</f>
        <v>0</v>
      </c>
      <c r="N113" s="33" t="n">
        <f aca="false">TblMili[[#This Row],[Unit 2]]</f>
        <v>1246</v>
      </c>
      <c r="O113" s="33" t="n">
        <f aca="false">TblMili[[#This Row],[Unit 3]]</f>
        <v>700</v>
      </c>
      <c r="P113" s="33" t="n">
        <f aca="false">TblMili[[#This Row],[Unit 4]]</f>
        <v>1228</v>
      </c>
      <c r="Q113" s="33" t="n">
        <f aca="false">TblMili[[#This Row],[Spies]]</f>
        <v>25</v>
      </c>
      <c r="R113" s="33" t="n">
        <f aca="false">TblMili[[#This Row],[Wizards]]</f>
        <v>25</v>
      </c>
      <c r="S113" s="33" t="n">
        <f aca="false">TblMili[[#This Row],[Archmages]]</f>
        <v>0</v>
      </c>
      <c r="T113" s="132"/>
      <c r="U113" s="69" t="n">
        <f aca="false">ROUND(TblPop[[#This Row],[Raw max]]*(1+TblPop[[#This Row],[Max pop]]),0)+MIN(TblPop[[#This Row],[Military]]-TblPop[[#This Row],[Draftees]]-SUM(TblMili[[#This Row],[Train Unit 1]:[Train AM]]),(barracks_size + tech_8_3*TblTech[[#This Row],[8-3]])*TblConstr[[#This Row],[Tot Bar]])</f>
        <v>12939</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3" s="69" t="n">
        <f aca="false">MAX(-5%*TblPop[[#This Row],[Peasants]]-TblPop[[#This Row],[Draft Growth]],MIN(OFFSET(TblPop[[#This Row],[Net max]],1,0)-TblPop[[#This Row],[Peasants]]-TblPop[[#This Row],[Military]]-TblPop[[#This Row],[Draft Growth]],TblPop[[#This Row],[Modded Birth]]-TblPop[[#This Row],[Draft Growth]]))</f>
        <v>-70</v>
      </c>
      <c r="X113" s="69" t="n">
        <f aca="false">ROUND(TblPop[[#This Row],[Raw Birth]]*(1+TblPop[[#This Row],[Growth]]),0)</f>
        <v>290</v>
      </c>
      <c r="Y113" s="69" t="n">
        <f aca="false">(TblPop[[#This Row],[Peasants]]-TblPop[[#This Row],[Draft Growth]])*raw_pop_growth</f>
        <v>206.58</v>
      </c>
      <c r="Z113" s="69" t="n">
        <f aca="false">IF(TblPop[[#This Row],[Military%]]&lt;TblMili[[#This Row],[Draftrate]],ROUND(TblPop[[#This Row],[Peasants]]*Constants!$B$55,0), 0)</f>
        <v>70</v>
      </c>
      <c r="AA113" s="132"/>
      <c r="AB113" s="109" t="n">
        <f aca="false">Overview!$I$16 + IF(Magic!AE113&gt;0,Constants!$F$78) + ROUND(6*(Construction!BM114+Construction!CK113)/IF(Explore!S114&gt;0,Construction!F114-20,Construction!F114),4) + tech_6_5_2*Techs!BJ113 + tech_8_4*Techs!BT113</f>
        <v>0.4029</v>
      </c>
      <c r="AC113" s="130" t="n">
        <f aca="false">(Overview!$I$15 + Imps!Z113+ tech_2_5*Techs!AB113 + tech_3_6*Techs!AM113 + tech_6_1*Techs!BJ113 + tech_6_5*Techs!BF113 + tech_7_3_2*Techs!BN113) * (1 + Production!P113/100*prestige_pop_multiplier) + Production!P113/100*prestige_pop_multiplier</f>
        <v>0.07625</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6886</v>
      </c>
      <c r="D114" s="69" t="n">
        <f aca="false">TblMili[[#This Row],[Military]]</f>
        <v>6053</v>
      </c>
      <c r="E114" s="69" t="n">
        <f aca="false">TblMili[[#This Row],[Draftees]]</f>
        <v>2829</v>
      </c>
      <c r="F114" s="69" t="n">
        <f aca="false">TblPop[[#This Row],[Peasants]]+TblPop[[#This Row],[Military]]</f>
        <v>12939</v>
      </c>
      <c r="G114" s="130" t="n">
        <f aca="false">TblPop[[#This Row],[Military]]/TblPop[[#This Row],[Total]]</f>
        <v>0.467810495401499</v>
      </c>
      <c r="H114" s="95" t="n">
        <f aca="false">MIN(TblPop[[#This Row],[Peasants]],TblPop[[#This Row],[Jobs]])</f>
        <v>6886</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2829</v>
      </c>
      <c r="M114" s="33" t="n">
        <f aca="false">TblMili[[#This Row],[Unit 1]]</f>
        <v>0</v>
      </c>
      <c r="N114" s="33" t="n">
        <f aca="false">TblMili[[#This Row],[Unit 2]]</f>
        <v>1246</v>
      </c>
      <c r="O114" s="33" t="n">
        <f aca="false">TblMili[[#This Row],[Unit 3]]</f>
        <v>700</v>
      </c>
      <c r="P114" s="33" t="n">
        <f aca="false">TblMili[[#This Row],[Unit 4]]</f>
        <v>1228</v>
      </c>
      <c r="Q114" s="33" t="n">
        <f aca="false">TblMili[[#This Row],[Spies]]</f>
        <v>25</v>
      </c>
      <c r="R114" s="33" t="n">
        <f aca="false">TblMili[[#This Row],[Wizards]]</f>
        <v>25</v>
      </c>
      <c r="S114" s="33" t="n">
        <f aca="false">TblMili[[#This Row],[Archmages]]</f>
        <v>0</v>
      </c>
      <c r="T114" s="132"/>
      <c r="U114" s="69" t="n">
        <f aca="false">ROUND(TblPop[[#This Row],[Raw max]]*(1+TblPop[[#This Row],[Max pop]]),0)+MIN(TblPop[[#This Row],[Military]]-TblPop[[#This Row],[Draftees]]-SUM(TblMili[[#This Row],[Train Unit 1]:[Train AM]]),(barracks_size + tech_8_3*TblTech[[#This Row],[8-3]])*TblConstr[[#This Row],[Tot Bar]])</f>
        <v>12939</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4" s="69" t="n">
        <f aca="false">MAX(-5%*TblPop[[#This Row],[Peasants]]-TblPop[[#This Row],[Draft Growth]],MIN(OFFSET(TblPop[[#This Row],[Net max]],1,0)-TblPop[[#This Row],[Peasants]]-TblPop[[#This Row],[Military]]-TblPop[[#This Row],[Draft Growth]],TblPop[[#This Row],[Modded Birth]]-TblPop[[#This Row],[Draft Growth]]))</f>
        <v>-69</v>
      </c>
      <c r="X114" s="69" t="n">
        <f aca="false">ROUND(TblPop[[#This Row],[Raw Birth]]*(1+TblPop[[#This Row],[Growth]]),0)</f>
        <v>287</v>
      </c>
      <c r="Y114" s="69" t="n">
        <f aca="false">(TblPop[[#This Row],[Peasants]]-TblPop[[#This Row],[Draft Growth]])*raw_pop_growth</f>
        <v>204.51</v>
      </c>
      <c r="Z114" s="69" t="n">
        <f aca="false">IF(TblPop[[#This Row],[Military%]]&lt;TblMili[[#This Row],[Draftrate]],ROUND(TblPop[[#This Row],[Peasants]]*Constants!$B$55,0), 0)</f>
        <v>69</v>
      </c>
      <c r="AA114" s="132"/>
      <c r="AB114" s="109" t="n">
        <f aca="false">Overview!$I$16 + IF(Magic!AE114&gt;0,Constants!$F$78) + ROUND(6*(Construction!BM115+Construction!CK114)/IF(Explore!S115&gt;0,Construction!F115-20,Construction!F115),4) + tech_6_5_2*Techs!BJ114 + tech_8_4*Techs!BT114</f>
        <v>0.4029</v>
      </c>
      <c r="AC114" s="130" t="n">
        <f aca="false">(Overview!$I$15 + Imps!Z114+ tech_2_5*Techs!AB114 + tech_3_6*Techs!AM114 + tech_6_1*Techs!BJ114 + tech_6_5*Techs!BF114 + tech_7_3_2*Techs!BN114) * (1 + Production!P114/100*prestige_pop_multiplier) + Production!P114/100*prestige_pop_multiplier</f>
        <v>0.07625</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6817</v>
      </c>
      <c r="D115" s="69" t="n">
        <f aca="false">TblMili[[#This Row],[Military]]</f>
        <v>6122</v>
      </c>
      <c r="E115" s="69" t="n">
        <f aca="false">TblMili[[#This Row],[Draftees]]</f>
        <v>2898</v>
      </c>
      <c r="F115" s="69" t="n">
        <f aca="false">TblPop[[#This Row],[Peasants]]+TblPop[[#This Row],[Military]]</f>
        <v>12939</v>
      </c>
      <c r="G115" s="130" t="n">
        <f aca="false">TblPop[[#This Row],[Military]]/TblPop[[#This Row],[Total]]</f>
        <v>0.47314321044903</v>
      </c>
      <c r="H115" s="95" t="n">
        <f aca="false">MIN(TblPop[[#This Row],[Peasants]],TblPop[[#This Row],[Jobs]])</f>
        <v>6817</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2898</v>
      </c>
      <c r="M115" s="33" t="n">
        <f aca="false">TblMili[[#This Row],[Unit 1]]</f>
        <v>0</v>
      </c>
      <c r="N115" s="33" t="n">
        <f aca="false">TblMili[[#This Row],[Unit 2]]</f>
        <v>1246</v>
      </c>
      <c r="O115" s="33" t="n">
        <f aca="false">TblMili[[#This Row],[Unit 3]]</f>
        <v>700</v>
      </c>
      <c r="P115" s="33" t="n">
        <f aca="false">TblMili[[#This Row],[Unit 4]]</f>
        <v>1228</v>
      </c>
      <c r="Q115" s="33" t="n">
        <f aca="false">TblMili[[#This Row],[Spies]]</f>
        <v>25</v>
      </c>
      <c r="R115" s="33" t="n">
        <f aca="false">TblMili[[#This Row],[Wizards]]</f>
        <v>25</v>
      </c>
      <c r="S115" s="33" t="n">
        <f aca="false">TblMili[[#This Row],[Archmages]]</f>
        <v>0</v>
      </c>
      <c r="T115" s="132"/>
      <c r="U115" s="69" t="n">
        <f aca="false">ROUND(TblPop[[#This Row],[Raw max]]*(1+TblPop[[#This Row],[Max pop]]),0)+MIN(TblPop[[#This Row],[Military]]-TblPop[[#This Row],[Draftees]]-SUM(TblMili[[#This Row],[Train Unit 1]:[Train AM]]),(barracks_size + tech_8_3*TblTech[[#This Row],[8-3]])*TblConstr[[#This Row],[Tot Bar]])</f>
        <v>12939</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5" s="69" t="n">
        <f aca="false">MAX(-5%*TblPop[[#This Row],[Peasants]]-TblPop[[#This Row],[Draft Growth]],MIN(OFFSET(TblPop[[#This Row],[Net max]],1,0)-TblPop[[#This Row],[Peasants]]-TblPop[[#This Row],[Military]]-TblPop[[#This Row],[Draft Growth]],TblPop[[#This Row],[Modded Birth]]-TblPop[[#This Row],[Draft Growth]]))</f>
        <v>-68</v>
      </c>
      <c r="X115" s="69" t="n">
        <f aca="false">ROUND(TblPop[[#This Row],[Raw Birth]]*(1+TblPop[[#This Row],[Growth]]),0)</f>
        <v>284</v>
      </c>
      <c r="Y115" s="69" t="n">
        <f aca="false">(TblPop[[#This Row],[Peasants]]-TblPop[[#This Row],[Draft Growth]])*raw_pop_growth</f>
        <v>202.47</v>
      </c>
      <c r="Z115" s="69" t="n">
        <f aca="false">IF(TblPop[[#This Row],[Military%]]&lt;TblMili[[#This Row],[Draftrate]],ROUND(TblPop[[#This Row],[Peasants]]*Constants!$B$55,0), 0)</f>
        <v>68</v>
      </c>
      <c r="AA115" s="132"/>
      <c r="AB115" s="109" t="n">
        <f aca="false">Overview!$I$16 + IF(Magic!AE115&gt;0,Constants!$F$78) + ROUND(6*(Construction!BM116+Construction!CK115)/IF(Explore!S116&gt;0,Construction!F116-20,Construction!F116),4) + tech_6_5_2*Techs!BJ115 + tech_8_4*Techs!BT115</f>
        <v>0.4029</v>
      </c>
      <c r="AC115" s="130" t="n">
        <f aca="false">(Overview!$I$15 + Imps!Z115+ tech_2_5*Techs!AB115 + tech_3_6*Techs!AM115 + tech_6_1*Techs!BJ115 + tech_6_5*Techs!BF115 + tech_7_3_2*Techs!BN115) * (1 + Production!P115/100*prestige_pop_multiplier) + Production!P115/100*prestige_pop_multiplier</f>
        <v>0.07625</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6749</v>
      </c>
      <c r="D116" s="69" t="n">
        <f aca="false">TblMili[[#This Row],[Military]]</f>
        <v>6190</v>
      </c>
      <c r="E116" s="69" t="n">
        <f aca="false">TblMili[[#This Row],[Draftees]]</f>
        <v>2966</v>
      </c>
      <c r="F116" s="69" t="n">
        <f aca="false">TblPop[[#This Row],[Peasants]]+TblPop[[#This Row],[Military]]</f>
        <v>12939</v>
      </c>
      <c r="G116" s="130" t="n">
        <f aca="false">TblPop[[#This Row],[Military]]/TblPop[[#This Row],[Total]]</f>
        <v>0.478398639771234</v>
      </c>
      <c r="H116" s="95" t="n">
        <f aca="false">MIN(TblPop[[#This Row],[Peasants]],TblPop[[#This Row],[Jobs]])</f>
        <v>6749</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2966</v>
      </c>
      <c r="M116" s="33" t="n">
        <f aca="false">TblMili[[#This Row],[Unit 1]]</f>
        <v>0</v>
      </c>
      <c r="N116" s="33" t="n">
        <f aca="false">TblMili[[#This Row],[Unit 2]]</f>
        <v>1246</v>
      </c>
      <c r="O116" s="33" t="n">
        <f aca="false">TblMili[[#This Row],[Unit 3]]</f>
        <v>700</v>
      </c>
      <c r="P116" s="33" t="n">
        <f aca="false">TblMili[[#This Row],[Unit 4]]</f>
        <v>1228</v>
      </c>
      <c r="Q116" s="33" t="n">
        <f aca="false">TblMili[[#This Row],[Spies]]</f>
        <v>25</v>
      </c>
      <c r="R116" s="33" t="n">
        <f aca="false">TblMili[[#This Row],[Wizards]]</f>
        <v>25</v>
      </c>
      <c r="S116" s="33" t="n">
        <f aca="false">TblMili[[#This Row],[Archmages]]</f>
        <v>0</v>
      </c>
      <c r="T116" s="132"/>
      <c r="U116" s="69" t="n">
        <f aca="false">ROUND(TblPop[[#This Row],[Raw max]]*(1+TblPop[[#This Row],[Max pop]]),0)+MIN(TblPop[[#This Row],[Military]]-TblPop[[#This Row],[Draftees]]-SUM(TblMili[[#This Row],[Train Unit 1]:[Train AM]]),(barracks_size + tech_8_3*TblTech[[#This Row],[8-3]])*TblConstr[[#This Row],[Tot Bar]])</f>
        <v>12939</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6" s="69" t="n">
        <f aca="false">MAX(-5%*TblPop[[#This Row],[Peasants]]-TblPop[[#This Row],[Draft Growth]],MIN(OFFSET(TblPop[[#This Row],[Net max]],1,0)-TblPop[[#This Row],[Peasants]]-TblPop[[#This Row],[Military]]-TblPop[[#This Row],[Draft Growth]],TblPop[[#This Row],[Modded Birth]]-TblPop[[#This Row],[Draft Growth]]))</f>
        <v>-67</v>
      </c>
      <c r="X116" s="69" t="n">
        <f aca="false">ROUND(TblPop[[#This Row],[Raw Birth]]*(1+TblPop[[#This Row],[Growth]]),0)</f>
        <v>281</v>
      </c>
      <c r="Y116" s="69" t="n">
        <f aca="false">(TblPop[[#This Row],[Peasants]]-TblPop[[#This Row],[Draft Growth]])*raw_pop_growth</f>
        <v>200.46</v>
      </c>
      <c r="Z116" s="69" t="n">
        <f aca="false">IF(TblPop[[#This Row],[Military%]]&lt;TblMili[[#This Row],[Draftrate]],ROUND(TblPop[[#This Row],[Peasants]]*Constants!$B$55,0), 0)</f>
        <v>67</v>
      </c>
      <c r="AA116" s="132"/>
      <c r="AB116" s="109" t="n">
        <f aca="false">Overview!$I$16 + IF(Magic!AE116&gt;0,Constants!$F$78) + ROUND(6*(Construction!BM117+Construction!CK116)/IF(Explore!S117&gt;0,Construction!F117-20,Construction!F117),4) + tech_6_5_2*Techs!BJ116 + tech_8_4*Techs!BT116</f>
        <v>0.4029</v>
      </c>
      <c r="AC116" s="130" t="n">
        <f aca="false">(Overview!$I$15 + Imps!Z116+ tech_2_5*Techs!AB116 + tech_3_6*Techs!AM116 + tech_6_1*Techs!BJ116 + tech_6_5*Techs!BF116 + tech_7_3_2*Techs!BN116) * (1 + Production!P116/100*prestige_pop_multiplier) + Production!P116/100*prestige_pop_multiplier</f>
        <v>0.07625</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6682</v>
      </c>
      <c r="D117" s="69" t="n">
        <f aca="false">TblMili[[#This Row],[Military]]</f>
        <v>6257</v>
      </c>
      <c r="E117" s="69" t="n">
        <f aca="false">TblMili[[#This Row],[Draftees]]</f>
        <v>3033</v>
      </c>
      <c r="F117" s="69" t="n">
        <f aca="false">TblPop[[#This Row],[Peasants]]+TblPop[[#This Row],[Military]]</f>
        <v>12939</v>
      </c>
      <c r="G117" s="130" t="n">
        <f aca="false">TblPop[[#This Row],[Military]]/TblPop[[#This Row],[Total]]</f>
        <v>0.483576783368112</v>
      </c>
      <c r="H117" s="95" t="n">
        <f aca="false">MIN(TblPop[[#This Row],[Peasants]],TblPop[[#This Row],[Jobs]])</f>
        <v>6682</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3033</v>
      </c>
      <c r="M117" s="33" t="n">
        <f aca="false">TblMili[[#This Row],[Unit 1]]</f>
        <v>0</v>
      </c>
      <c r="N117" s="33" t="n">
        <f aca="false">TblMili[[#This Row],[Unit 2]]</f>
        <v>1246</v>
      </c>
      <c r="O117" s="33" t="n">
        <f aca="false">TblMili[[#This Row],[Unit 3]]</f>
        <v>700</v>
      </c>
      <c r="P117" s="33" t="n">
        <f aca="false">TblMili[[#This Row],[Unit 4]]</f>
        <v>1228</v>
      </c>
      <c r="Q117" s="33" t="n">
        <f aca="false">TblMili[[#This Row],[Spies]]</f>
        <v>25</v>
      </c>
      <c r="R117" s="33" t="n">
        <f aca="false">TblMili[[#This Row],[Wizards]]</f>
        <v>25</v>
      </c>
      <c r="S117" s="33" t="n">
        <f aca="false">TblMili[[#This Row],[Archmages]]</f>
        <v>0</v>
      </c>
      <c r="T117" s="132"/>
      <c r="U117" s="69" t="n">
        <f aca="false">ROUND(TblPop[[#This Row],[Raw max]]*(1+TblPop[[#This Row],[Max pop]]),0)+MIN(TblPop[[#This Row],[Military]]-TblPop[[#This Row],[Draftees]]-SUM(TblMili[[#This Row],[Train Unit 1]:[Train AM]]),(barracks_size + tech_8_3*TblTech[[#This Row],[8-3]])*TblConstr[[#This Row],[Tot Bar]])</f>
        <v>12939</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7" s="69" t="n">
        <f aca="false">MAX(-5%*TblPop[[#This Row],[Peasants]]-TblPop[[#This Row],[Draft Growth]],MIN(OFFSET(TblPop[[#This Row],[Net max]],1,0)-TblPop[[#This Row],[Peasants]]-TblPop[[#This Row],[Military]]-TblPop[[#This Row],[Draft Growth]],TblPop[[#This Row],[Modded Birth]]-TblPop[[#This Row],[Draft Growth]]))</f>
        <v>-67</v>
      </c>
      <c r="X117" s="69" t="n">
        <f aca="false">ROUND(TblPop[[#This Row],[Raw Birth]]*(1+TblPop[[#This Row],[Growth]]),0)</f>
        <v>278</v>
      </c>
      <c r="Y117" s="69" t="n">
        <f aca="false">(TblPop[[#This Row],[Peasants]]-TblPop[[#This Row],[Draft Growth]])*raw_pop_growth</f>
        <v>198.45</v>
      </c>
      <c r="Z117" s="69" t="n">
        <f aca="false">IF(TblPop[[#This Row],[Military%]]&lt;TblMili[[#This Row],[Draftrate]],ROUND(TblPop[[#This Row],[Peasants]]*Constants!$B$55,0), 0)</f>
        <v>67</v>
      </c>
      <c r="AA117" s="132"/>
      <c r="AB117" s="109" t="n">
        <f aca="false">Overview!$I$16 + IF(Magic!AE117&gt;0,Constants!$F$78) + ROUND(6*(Construction!BM118+Construction!CK117)/IF(Explore!S118&gt;0,Construction!F118-20,Construction!F118),4) + tech_6_5_2*Techs!BJ117 + tech_8_4*Techs!BT117</f>
        <v>0.4029</v>
      </c>
      <c r="AC117" s="130" t="n">
        <f aca="false">(Overview!$I$15 + Imps!Z117+ tech_2_5*Techs!AB117 + tech_3_6*Techs!AM117 + tech_6_1*Techs!BJ117 + tech_6_5*Techs!BF117 + tech_7_3_2*Techs!BN117) * (1 + Production!P117/100*prestige_pop_multiplier) + Production!P117/100*prestige_pop_multiplier</f>
        <v>0.07625</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6615</v>
      </c>
      <c r="D118" s="69" t="n">
        <f aca="false">TblMili[[#This Row],[Military]]</f>
        <v>6324</v>
      </c>
      <c r="E118" s="69" t="n">
        <f aca="false">TblMili[[#This Row],[Draftees]]</f>
        <v>3100</v>
      </c>
      <c r="F118" s="69" t="n">
        <f aca="false">TblPop[[#This Row],[Peasants]]+TblPop[[#This Row],[Military]]</f>
        <v>12939</v>
      </c>
      <c r="G118" s="130" t="n">
        <f aca="false">TblPop[[#This Row],[Military]]/TblPop[[#This Row],[Total]]</f>
        <v>0.48875492696499</v>
      </c>
      <c r="H118" s="95" t="n">
        <f aca="false">MIN(TblPop[[#This Row],[Peasants]],TblPop[[#This Row],[Jobs]])</f>
        <v>6615</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3100</v>
      </c>
      <c r="M118" s="33" t="n">
        <f aca="false">TblMili[[#This Row],[Unit 1]]</f>
        <v>0</v>
      </c>
      <c r="N118" s="33" t="n">
        <f aca="false">TblMili[[#This Row],[Unit 2]]</f>
        <v>1246</v>
      </c>
      <c r="O118" s="33" t="n">
        <f aca="false">TblMili[[#This Row],[Unit 3]]</f>
        <v>700</v>
      </c>
      <c r="P118" s="33" t="n">
        <f aca="false">TblMili[[#This Row],[Unit 4]]</f>
        <v>1228</v>
      </c>
      <c r="Q118" s="33" t="n">
        <f aca="false">TblMili[[#This Row],[Spies]]</f>
        <v>25</v>
      </c>
      <c r="R118" s="33" t="n">
        <f aca="false">TblMili[[#This Row],[Wizards]]</f>
        <v>25</v>
      </c>
      <c r="S118" s="33" t="n">
        <f aca="false">TblMili[[#This Row],[Archmages]]</f>
        <v>0</v>
      </c>
      <c r="T118" s="132"/>
      <c r="U118" s="69" t="n">
        <f aca="false">ROUND(TblPop[[#This Row],[Raw max]]*(1+TblPop[[#This Row],[Max pop]]),0)+MIN(TblPop[[#This Row],[Military]]-TblPop[[#This Row],[Draftees]]-SUM(TblMili[[#This Row],[Train Unit 1]:[Train AM]]),(barracks_size + tech_8_3*TblTech[[#This Row],[8-3]])*TblConstr[[#This Row],[Tot Bar]])</f>
        <v>12939</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8" s="69" t="n">
        <f aca="false">MAX(-5%*TblPop[[#This Row],[Peasants]]-TblPop[[#This Row],[Draft Growth]],MIN(OFFSET(TblPop[[#This Row],[Net max]],1,0)-TblPop[[#This Row],[Peasants]]-TblPop[[#This Row],[Military]]-TblPop[[#This Row],[Draft Growth]],TblPop[[#This Row],[Modded Birth]]-TblPop[[#This Row],[Draft Growth]]))</f>
        <v>-66</v>
      </c>
      <c r="X118" s="69" t="n">
        <f aca="false">ROUND(TblPop[[#This Row],[Raw Birth]]*(1+TblPop[[#This Row],[Growth]]),0)</f>
        <v>276</v>
      </c>
      <c r="Y118" s="69" t="n">
        <f aca="false">(TblPop[[#This Row],[Peasants]]-TblPop[[#This Row],[Draft Growth]])*raw_pop_growth</f>
        <v>196.47</v>
      </c>
      <c r="Z118" s="69" t="n">
        <f aca="false">IF(TblPop[[#This Row],[Military%]]&lt;TblMili[[#This Row],[Draftrate]],ROUND(TblPop[[#This Row],[Peasants]]*Constants!$B$55,0), 0)</f>
        <v>66</v>
      </c>
      <c r="AA118" s="132"/>
      <c r="AB118" s="109" t="n">
        <f aca="false">Overview!$I$16 + IF(Magic!AE118&gt;0,Constants!$F$78) + ROUND(6*(Construction!BM119+Construction!CK118)/IF(Explore!S119&gt;0,Construction!F119-20,Construction!F119),4) + tech_6_5_2*Techs!BJ118 + tech_8_4*Techs!BT118</f>
        <v>0.4029</v>
      </c>
      <c r="AC118" s="130" t="n">
        <f aca="false">(Overview!$I$15 + Imps!Z118+ tech_2_5*Techs!AB118 + tech_3_6*Techs!AM118 + tech_6_1*Techs!BJ118 + tech_6_5*Techs!BF118 + tech_7_3_2*Techs!BN118) * (1 + Production!P118/100*prestige_pop_multiplier) + Production!P118/100*prestige_pop_multiplier</f>
        <v>0.07625</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6549</v>
      </c>
      <c r="D119" s="69" t="n">
        <f aca="false">TblMili[[#This Row],[Military]]</f>
        <v>6390</v>
      </c>
      <c r="E119" s="69" t="n">
        <f aca="false">TblMili[[#This Row],[Draftees]]</f>
        <v>3166</v>
      </c>
      <c r="F119" s="69" t="n">
        <f aca="false">TblPop[[#This Row],[Peasants]]+TblPop[[#This Row],[Military]]</f>
        <v>12939</v>
      </c>
      <c r="G119" s="130" t="n">
        <f aca="false">TblPop[[#This Row],[Military]]/TblPop[[#This Row],[Total]]</f>
        <v>0.493855784836541</v>
      </c>
      <c r="H119" s="95" t="n">
        <f aca="false">MIN(TblPop[[#This Row],[Peasants]],TblPop[[#This Row],[Jobs]])</f>
        <v>6549</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3166</v>
      </c>
      <c r="M119" s="33" t="n">
        <f aca="false">TblMili[[#This Row],[Unit 1]]</f>
        <v>0</v>
      </c>
      <c r="N119" s="33" t="n">
        <f aca="false">TblMili[[#This Row],[Unit 2]]</f>
        <v>1246</v>
      </c>
      <c r="O119" s="33" t="n">
        <f aca="false">TblMili[[#This Row],[Unit 3]]</f>
        <v>700</v>
      </c>
      <c r="P119" s="33" t="n">
        <f aca="false">TblMili[[#This Row],[Unit 4]]</f>
        <v>1228</v>
      </c>
      <c r="Q119" s="33" t="n">
        <f aca="false">TblMili[[#This Row],[Spies]]</f>
        <v>25</v>
      </c>
      <c r="R119" s="33" t="n">
        <f aca="false">TblMili[[#This Row],[Wizards]]</f>
        <v>25</v>
      </c>
      <c r="S119" s="33" t="n">
        <f aca="false">TblMili[[#This Row],[Archmages]]</f>
        <v>0</v>
      </c>
      <c r="T119" s="132"/>
      <c r="U119" s="69" t="n">
        <f aca="false">ROUND(TblPop[[#This Row],[Raw max]]*(1+TblPop[[#This Row],[Max pop]]),0)+MIN(TblPop[[#This Row],[Military]]-TblPop[[#This Row],[Draftees]]-SUM(TblMili[[#This Row],[Train Unit 1]:[Train AM]]),(barracks_size + tech_8_3*TblTech[[#This Row],[8-3]])*TblConstr[[#This Row],[Tot Bar]])</f>
        <v>12939</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9" s="69" t="n">
        <f aca="false">MAX(-5%*TblPop[[#This Row],[Peasants]]-TblPop[[#This Row],[Draft Growth]],MIN(OFFSET(TblPop[[#This Row],[Net max]],1,0)-TblPop[[#This Row],[Peasants]]-TblPop[[#This Row],[Military]]-TblPop[[#This Row],[Draft Growth]],TblPop[[#This Row],[Modded Birth]]-TblPop[[#This Row],[Draft Growth]]))</f>
        <v>-65</v>
      </c>
      <c r="X119" s="69" t="n">
        <f aca="false">ROUND(TblPop[[#This Row],[Raw Birth]]*(1+TblPop[[#This Row],[Growth]]),0)</f>
        <v>273</v>
      </c>
      <c r="Y119" s="69" t="n">
        <f aca="false">(TblPop[[#This Row],[Peasants]]-TblPop[[#This Row],[Draft Growth]])*raw_pop_growth</f>
        <v>194.52</v>
      </c>
      <c r="Z119" s="69" t="n">
        <f aca="false">IF(TblPop[[#This Row],[Military%]]&lt;TblMili[[#This Row],[Draftrate]],ROUND(TblPop[[#This Row],[Peasants]]*Constants!$B$55,0), 0)</f>
        <v>65</v>
      </c>
      <c r="AA119" s="132"/>
      <c r="AB119" s="109" t="n">
        <f aca="false">Overview!$I$16 + IF(Magic!AE119&gt;0,Constants!$F$78) + ROUND(6*(Construction!BM120+Construction!CK119)/IF(Explore!S120&gt;0,Construction!F120-20,Construction!F120),4) + tech_6_5_2*Techs!BJ119 + tech_8_4*Techs!BT119</f>
        <v>0.4029</v>
      </c>
      <c r="AC119" s="130" t="n">
        <f aca="false">(Overview!$I$15 + Imps!Z119+ tech_2_5*Techs!AB119 + tech_3_6*Techs!AM119 + tech_6_1*Techs!BJ119 + tech_6_5*Techs!BF119 + tech_7_3_2*Techs!BN119) * (1 + Production!P119/100*prestige_pop_multiplier) + Production!P119/100*prestige_pop_multiplier</f>
        <v>0.07625</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6484</v>
      </c>
      <c r="D120" s="69" t="n">
        <f aca="false">TblMili[[#This Row],[Military]]</f>
        <v>6455</v>
      </c>
      <c r="E120" s="69" t="n">
        <f aca="false">TblMili[[#This Row],[Draftees]]</f>
        <v>3231</v>
      </c>
      <c r="F120" s="69" t="n">
        <f aca="false">TblPop[[#This Row],[Peasants]]+TblPop[[#This Row],[Military]]</f>
        <v>12939</v>
      </c>
      <c r="G120" s="130" t="n">
        <f aca="false">TblPop[[#This Row],[Military]]/TblPop[[#This Row],[Total]]</f>
        <v>0.498879356982765</v>
      </c>
      <c r="H120" s="95" t="n">
        <f aca="false">MIN(TblPop[[#This Row],[Peasants]],TblPop[[#This Row],[Jobs]])</f>
        <v>6484</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3231</v>
      </c>
      <c r="M120" s="33" t="n">
        <f aca="false">TblMili[[#This Row],[Unit 1]]</f>
        <v>0</v>
      </c>
      <c r="N120" s="33" t="n">
        <f aca="false">TblMili[[#This Row],[Unit 2]]</f>
        <v>1246</v>
      </c>
      <c r="O120" s="33" t="n">
        <f aca="false">TblMili[[#This Row],[Unit 3]]</f>
        <v>700</v>
      </c>
      <c r="P120" s="33" t="n">
        <f aca="false">TblMili[[#This Row],[Unit 4]]</f>
        <v>1228</v>
      </c>
      <c r="Q120" s="33" t="n">
        <f aca="false">TblMili[[#This Row],[Spies]]</f>
        <v>25</v>
      </c>
      <c r="R120" s="33" t="n">
        <f aca="false">TblMili[[#This Row],[Wizards]]</f>
        <v>25</v>
      </c>
      <c r="S120" s="33" t="n">
        <f aca="false">TblMili[[#This Row],[Archmages]]</f>
        <v>0</v>
      </c>
      <c r="T120" s="132"/>
      <c r="U120" s="69" t="n">
        <f aca="false">ROUND(TblPop[[#This Row],[Raw max]]*(1+TblPop[[#This Row],[Max pop]]),0)+MIN(TblPop[[#This Row],[Military]]-TblPop[[#This Row],[Draftees]]-SUM(TblMili[[#This Row],[Train Unit 1]:[Train AM]]),(barracks_size + tech_8_3*TblTech[[#This Row],[8-3]])*TblConstr[[#This Row],[Tot Bar]])</f>
        <v>12939</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0" s="69" t="n">
        <f aca="false">MAX(-5%*TblPop[[#This Row],[Peasants]]-TblPop[[#This Row],[Draft Growth]],MIN(OFFSET(TblPop[[#This Row],[Net max]],1,0)-TblPop[[#This Row],[Peasants]]-TblPop[[#This Row],[Military]]-TblPop[[#This Row],[Draft Growth]],TblPop[[#This Row],[Modded Birth]]-TblPop[[#This Row],[Draft Growth]]))</f>
        <v>-65</v>
      </c>
      <c r="X120" s="69" t="n">
        <f aca="false">ROUND(TblPop[[#This Row],[Raw Birth]]*(1+TblPop[[#This Row],[Growth]]),0)</f>
        <v>270</v>
      </c>
      <c r="Y120" s="69" t="n">
        <f aca="false">(TblPop[[#This Row],[Peasants]]-TblPop[[#This Row],[Draft Growth]])*raw_pop_growth</f>
        <v>192.57</v>
      </c>
      <c r="Z120" s="69" t="n">
        <f aca="false">IF(TblPop[[#This Row],[Military%]]&lt;TblMili[[#This Row],[Draftrate]],ROUND(TblPop[[#This Row],[Peasants]]*Constants!$B$55,0), 0)</f>
        <v>65</v>
      </c>
      <c r="AA120" s="132"/>
      <c r="AB120" s="109" t="n">
        <f aca="false">Overview!$I$16 + IF(Magic!AE120&gt;0,Constants!$F$78) + ROUND(6*(Construction!BM121+Construction!CK120)/IF(Explore!S121&gt;0,Construction!F121-20,Construction!F121),4) + tech_6_5_2*Techs!BJ120 + tech_8_4*Techs!BT120</f>
        <v>0.4029</v>
      </c>
      <c r="AC120" s="130" t="n">
        <f aca="false">(Overview!$I$15 + Imps!Z120+ tech_2_5*Techs!AB120 + tech_3_6*Techs!AM120 + tech_6_1*Techs!BJ120 + tech_6_5*Techs!BF120 + tech_7_3_2*Techs!BN120) * (1 + Production!P120/100*prestige_pop_multiplier) + Production!P120/100*prestige_pop_multiplier</f>
        <v>0.07625</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6419</v>
      </c>
      <c r="D121" s="69" t="n">
        <f aca="false">TblMili[[#This Row],[Military]]</f>
        <v>6520</v>
      </c>
      <c r="E121" s="69" t="n">
        <f aca="false">TblMili[[#This Row],[Draftees]]</f>
        <v>3296</v>
      </c>
      <c r="F121" s="69" t="n">
        <f aca="false">TblPop[[#This Row],[Peasants]]+TblPop[[#This Row],[Military]]</f>
        <v>12939</v>
      </c>
      <c r="G121" s="130" t="n">
        <f aca="false">TblPop[[#This Row],[Military]]/TblPop[[#This Row],[Total]]</f>
        <v>0.50390292912899</v>
      </c>
      <c r="H121" s="95" t="n">
        <f aca="false">MIN(TblPop[[#This Row],[Peasants]],TblPop[[#This Row],[Jobs]])</f>
        <v>6419</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3296</v>
      </c>
      <c r="M121" s="33" t="n">
        <f aca="false">TblMili[[#This Row],[Unit 1]]</f>
        <v>0</v>
      </c>
      <c r="N121" s="33" t="n">
        <f aca="false">TblMili[[#This Row],[Unit 2]]</f>
        <v>1246</v>
      </c>
      <c r="O121" s="33" t="n">
        <f aca="false">TblMili[[#This Row],[Unit 3]]</f>
        <v>700</v>
      </c>
      <c r="P121" s="33" t="n">
        <f aca="false">TblMili[[#This Row],[Unit 4]]</f>
        <v>1228</v>
      </c>
      <c r="Q121" s="33" t="n">
        <f aca="false">TblMili[[#This Row],[Spies]]</f>
        <v>25</v>
      </c>
      <c r="R121" s="33" t="n">
        <f aca="false">TblMili[[#This Row],[Wizards]]</f>
        <v>25</v>
      </c>
      <c r="S121" s="33" t="n">
        <f aca="false">TblMili[[#This Row],[Archmages]]</f>
        <v>0</v>
      </c>
      <c r="T121" s="132"/>
      <c r="U121" s="69" t="n">
        <f aca="false">ROUND(TblPop[[#This Row],[Raw max]]*(1+TblPop[[#This Row],[Max pop]]),0)+MIN(TblPop[[#This Row],[Military]]-TblPop[[#This Row],[Draftees]]-SUM(TblMili[[#This Row],[Train Unit 1]:[Train AM]]),(barracks_size + tech_8_3*TblTech[[#This Row],[8-3]])*TblConstr[[#This Row],[Tot Bar]])</f>
        <v>12939</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1" s="69" t="n">
        <f aca="false">MAX(-5%*TblPop[[#This Row],[Peasants]]-TblPop[[#This Row],[Draft Growth]],MIN(OFFSET(TblPop[[#This Row],[Net max]],1,0)-TblPop[[#This Row],[Peasants]]-TblPop[[#This Row],[Military]]-TblPop[[#This Row],[Draft Growth]],TblPop[[#This Row],[Modded Birth]]-TblPop[[#This Row],[Draft Growth]]))</f>
        <v>-64</v>
      </c>
      <c r="X121" s="69" t="n">
        <f aca="false">ROUND(TblPop[[#This Row],[Raw Birth]]*(1+TblPop[[#This Row],[Growth]]),0)</f>
        <v>267</v>
      </c>
      <c r="Y121" s="69" t="n">
        <f aca="false">(TblPop[[#This Row],[Peasants]]-TblPop[[#This Row],[Draft Growth]])*raw_pop_growth</f>
        <v>190.65</v>
      </c>
      <c r="Z121" s="69" t="n">
        <f aca="false">IF(TblPop[[#This Row],[Military%]]&lt;TblMili[[#This Row],[Draftrate]],ROUND(TblPop[[#This Row],[Peasants]]*Constants!$B$55,0), 0)</f>
        <v>64</v>
      </c>
      <c r="AA121" s="132"/>
      <c r="AB121" s="109" t="n">
        <f aca="false">Overview!$I$16 + IF(Magic!AE121&gt;0,Constants!$F$78) + ROUND(6*(Construction!BM122+Construction!CK121)/IF(Explore!S122&gt;0,Construction!F122-20,Construction!F122),4) + tech_6_5_2*Techs!BJ121 + tech_8_4*Techs!BT121</f>
        <v>0.4029</v>
      </c>
      <c r="AC121" s="130" t="n">
        <f aca="false">(Overview!$I$15 + Imps!Z121+ tech_2_5*Techs!AB121 + tech_3_6*Techs!AM121 + tech_6_1*Techs!BJ121 + tech_6_5*Techs!BF121 + tech_7_3_2*Techs!BN121) * (1 + Production!P121/100*prestige_pop_multiplier) + Production!P121/100*prestige_pop_multiplier</f>
        <v>0.07625</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6355</v>
      </c>
      <c r="D122" s="69" t="n">
        <f aca="false">TblMili[[#This Row],[Military]]</f>
        <v>6584</v>
      </c>
      <c r="E122" s="69" t="n">
        <f aca="false">TblMili[[#This Row],[Draftees]]</f>
        <v>3360</v>
      </c>
      <c r="F122" s="69" t="n">
        <f aca="false">TblPop[[#This Row],[Peasants]]+TblPop[[#This Row],[Military]]</f>
        <v>12939</v>
      </c>
      <c r="G122" s="130" t="n">
        <f aca="false">TblPop[[#This Row],[Military]]/TblPop[[#This Row],[Total]]</f>
        <v>0.508849215549888</v>
      </c>
      <c r="H122" s="95" t="n">
        <f aca="false">MIN(TblPop[[#This Row],[Peasants]],TblPop[[#This Row],[Jobs]])</f>
        <v>6355</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3360</v>
      </c>
      <c r="M122" s="33" t="n">
        <f aca="false">TblMili[[#This Row],[Unit 1]]</f>
        <v>0</v>
      </c>
      <c r="N122" s="33" t="n">
        <f aca="false">TblMili[[#This Row],[Unit 2]]</f>
        <v>1246</v>
      </c>
      <c r="O122" s="33" t="n">
        <f aca="false">TblMili[[#This Row],[Unit 3]]</f>
        <v>700</v>
      </c>
      <c r="P122" s="33" t="n">
        <f aca="false">TblMili[[#This Row],[Unit 4]]</f>
        <v>1228</v>
      </c>
      <c r="Q122" s="33" t="n">
        <f aca="false">TblMili[[#This Row],[Spies]]</f>
        <v>25</v>
      </c>
      <c r="R122" s="33" t="n">
        <f aca="false">TblMili[[#This Row],[Wizards]]</f>
        <v>25</v>
      </c>
      <c r="S122" s="33" t="n">
        <f aca="false">TblMili[[#This Row],[Archmages]]</f>
        <v>0</v>
      </c>
      <c r="T122" s="132"/>
      <c r="U122" s="69" t="n">
        <f aca="false">ROUND(TblPop[[#This Row],[Raw max]]*(1+TblPop[[#This Row],[Max pop]]),0)+MIN(TblPop[[#This Row],[Military]]-TblPop[[#This Row],[Draftees]]-SUM(TblMili[[#This Row],[Train Unit 1]:[Train AM]]),(barracks_size + tech_8_3*TblTech[[#This Row],[8-3]])*TblConstr[[#This Row],[Tot Bar]])</f>
        <v>12939</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2" s="69" t="n">
        <f aca="false">MAX(-5%*TblPop[[#This Row],[Peasants]]-TblPop[[#This Row],[Draft Growth]],MIN(OFFSET(TblPop[[#This Row],[Net max]],1,0)-TblPop[[#This Row],[Peasants]]-TblPop[[#This Row],[Military]]-TblPop[[#This Row],[Draft Growth]],TblPop[[#This Row],[Modded Birth]]-TblPop[[#This Row],[Draft Growth]]))</f>
        <v>-64</v>
      </c>
      <c r="X122" s="69" t="n">
        <f aca="false">ROUND(TblPop[[#This Row],[Raw Birth]]*(1+TblPop[[#This Row],[Growth]]),0)</f>
        <v>265</v>
      </c>
      <c r="Y122" s="69" t="n">
        <f aca="false">(TblPop[[#This Row],[Peasants]]-TblPop[[#This Row],[Draft Growth]])*raw_pop_growth</f>
        <v>188.73</v>
      </c>
      <c r="Z122" s="69" t="n">
        <f aca="false">IF(TblPop[[#This Row],[Military%]]&lt;TblMili[[#This Row],[Draftrate]],ROUND(TblPop[[#This Row],[Peasants]]*Constants!$B$55,0), 0)</f>
        <v>64</v>
      </c>
      <c r="AA122" s="132"/>
      <c r="AB122" s="109" t="n">
        <f aca="false">Overview!$I$16 + IF(Magic!AE122&gt;0,Constants!$F$78) + ROUND(6*(Construction!BM123+Construction!CK122)/IF(Explore!S123&gt;0,Construction!F123-20,Construction!F123),4) + tech_6_5_2*Techs!BJ122 + tech_8_4*Techs!BT122</f>
        <v>0.4029</v>
      </c>
      <c r="AC122" s="130" t="n">
        <f aca="false">(Overview!$I$15 + Imps!Z122+ tech_2_5*Techs!AB122 + tech_3_6*Techs!AM122 + tech_6_1*Techs!BJ122 + tech_6_5*Techs!BF122 + tech_7_3_2*Techs!BN122) * (1 + Production!P122/100*prestige_pop_multiplier) + Production!P122/100*prestige_pop_multiplier</f>
        <v>0.07625</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6291</v>
      </c>
      <c r="D123" s="69" t="n">
        <f aca="false">TblMili[[#This Row],[Military]]</f>
        <v>6648</v>
      </c>
      <c r="E123" s="69" t="n">
        <f aca="false">TblMili[[#This Row],[Draftees]]</f>
        <v>3424</v>
      </c>
      <c r="F123" s="69" t="n">
        <f aca="false">TblPop[[#This Row],[Peasants]]+TblPop[[#This Row],[Military]]</f>
        <v>12939</v>
      </c>
      <c r="G123" s="130" t="n">
        <f aca="false">TblPop[[#This Row],[Military]]/TblPop[[#This Row],[Total]]</f>
        <v>0.513795501970786</v>
      </c>
      <c r="H123" s="95" t="n">
        <f aca="false">MIN(TblPop[[#This Row],[Peasants]],TblPop[[#This Row],[Jobs]])</f>
        <v>6291</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3424</v>
      </c>
      <c r="M123" s="33" t="n">
        <f aca="false">TblMili[[#This Row],[Unit 1]]</f>
        <v>0</v>
      </c>
      <c r="N123" s="33" t="n">
        <f aca="false">TblMili[[#This Row],[Unit 2]]</f>
        <v>1246</v>
      </c>
      <c r="O123" s="33" t="n">
        <f aca="false">TblMili[[#This Row],[Unit 3]]</f>
        <v>700</v>
      </c>
      <c r="P123" s="33" t="n">
        <f aca="false">TblMili[[#This Row],[Unit 4]]</f>
        <v>1228</v>
      </c>
      <c r="Q123" s="33" t="n">
        <f aca="false">TblMili[[#This Row],[Spies]]</f>
        <v>25</v>
      </c>
      <c r="R123" s="33" t="n">
        <f aca="false">TblMili[[#This Row],[Wizards]]</f>
        <v>25</v>
      </c>
      <c r="S123" s="33" t="n">
        <f aca="false">TblMili[[#This Row],[Archmages]]</f>
        <v>0</v>
      </c>
      <c r="T123" s="132"/>
      <c r="U123" s="69" t="n">
        <f aca="false">ROUND(TblPop[[#This Row],[Raw max]]*(1+TblPop[[#This Row],[Max pop]]),0)+MIN(TblPop[[#This Row],[Military]]-TblPop[[#This Row],[Draftees]]-SUM(TblMili[[#This Row],[Train Unit 1]:[Train AM]]),(barracks_size + tech_8_3*TblTech[[#This Row],[8-3]])*TblConstr[[#This Row],[Tot Bar]])</f>
        <v>12939</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3" s="69" t="n">
        <f aca="false">MAX(-5%*TblPop[[#This Row],[Peasants]]-TblPop[[#This Row],[Draft Growth]],MIN(OFFSET(TblPop[[#This Row],[Net max]],1,0)-TblPop[[#This Row],[Peasants]]-TblPop[[#This Row],[Military]]-TblPop[[#This Row],[Draft Growth]],TblPop[[#This Row],[Modded Birth]]-TblPop[[#This Row],[Draft Growth]]))</f>
        <v>-63</v>
      </c>
      <c r="X123" s="69" t="n">
        <f aca="false">ROUND(TblPop[[#This Row],[Raw Birth]]*(1+TblPop[[#This Row],[Growth]]),0)</f>
        <v>262</v>
      </c>
      <c r="Y123" s="69" t="n">
        <f aca="false">(TblPop[[#This Row],[Peasants]]-TblPop[[#This Row],[Draft Growth]])*raw_pop_growth</f>
        <v>186.84</v>
      </c>
      <c r="Z123" s="69" t="n">
        <f aca="false">IF(TblPop[[#This Row],[Military%]]&lt;TblMili[[#This Row],[Draftrate]],ROUND(TblPop[[#This Row],[Peasants]]*Constants!$B$55,0), 0)</f>
        <v>63</v>
      </c>
      <c r="AA123" s="132"/>
      <c r="AB123" s="109" t="n">
        <f aca="false">Overview!$I$16 + IF(Magic!AE123&gt;0,Constants!$F$78) + ROUND(6*(Construction!BM124+Construction!CK123)/IF(Explore!S124&gt;0,Construction!F124-20,Construction!F124),4) + tech_6_5_2*Techs!BJ123 + tech_8_4*Techs!BT123</f>
        <v>0.4029</v>
      </c>
      <c r="AC123" s="130" t="n">
        <f aca="false">(Overview!$I$15 + Imps!Z123+ tech_2_5*Techs!AB123 + tech_3_6*Techs!AM123 + tech_6_1*Techs!BJ123 + tech_6_5*Techs!BF123 + tech_7_3_2*Techs!BN123) * (1 + Production!P123/100*prestige_pop_multiplier) + Production!P123/100*prestige_pop_multiplier</f>
        <v>0.07625</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6228</v>
      </c>
      <c r="D124" s="69" t="n">
        <f aca="false">TblMili[[#This Row],[Military]]</f>
        <v>6711</v>
      </c>
      <c r="E124" s="69" t="n">
        <f aca="false">TblMili[[#This Row],[Draftees]]</f>
        <v>3487</v>
      </c>
      <c r="F124" s="69" t="n">
        <f aca="false">TblPop[[#This Row],[Peasants]]+TblPop[[#This Row],[Military]]</f>
        <v>12939</v>
      </c>
      <c r="G124" s="130" t="n">
        <f aca="false">TblPop[[#This Row],[Military]]/TblPop[[#This Row],[Total]]</f>
        <v>0.518664502666358</v>
      </c>
      <c r="H124" s="95" t="n">
        <f aca="false">MIN(TblPop[[#This Row],[Peasants]],TblPop[[#This Row],[Jobs]])</f>
        <v>6228</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3487</v>
      </c>
      <c r="M124" s="33" t="n">
        <f aca="false">TblMili[[#This Row],[Unit 1]]</f>
        <v>0</v>
      </c>
      <c r="N124" s="33" t="n">
        <f aca="false">TblMili[[#This Row],[Unit 2]]</f>
        <v>1246</v>
      </c>
      <c r="O124" s="33" t="n">
        <f aca="false">TblMili[[#This Row],[Unit 3]]</f>
        <v>700</v>
      </c>
      <c r="P124" s="33" t="n">
        <f aca="false">TblMili[[#This Row],[Unit 4]]</f>
        <v>1228</v>
      </c>
      <c r="Q124" s="33" t="n">
        <f aca="false">TblMili[[#This Row],[Spies]]</f>
        <v>25</v>
      </c>
      <c r="R124" s="33" t="n">
        <f aca="false">TblMili[[#This Row],[Wizards]]</f>
        <v>25</v>
      </c>
      <c r="S124" s="33" t="n">
        <f aca="false">TblMili[[#This Row],[Archmages]]</f>
        <v>0</v>
      </c>
      <c r="T124" s="132"/>
      <c r="U124" s="69" t="n">
        <f aca="false">ROUND(TblPop[[#This Row],[Raw max]]*(1+TblPop[[#This Row],[Max pop]]),0)+MIN(TblPop[[#This Row],[Military]]-TblPop[[#This Row],[Draftees]]-SUM(TblMili[[#This Row],[Train Unit 1]:[Train AM]]),(barracks_size + tech_8_3*TblTech[[#This Row],[8-3]])*TblConstr[[#This Row],[Tot Bar]])</f>
        <v>12939</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4" s="69" t="n">
        <f aca="false">MAX(-5%*TblPop[[#This Row],[Peasants]]-TblPop[[#This Row],[Draft Growth]],MIN(OFFSET(TblPop[[#This Row],[Net max]],1,0)-TblPop[[#This Row],[Peasants]]-TblPop[[#This Row],[Military]]-TblPop[[#This Row],[Draft Growth]],TblPop[[#This Row],[Modded Birth]]-TblPop[[#This Row],[Draft Growth]]))</f>
        <v>-62</v>
      </c>
      <c r="X124" s="69" t="n">
        <f aca="false">ROUND(TblPop[[#This Row],[Raw Birth]]*(1+TblPop[[#This Row],[Growth]]),0)</f>
        <v>260</v>
      </c>
      <c r="Y124" s="69" t="n">
        <f aca="false">(TblPop[[#This Row],[Peasants]]-TblPop[[#This Row],[Draft Growth]])*raw_pop_growth</f>
        <v>184.98</v>
      </c>
      <c r="Z124" s="69" t="n">
        <f aca="false">IF(TblPop[[#This Row],[Military%]]&lt;TblMili[[#This Row],[Draftrate]],ROUND(TblPop[[#This Row],[Peasants]]*Constants!$B$55,0), 0)</f>
        <v>62</v>
      </c>
      <c r="AA124" s="132"/>
      <c r="AB124" s="109" t="n">
        <f aca="false">Overview!$I$16 + IF(Magic!AE124&gt;0,Constants!$F$78) + ROUND(6*(Construction!BM125+Construction!CK124)/IF(Explore!S125&gt;0,Construction!F125-20,Construction!F125),4) + tech_6_5_2*Techs!BJ124 + tech_8_4*Techs!BT124</f>
        <v>0.4029</v>
      </c>
      <c r="AC124" s="130" t="n">
        <f aca="false">(Overview!$I$15 + Imps!Z124+ tech_2_5*Techs!AB124 + tech_3_6*Techs!AM124 + tech_6_1*Techs!BJ124 + tech_6_5*Techs!BF124 + tech_7_3_2*Techs!BN124) * (1 + Production!P124/100*prestige_pop_multiplier) + Production!P124/100*prestige_pop_multiplier</f>
        <v>0.07625</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6166</v>
      </c>
      <c r="D125" s="69" t="n">
        <f aca="false">TblMili[[#This Row],[Military]]</f>
        <v>6773</v>
      </c>
      <c r="E125" s="69" t="n">
        <f aca="false">TblMili[[#This Row],[Draftees]]</f>
        <v>3549</v>
      </c>
      <c r="F125" s="69" t="n">
        <f aca="false">TblPop[[#This Row],[Peasants]]+TblPop[[#This Row],[Military]]</f>
        <v>12939</v>
      </c>
      <c r="G125" s="130" t="n">
        <f aca="false">TblPop[[#This Row],[Military]]/TblPop[[#This Row],[Total]]</f>
        <v>0.523456217636603</v>
      </c>
      <c r="H125" s="95" t="n">
        <f aca="false">MIN(TblPop[[#This Row],[Peasants]],TblPop[[#This Row],[Jobs]])</f>
        <v>6166</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3549</v>
      </c>
      <c r="M125" s="33" t="n">
        <f aca="false">TblMili[[#This Row],[Unit 1]]</f>
        <v>0</v>
      </c>
      <c r="N125" s="33" t="n">
        <f aca="false">TblMili[[#This Row],[Unit 2]]</f>
        <v>1246</v>
      </c>
      <c r="O125" s="33" t="n">
        <f aca="false">TblMili[[#This Row],[Unit 3]]</f>
        <v>700</v>
      </c>
      <c r="P125" s="33" t="n">
        <f aca="false">TblMili[[#This Row],[Unit 4]]</f>
        <v>1228</v>
      </c>
      <c r="Q125" s="33" t="n">
        <f aca="false">TblMili[[#This Row],[Spies]]</f>
        <v>25</v>
      </c>
      <c r="R125" s="33" t="n">
        <f aca="false">TblMili[[#This Row],[Wizards]]</f>
        <v>25</v>
      </c>
      <c r="S125" s="33" t="n">
        <f aca="false">TblMili[[#This Row],[Archmages]]</f>
        <v>0</v>
      </c>
      <c r="T125" s="132"/>
      <c r="U125" s="69" t="n">
        <f aca="false">ROUND(TblPop[[#This Row],[Raw max]]*(1+TblPop[[#This Row],[Max pop]]),0)+MIN(TblPop[[#This Row],[Military]]-TblPop[[#This Row],[Draftees]]-SUM(TblMili[[#This Row],[Train Unit 1]:[Train AM]]),(barracks_size + tech_8_3*TblTech[[#This Row],[8-3]])*TblConstr[[#This Row],[Tot Bar]])</f>
        <v>12939</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5" s="69" t="n">
        <f aca="false">MAX(-5%*TblPop[[#This Row],[Peasants]]-TblPop[[#This Row],[Draft Growth]],MIN(OFFSET(TblPop[[#This Row],[Net max]],1,0)-TblPop[[#This Row],[Peasants]]-TblPop[[#This Row],[Military]]-TblPop[[#This Row],[Draft Growth]],TblPop[[#This Row],[Modded Birth]]-TblPop[[#This Row],[Draft Growth]]))</f>
        <v>-62</v>
      </c>
      <c r="X125" s="69" t="n">
        <f aca="false">ROUND(TblPop[[#This Row],[Raw Birth]]*(1+TblPop[[#This Row],[Growth]]),0)</f>
        <v>257</v>
      </c>
      <c r="Y125" s="69" t="n">
        <f aca="false">(TblPop[[#This Row],[Peasants]]-TblPop[[#This Row],[Draft Growth]])*raw_pop_growth</f>
        <v>183.12</v>
      </c>
      <c r="Z125" s="69" t="n">
        <f aca="false">IF(TblPop[[#This Row],[Military%]]&lt;TblMili[[#This Row],[Draftrate]],ROUND(TblPop[[#This Row],[Peasants]]*Constants!$B$55,0), 0)</f>
        <v>62</v>
      </c>
      <c r="AA125" s="132"/>
      <c r="AB125" s="109" t="n">
        <f aca="false">Overview!$I$16 + IF(Magic!AE125&gt;0,Constants!$F$78) + ROUND(6*(Construction!BM126+Construction!CK125)/IF(Explore!S126&gt;0,Construction!F126-20,Construction!F126),4) + tech_6_5_2*Techs!BJ125 + tech_8_4*Techs!BT125</f>
        <v>0.4029</v>
      </c>
      <c r="AC125" s="130" t="n">
        <f aca="false">(Overview!$I$15 + Imps!Z125+ tech_2_5*Techs!AB125 + tech_3_6*Techs!AM125 + tech_6_1*Techs!BJ125 + tech_6_5*Techs!BF125 + tech_7_3_2*Techs!BN125) * (1 + Production!P125/100*prestige_pop_multiplier) + Production!P125/100*prestige_pop_multiplier</f>
        <v>0.07625</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6104</v>
      </c>
      <c r="D126" s="69" t="n">
        <f aca="false">TblMili[[#This Row],[Military]]</f>
        <v>6835</v>
      </c>
      <c r="E126" s="69" t="n">
        <f aca="false">TblMili[[#This Row],[Draftees]]</f>
        <v>3611</v>
      </c>
      <c r="F126" s="69" t="n">
        <f aca="false">TblPop[[#This Row],[Peasants]]+TblPop[[#This Row],[Military]]</f>
        <v>12939</v>
      </c>
      <c r="G126" s="130" t="n">
        <f aca="false">TblPop[[#This Row],[Military]]/TblPop[[#This Row],[Total]]</f>
        <v>0.528247932606848</v>
      </c>
      <c r="H126" s="95" t="n">
        <f aca="false">MIN(TblPop[[#This Row],[Peasants]],TblPop[[#This Row],[Jobs]])</f>
        <v>6104</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3611</v>
      </c>
      <c r="M126" s="33" t="n">
        <f aca="false">TblMili[[#This Row],[Unit 1]]</f>
        <v>0</v>
      </c>
      <c r="N126" s="33" t="n">
        <f aca="false">TblMili[[#This Row],[Unit 2]]</f>
        <v>1246</v>
      </c>
      <c r="O126" s="33" t="n">
        <f aca="false">TblMili[[#This Row],[Unit 3]]</f>
        <v>700</v>
      </c>
      <c r="P126" s="33" t="n">
        <f aca="false">TblMili[[#This Row],[Unit 4]]</f>
        <v>1228</v>
      </c>
      <c r="Q126" s="33" t="n">
        <f aca="false">TblMili[[#This Row],[Spies]]</f>
        <v>25</v>
      </c>
      <c r="R126" s="33" t="n">
        <f aca="false">TblMili[[#This Row],[Wizards]]</f>
        <v>25</v>
      </c>
      <c r="S126" s="33" t="n">
        <f aca="false">TblMili[[#This Row],[Archmages]]</f>
        <v>0</v>
      </c>
      <c r="T126" s="132"/>
      <c r="U126" s="69" t="n">
        <f aca="false">ROUND(TblPop[[#This Row],[Raw max]]*(1+TblPop[[#This Row],[Max pop]]),0)+MIN(TblPop[[#This Row],[Military]]-TblPop[[#This Row],[Draftees]]-SUM(TblMili[[#This Row],[Train Unit 1]:[Train AM]]),(barracks_size + tech_8_3*TblTech[[#This Row],[8-3]])*TblConstr[[#This Row],[Tot Bar]])</f>
        <v>12939</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6" s="69" t="n">
        <f aca="false">MAX(-5%*TblPop[[#This Row],[Peasants]]-TblPop[[#This Row],[Draft Growth]],MIN(OFFSET(TblPop[[#This Row],[Net max]],1,0)-TblPop[[#This Row],[Peasants]]-TblPop[[#This Row],[Military]]-TblPop[[#This Row],[Draft Growth]],TblPop[[#This Row],[Modded Birth]]-TblPop[[#This Row],[Draft Growth]]))</f>
        <v>-61</v>
      </c>
      <c r="X126" s="69" t="n">
        <f aca="false">ROUND(TblPop[[#This Row],[Raw Birth]]*(1+TblPop[[#This Row],[Growth]]),0)</f>
        <v>254</v>
      </c>
      <c r="Y126" s="69" t="n">
        <f aca="false">(TblPop[[#This Row],[Peasants]]-TblPop[[#This Row],[Draft Growth]])*raw_pop_growth</f>
        <v>181.29</v>
      </c>
      <c r="Z126" s="69" t="n">
        <f aca="false">IF(TblPop[[#This Row],[Military%]]&lt;TblMili[[#This Row],[Draftrate]],ROUND(TblPop[[#This Row],[Peasants]]*Constants!$B$55,0), 0)</f>
        <v>61</v>
      </c>
      <c r="AA126" s="132"/>
      <c r="AB126" s="109" t="n">
        <f aca="false">Overview!$I$16 + IF(Magic!AE126&gt;0,Constants!$F$78) + ROUND(6*(Construction!BM127+Construction!CK126)/IF(Explore!S127&gt;0,Construction!F127-20,Construction!F127),4) + tech_6_5_2*Techs!BJ126 + tech_8_4*Techs!BT126</f>
        <v>0.4029</v>
      </c>
      <c r="AC126" s="130" t="n">
        <f aca="false">(Overview!$I$15 + Imps!Z126+ tech_2_5*Techs!AB126 + tech_3_6*Techs!AM126 + tech_6_1*Techs!BJ126 + tech_6_5*Techs!BF126 + tech_7_3_2*Techs!BN126) * (1 + Production!P126/100*prestige_pop_multiplier) + Production!P126/100*prestige_pop_multiplier</f>
        <v>0.07625</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6043</v>
      </c>
      <c r="D127" s="69" t="n">
        <f aca="false">TblMili[[#This Row],[Military]]</f>
        <v>6896</v>
      </c>
      <c r="E127" s="69" t="n">
        <f aca="false">TblMili[[#This Row],[Draftees]]</f>
        <v>3672</v>
      </c>
      <c r="F127" s="69" t="n">
        <f aca="false">TblPop[[#This Row],[Peasants]]+TblPop[[#This Row],[Military]]</f>
        <v>12939</v>
      </c>
      <c r="G127" s="130" t="n">
        <f aca="false">TblPop[[#This Row],[Military]]/TblPop[[#This Row],[Total]]</f>
        <v>0.532962361851766</v>
      </c>
      <c r="H127" s="95" t="n">
        <f aca="false">MIN(TblPop[[#This Row],[Peasants]],TblPop[[#This Row],[Jobs]])</f>
        <v>6043</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3672</v>
      </c>
      <c r="M127" s="33" t="n">
        <f aca="false">TblMili[[#This Row],[Unit 1]]</f>
        <v>0</v>
      </c>
      <c r="N127" s="33" t="n">
        <f aca="false">TblMili[[#This Row],[Unit 2]]</f>
        <v>1246</v>
      </c>
      <c r="O127" s="33" t="n">
        <f aca="false">TblMili[[#This Row],[Unit 3]]</f>
        <v>700</v>
      </c>
      <c r="P127" s="33" t="n">
        <f aca="false">TblMili[[#This Row],[Unit 4]]</f>
        <v>1228</v>
      </c>
      <c r="Q127" s="33" t="n">
        <f aca="false">TblMili[[#This Row],[Spies]]</f>
        <v>25</v>
      </c>
      <c r="R127" s="33" t="n">
        <f aca="false">TblMili[[#This Row],[Wizards]]</f>
        <v>25</v>
      </c>
      <c r="S127" s="33" t="n">
        <f aca="false">TblMili[[#This Row],[Archmages]]</f>
        <v>0</v>
      </c>
      <c r="T127" s="132"/>
      <c r="U127" s="69" t="n">
        <f aca="false">ROUND(TblPop[[#This Row],[Raw max]]*(1+TblPop[[#This Row],[Max pop]]),0)+MIN(TblPop[[#This Row],[Military]]-TblPop[[#This Row],[Draftees]]-SUM(TblMili[[#This Row],[Train Unit 1]:[Train AM]]),(barracks_size + tech_8_3*TblTech[[#This Row],[8-3]])*TblConstr[[#This Row],[Tot Bar]])</f>
        <v>12939</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7" s="69" t="n">
        <f aca="false">MAX(-5%*TblPop[[#This Row],[Peasants]]-TblPop[[#This Row],[Draft Growth]],MIN(OFFSET(TblPop[[#This Row],[Net max]],1,0)-TblPop[[#This Row],[Peasants]]-TblPop[[#This Row],[Military]]-TblPop[[#This Row],[Draft Growth]],TblPop[[#This Row],[Modded Birth]]-TblPop[[#This Row],[Draft Growth]]))</f>
        <v>-60</v>
      </c>
      <c r="X127" s="69" t="n">
        <f aca="false">ROUND(TblPop[[#This Row],[Raw Birth]]*(1+TblPop[[#This Row],[Growth]]),0)</f>
        <v>252</v>
      </c>
      <c r="Y127" s="69" t="n">
        <f aca="false">(TblPop[[#This Row],[Peasants]]-TblPop[[#This Row],[Draft Growth]])*raw_pop_growth</f>
        <v>179.49</v>
      </c>
      <c r="Z127" s="69" t="n">
        <f aca="false">IF(TblPop[[#This Row],[Military%]]&lt;TblMili[[#This Row],[Draftrate]],ROUND(TblPop[[#This Row],[Peasants]]*Constants!$B$55,0), 0)</f>
        <v>60</v>
      </c>
      <c r="AA127" s="132"/>
      <c r="AB127" s="109" t="n">
        <f aca="false">Overview!$I$16 + IF(Magic!AE127&gt;0,Constants!$F$78) + ROUND(6*(Construction!BM128+Construction!CK127)/IF(Explore!S128&gt;0,Construction!F128-20,Construction!F128),4) + tech_6_5_2*Techs!BJ127 + tech_8_4*Techs!BT127</f>
        <v>0.4029</v>
      </c>
      <c r="AC127" s="130" t="n">
        <f aca="false">(Overview!$I$15 + Imps!Z127+ tech_2_5*Techs!AB127 + tech_3_6*Techs!AM127 + tech_6_1*Techs!BJ127 + tech_6_5*Techs!BF127 + tech_7_3_2*Techs!BN127) * (1 + Production!P127/100*prestige_pop_multiplier) + Production!P127/100*prestige_pop_multiplier</f>
        <v>0.07625</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5983</v>
      </c>
      <c r="D128" s="69" t="n">
        <f aca="false">TblMili[[#This Row],[Military]]</f>
        <v>6956</v>
      </c>
      <c r="E128" s="69" t="n">
        <f aca="false">TblMili[[#This Row],[Draftees]]</f>
        <v>3732</v>
      </c>
      <c r="F128" s="69" t="n">
        <f aca="false">TblPop[[#This Row],[Peasants]]+TblPop[[#This Row],[Military]]</f>
        <v>12939</v>
      </c>
      <c r="G128" s="130" t="n">
        <f aca="false">TblPop[[#This Row],[Military]]/TblPop[[#This Row],[Total]]</f>
        <v>0.537599505371358</v>
      </c>
      <c r="H128" s="95" t="n">
        <f aca="false">MIN(TblPop[[#This Row],[Peasants]],TblPop[[#This Row],[Jobs]])</f>
        <v>5983</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3732</v>
      </c>
      <c r="M128" s="33" t="n">
        <f aca="false">TblMili[[#This Row],[Unit 1]]</f>
        <v>0</v>
      </c>
      <c r="N128" s="33" t="n">
        <f aca="false">TblMili[[#This Row],[Unit 2]]</f>
        <v>1246</v>
      </c>
      <c r="O128" s="33" t="n">
        <f aca="false">TblMili[[#This Row],[Unit 3]]</f>
        <v>700</v>
      </c>
      <c r="P128" s="33" t="n">
        <f aca="false">TblMili[[#This Row],[Unit 4]]</f>
        <v>1228</v>
      </c>
      <c r="Q128" s="33" t="n">
        <f aca="false">TblMili[[#This Row],[Spies]]</f>
        <v>25</v>
      </c>
      <c r="R128" s="33" t="n">
        <f aca="false">TblMili[[#This Row],[Wizards]]</f>
        <v>25</v>
      </c>
      <c r="S128" s="33" t="n">
        <f aca="false">TblMili[[#This Row],[Archmages]]</f>
        <v>0</v>
      </c>
      <c r="T128" s="132"/>
      <c r="U128" s="69" t="n">
        <f aca="false">ROUND(TblPop[[#This Row],[Raw max]]*(1+TblPop[[#This Row],[Max pop]]),0)+MIN(TblPop[[#This Row],[Military]]-TblPop[[#This Row],[Draftees]]-SUM(TblMili[[#This Row],[Train Unit 1]:[Train AM]]),(barracks_size + tech_8_3*TblTech[[#This Row],[8-3]])*TblConstr[[#This Row],[Tot Bar]])</f>
        <v>12939</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8" s="69" t="n">
        <f aca="false">MAX(-5%*TblPop[[#This Row],[Peasants]]-TblPop[[#This Row],[Draft Growth]],MIN(OFFSET(TblPop[[#This Row],[Net max]],1,0)-TblPop[[#This Row],[Peasants]]-TblPop[[#This Row],[Military]]-TblPop[[#This Row],[Draft Growth]],TblPop[[#This Row],[Modded Birth]]-TblPop[[#This Row],[Draft Growth]]))</f>
        <v>-60</v>
      </c>
      <c r="X128" s="69" t="n">
        <f aca="false">ROUND(TblPop[[#This Row],[Raw Birth]]*(1+TblPop[[#This Row],[Growth]]),0)</f>
        <v>249</v>
      </c>
      <c r="Y128" s="69" t="n">
        <f aca="false">(TblPop[[#This Row],[Peasants]]-TblPop[[#This Row],[Draft Growth]])*raw_pop_growth</f>
        <v>177.69</v>
      </c>
      <c r="Z128" s="69" t="n">
        <f aca="false">IF(TblPop[[#This Row],[Military%]]&lt;TblMili[[#This Row],[Draftrate]],ROUND(TblPop[[#This Row],[Peasants]]*Constants!$B$55,0), 0)</f>
        <v>60</v>
      </c>
      <c r="AA128" s="132"/>
      <c r="AB128" s="109" t="n">
        <f aca="false">Overview!$I$16 + IF(Magic!AE128&gt;0,Constants!$F$78) + ROUND(6*(Construction!BM129+Construction!CK128)/IF(Explore!S129&gt;0,Construction!F129-20,Construction!F129),4) + tech_6_5_2*Techs!BJ128 + tech_8_4*Techs!BT128</f>
        <v>0.4029</v>
      </c>
      <c r="AC128" s="130" t="n">
        <f aca="false">(Overview!$I$15 + Imps!Z128+ tech_2_5*Techs!AB128 + tech_3_6*Techs!AM128 + tech_6_1*Techs!BJ128 + tech_6_5*Techs!BF128 + tech_7_3_2*Techs!BN128) * (1 + Production!P128/100*prestige_pop_multiplier) + Production!P128/100*prestige_pop_multiplier</f>
        <v>0.07625</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5923</v>
      </c>
      <c r="D129" s="69" t="n">
        <f aca="false">TblMili[[#This Row],[Military]]</f>
        <v>7016</v>
      </c>
      <c r="E129" s="69" t="n">
        <f aca="false">TblMili[[#This Row],[Draftees]]</f>
        <v>3792</v>
      </c>
      <c r="F129" s="69" t="n">
        <f aca="false">TblPop[[#This Row],[Peasants]]+TblPop[[#This Row],[Military]]</f>
        <v>12939</v>
      </c>
      <c r="G129" s="130" t="n">
        <f aca="false">TblPop[[#This Row],[Military]]/TblPop[[#This Row],[Total]]</f>
        <v>0.54223664889095</v>
      </c>
      <c r="H129" s="95" t="n">
        <f aca="false">MIN(TblPop[[#This Row],[Peasants]],TblPop[[#This Row],[Jobs]])</f>
        <v>5923</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3792</v>
      </c>
      <c r="M129" s="33" t="n">
        <f aca="false">TblMili[[#This Row],[Unit 1]]</f>
        <v>0</v>
      </c>
      <c r="N129" s="33" t="n">
        <f aca="false">TblMili[[#This Row],[Unit 2]]</f>
        <v>1246</v>
      </c>
      <c r="O129" s="33" t="n">
        <f aca="false">TblMili[[#This Row],[Unit 3]]</f>
        <v>700</v>
      </c>
      <c r="P129" s="33" t="n">
        <f aca="false">TblMili[[#This Row],[Unit 4]]</f>
        <v>1228</v>
      </c>
      <c r="Q129" s="33" t="n">
        <f aca="false">TblMili[[#This Row],[Spies]]</f>
        <v>25</v>
      </c>
      <c r="R129" s="33" t="n">
        <f aca="false">TblMili[[#This Row],[Wizards]]</f>
        <v>25</v>
      </c>
      <c r="S129" s="33" t="n">
        <f aca="false">TblMili[[#This Row],[Archmages]]</f>
        <v>0</v>
      </c>
      <c r="T129" s="132"/>
      <c r="U129" s="69" t="n">
        <f aca="false">ROUND(TblPop[[#This Row],[Raw max]]*(1+TblPop[[#This Row],[Max pop]]),0)+MIN(TblPop[[#This Row],[Military]]-TblPop[[#This Row],[Draftees]]-SUM(TblMili[[#This Row],[Train Unit 1]:[Train AM]]),(barracks_size + tech_8_3*TblTech[[#This Row],[8-3]])*TblConstr[[#This Row],[Tot Bar]])</f>
        <v>12939</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9" s="69" t="n">
        <f aca="false">MAX(-5%*TblPop[[#This Row],[Peasants]]-TblPop[[#This Row],[Draft Growth]],MIN(OFFSET(TblPop[[#This Row],[Net max]],1,0)-TblPop[[#This Row],[Peasants]]-TblPop[[#This Row],[Military]]-TblPop[[#This Row],[Draft Growth]],TblPop[[#This Row],[Modded Birth]]-TblPop[[#This Row],[Draft Growth]]))</f>
        <v>-59</v>
      </c>
      <c r="X129" s="69" t="n">
        <f aca="false">ROUND(TblPop[[#This Row],[Raw Birth]]*(1+TblPop[[#This Row],[Growth]]),0)</f>
        <v>247</v>
      </c>
      <c r="Y129" s="69" t="n">
        <f aca="false">(TblPop[[#This Row],[Peasants]]-TblPop[[#This Row],[Draft Growth]])*raw_pop_growth</f>
        <v>175.92</v>
      </c>
      <c r="Z129" s="69" t="n">
        <f aca="false">IF(TblPop[[#This Row],[Military%]]&lt;TblMili[[#This Row],[Draftrate]],ROUND(TblPop[[#This Row],[Peasants]]*Constants!$B$55,0), 0)</f>
        <v>59</v>
      </c>
      <c r="AA129" s="132"/>
      <c r="AB129" s="109" t="n">
        <f aca="false">Overview!$I$16 + IF(Magic!AE129&gt;0,Constants!$F$78) + ROUND(6*(Construction!BM130+Construction!CK129)/IF(Explore!S130&gt;0,Construction!F130-20,Construction!F130),4) + tech_6_5_2*Techs!BJ129 + tech_8_4*Techs!BT129</f>
        <v>0.4029</v>
      </c>
      <c r="AC129" s="130" t="n">
        <f aca="false">(Overview!$I$15 + Imps!Z129+ tech_2_5*Techs!AB129 + tech_3_6*Techs!AM129 + tech_6_1*Techs!BJ129 + tech_6_5*Techs!BF129 + tech_7_3_2*Techs!BN129) * (1 + Production!P129/100*prestige_pop_multiplier) + Production!P129/100*prestige_pop_multiplier</f>
        <v>0.07625</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5864</v>
      </c>
      <c r="D130" s="69" t="n">
        <f aca="false">TblMili[[#This Row],[Military]]</f>
        <v>7075</v>
      </c>
      <c r="E130" s="69" t="n">
        <f aca="false">TblMili[[#This Row],[Draftees]]</f>
        <v>3851</v>
      </c>
      <c r="F130" s="69" t="n">
        <f aca="false">TblPop[[#This Row],[Peasants]]+TblPop[[#This Row],[Military]]</f>
        <v>12939</v>
      </c>
      <c r="G130" s="130" t="n">
        <f aca="false">TblPop[[#This Row],[Military]]/TblPop[[#This Row],[Total]]</f>
        <v>0.546796506685215</v>
      </c>
      <c r="H130" s="95" t="n">
        <f aca="false">MIN(TblPop[[#This Row],[Peasants]],TblPop[[#This Row],[Jobs]])</f>
        <v>5864</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3851</v>
      </c>
      <c r="M130" s="33" t="n">
        <f aca="false">TblMili[[#This Row],[Unit 1]]</f>
        <v>0</v>
      </c>
      <c r="N130" s="33" t="n">
        <f aca="false">TblMili[[#This Row],[Unit 2]]</f>
        <v>1246</v>
      </c>
      <c r="O130" s="33" t="n">
        <f aca="false">TblMili[[#This Row],[Unit 3]]</f>
        <v>700</v>
      </c>
      <c r="P130" s="33" t="n">
        <f aca="false">TblMili[[#This Row],[Unit 4]]</f>
        <v>1228</v>
      </c>
      <c r="Q130" s="33" t="n">
        <f aca="false">TblMili[[#This Row],[Spies]]</f>
        <v>25</v>
      </c>
      <c r="R130" s="33" t="n">
        <f aca="false">TblMili[[#This Row],[Wizards]]</f>
        <v>25</v>
      </c>
      <c r="S130" s="33" t="n">
        <f aca="false">TblMili[[#This Row],[Archmages]]</f>
        <v>0</v>
      </c>
      <c r="T130" s="132"/>
      <c r="U130" s="69" t="n">
        <f aca="false">ROUND(TblPop[[#This Row],[Raw max]]*(1+TblPop[[#This Row],[Max pop]]),0)+MIN(TblPop[[#This Row],[Military]]-TblPop[[#This Row],[Draftees]]-SUM(TblMili[[#This Row],[Train Unit 1]:[Train AM]]),(barracks_size + tech_8_3*TblTech[[#This Row],[8-3]])*TblConstr[[#This Row],[Tot Bar]])</f>
        <v>12939</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0" s="69" t="n">
        <f aca="false">MAX(-5%*TblPop[[#This Row],[Peasants]]-TblPop[[#This Row],[Draft Growth]],MIN(OFFSET(TblPop[[#This Row],[Net max]],1,0)-TblPop[[#This Row],[Peasants]]-TblPop[[#This Row],[Military]]-TblPop[[#This Row],[Draft Growth]],TblPop[[#This Row],[Modded Birth]]-TblPop[[#This Row],[Draft Growth]]))</f>
        <v>-59</v>
      </c>
      <c r="X130" s="69" t="n">
        <f aca="false">ROUND(TblPop[[#This Row],[Raw Birth]]*(1+TblPop[[#This Row],[Growth]]),0)</f>
        <v>244</v>
      </c>
      <c r="Y130" s="69" t="n">
        <f aca="false">(TblPop[[#This Row],[Peasants]]-TblPop[[#This Row],[Draft Growth]])*raw_pop_growth</f>
        <v>174.15</v>
      </c>
      <c r="Z130" s="69" t="n">
        <f aca="false">IF(TblPop[[#This Row],[Military%]]&lt;TblMili[[#This Row],[Draftrate]],ROUND(TblPop[[#This Row],[Peasants]]*Constants!$B$55,0), 0)</f>
        <v>59</v>
      </c>
      <c r="AA130" s="132"/>
      <c r="AB130" s="109" t="n">
        <f aca="false">Overview!$I$16 + IF(Magic!AE130&gt;0,Constants!$F$78) + ROUND(6*(Construction!BM131+Construction!CK130)/IF(Explore!S131&gt;0,Construction!F131-20,Construction!F131),4) + tech_6_5_2*Techs!BJ130 + tech_8_4*Techs!BT130</f>
        <v>0.4029</v>
      </c>
      <c r="AC130" s="130" t="n">
        <f aca="false">(Overview!$I$15 + Imps!Z130+ tech_2_5*Techs!AB130 + tech_3_6*Techs!AM130 + tech_6_1*Techs!BJ130 + tech_6_5*Techs!BF130 + tech_7_3_2*Techs!BN130) * (1 + Production!P130/100*prestige_pop_multiplier) + Production!P130/100*prestige_pop_multiplier</f>
        <v>0.07625</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5805</v>
      </c>
      <c r="D131" s="69" t="n">
        <f aca="false">TblMili[[#This Row],[Military]]</f>
        <v>7134</v>
      </c>
      <c r="E131" s="69" t="n">
        <f aca="false">TblMili[[#This Row],[Draftees]]</f>
        <v>3910</v>
      </c>
      <c r="F131" s="69" t="n">
        <f aca="false">TblPop[[#This Row],[Peasants]]+TblPop[[#This Row],[Military]]</f>
        <v>12939</v>
      </c>
      <c r="G131" s="130" t="n">
        <f aca="false">TblPop[[#This Row],[Military]]/TblPop[[#This Row],[Total]]</f>
        <v>0.551356364479481</v>
      </c>
      <c r="H131" s="95" t="n">
        <f aca="false">MIN(TblPop[[#This Row],[Peasants]],TblPop[[#This Row],[Jobs]])</f>
        <v>5805</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3910</v>
      </c>
      <c r="M131" s="33" t="n">
        <f aca="false">TblMili[[#This Row],[Unit 1]]</f>
        <v>0</v>
      </c>
      <c r="N131" s="33" t="n">
        <f aca="false">TblMili[[#This Row],[Unit 2]]</f>
        <v>1246</v>
      </c>
      <c r="O131" s="33" t="n">
        <f aca="false">TblMili[[#This Row],[Unit 3]]</f>
        <v>700</v>
      </c>
      <c r="P131" s="33" t="n">
        <f aca="false">TblMili[[#This Row],[Unit 4]]</f>
        <v>1228</v>
      </c>
      <c r="Q131" s="33" t="n">
        <f aca="false">TblMili[[#This Row],[Spies]]</f>
        <v>25</v>
      </c>
      <c r="R131" s="33" t="n">
        <f aca="false">TblMili[[#This Row],[Wizards]]</f>
        <v>25</v>
      </c>
      <c r="S131" s="33" t="n">
        <f aca="false">TblMili[[#This Row],[Archmages]]</f>
        <v>0</v>
      </c>
      <c r="T131" s="132"/>
      <c r="U131" s="69" t="n">
        <f aca="false">ROUND(TblPop[[#This Row],[Raw max]]*(1+TblPop[[#This Row],[Max pop]]),0)+MIN(TblPop[[#This Row],[Military]]-TblPop[[#This Row],[Draftees]]-SUM(TblMili[[#This Row],[Train Unit 1]:[Train AM]]),(barracks_size + tech_8_3*TblTech[[#This Row],[8-3]])*TblConstr[[#This Row],[Tot Bar]])</f>
        <v>12939</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1" s="69" t="n">
        <f aca="false">MAX(-5%*TblPop[[#This Row],[Peasants]]-TblPop[[#This Row],[Draft Growth]],MIN(OFFSET(TblPop[[#This Row],[Net max]],1,0)-TblPop[[#This Row],[Peasants]]-TblPop[[#This Row],[Military]]-TblPop[[#This Row],[Draft Growth]],TblPop[[#This Row],[Modded Birth]]-TblPop[[#This Row],[Draft Growth]]))</f>
        <v>-58</v>
      </c>
      <c r="X131" s="69" t="n">
        <f aca="false">ROUND(TblPop[[#This Row],[Raw Birth]]*(1+TblPop[[#This Row],[Growth]]),0)</f>
        <v>242</v>
      </c>
      <c r="Y131" s="69" t="n">
        <f aca="false">(TblPop[[#This Row],[Peasants]]-TblPop[[#This Row],[Draft Growth]])*raw_pop_growth</f>
        <v>172.41</v>
      </c>
      <c r="Z131" s="69" t="n">
        <f aca="false">IF(TblPop[[#This Row],[Military%]]&lt;TblMili[[#This Row],[Draftrate]],ROUND(TblPop[[#This Row],[Peasants]]*Constants!$B$55,0), 0)</f>
        <v>58</v>
      </c>
      <c r="AA131" s="132"/>
      <c r="AB131" s="109" t="n">
        <f aca="false">Overview!$I$16 + IF(Magic!AE131&gt;0,Constants!$F$78) + ROUND(6*(Construction!BM132+Construction!CK131)/IF(Explore!S132&gt;0,Construction!F132-20,Construction!F132),4) + tech_6_5_2*Techs!BJ131 + tech_8_4*Techs!BT131</f>
        <v>0.4029</v>
      </c>
      <c r="AC131" s="130" t="n">
        <f aca="false">(Overview!$I$15 + Imps!Z131+ tech_2_5*Techs!AB131 + tech_3_6*Techs!AM131 + tech_6_1*Techs!BJ131 + tech_6_5*Techs!BF131 + tech_7_3_2*Techs!BN131) * (1 + Production!P131/100*prestige_pop_multiplier) + Production!P131/100*prestige_pop_multiplier</f>
        <v>0.07625</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5747</v>
      </c>
      <c r="D132" s="69" t="n">
        <f aca="false">TblMili[[#This Row],[Military]]</f>
        <v>7192</v>
      </c>
      <c r="E132" s="69" t="n">
        <f aca="false">TblMili[[#This Row],[Draftees]]</f>
        <v>3968</v>
      </c>
      <c r="F132" s="69" t="n">
        <f aca="false">TblPop[[#This Row],[Peasants]]+TblPop[[#This Row],[Military]]</f>
        <v>12939</v>
      </c>
      <c r="G132" s="130" t="n">
        <f aca="false">TblPop[[#This Row],[Military]]/TblPop[[#This Row],[Total]]</f>
        <v>0.55583893654842</v>
      </c>
      <c r="H132" s="95" t="n">
        <f aca="false">MIN(TblPop[[#This Row],[Peasants]],TblPop[[#This Row],[Jobs]])</f>
        <v>5747</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3968</v>
      </c>
      <c r="M132" s="33" t="n">
        <f aca="false">TblMili[[#This Row],[Unit 1]]</f>
        <v>0</v>
      </c>
      <c r="N132" s="33" t="n">
        <f aca="false">TblMili[[#This Row],[Unit 2]]</f>
        <v>1246</v>
      </c>
      <c r="O132" s="33" t="n">
        <f aca="false">TblMili[[#This Row],[Unit 3]]</f>
        <v>700</v>
      </c>
      <c r="P132" s="33" t="n">
        <f aca="false">TblMili[[#This Row],[Unit 4]]</f>
        <v>1228</v>
      </c>
      <c r="Q132" s="33" t="n">
        <f aca="false">TblMili[[#This Row],[Spies]]</f>
        <v>25</v>
      </c>
      <c r="R132" s="33" t="n">
        <f aca="false">TblMili[[#This Row],[Wizards]]</f>
        <v>25</v>
      </c>
      <c r="S132" s="33" t="n">
        <f aca="false">TblMili[[#This Row],[Archmages]]</f>
        <v>0</v>
      </c>
      <c r="T132" s="132"/>
      <c r="U132" s="69" t="n">
        <f aca="false">ROUND(TblPop[[#This Row],[Raw max]]*(1+TblPop[[#This Row],[Max pop]]),0)+MIN(TblPop[[#This Row],[Military]]-TblPop[[#This Row],[Draftees]]-SUM(TblMili[[#This Row],[Train Unit 1]:[Train AM]]),(barracks_size + tech_8_3*TblTech[[#This Row],[8-3]])*TblConstr[[#This Row],[Tot Bar]])</f>
        <v>12939</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2" s="69" t="n">
        <f aca="false">MAX(-5%*TblPop[[#This Row],[Peasants]]-TblPop[[#This Row],[Draft Growth]],MIN(OFFSET(TblPop[[#This Row],[Net max]],1,0)-TblPop[[#This Row],[Peasants]]-TblPop[[#This Row],[Military]]-TblPop[[#This Row],[Draft Growth]],TblPop[[#This Row],[Modded Birth]]-TblPop[[#This Row],[Draft Growth]]))</f>
        <v>-57</v>
      </c>
      <c r="X132" s="69" t="n">
        <f aca="false">ROUND(TblPop[[#This Row],[Raw Birth]]*(1+TblPop[[#This Row],[Growth]]),0)</f>
        <v>239</v>
      </c>
      <c r="Y132" s="69" t="n">
        <f aca="false">(TblPop[[#This Row],[Peasants]]-TblPop[[#This Row],[Draft Growth]])*raw_pop_growth</f>
        <v>170.7</v>
      </c>
      <c r="Z132" s="69" t="n">
        <f aca="false">IF(TblPop[[#This Row],[Military%]]&lt;TblMili[[#This Row],[Draftrate]],ROUND(TblPop[[#This Row],[Peasants]]*Constants!$B$55,0), 0)</f>
        <v>57</v>
      </c>
      <c r="AA132" s="132"/>
      <c r="AB132" s="109" t="n">
        <f aca="false">Overview!$I$16 + IF(Magic!AE132&gt;0,Constants!$F$78) + ROUND(6*(Construction!BM133+Construction!CK132)/IF(Explore!S133&gt;0,Construction!F133-20,Construction!F133),4) + tech_6_5_2*Techs!BJ132 + tech_8_4*Techs!BT132</f>
        <v>0.4029</v>
      </c>
      <c r="AC132" s="130" t="n">
        <f aca="false">(Overview!$I$15 + Imps!Z132+ tech_2_5*Techs!AB132 + tech_3_6*Techs!AM132 + tech_6_1*Techs!BJ132 + tech_6_5*Techs!BF132 + tech_7_3_2*Techs!BN132) * (1 + Production!P132/100*prestige_pop_multiplier) + Production!P132/100*prestige_pop_multiplier</f>
        <v>0.07625</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5690</v>
      </c>
      <c r="D133" s="69" t="n">
        <f aca="false">TblMili[[#This Row],[Military]]</f>
        <v>7249</v>
      </c>
      <c r="E133" s="69" t="n">
        <f aca="false">TblMili[[#This Row],[Draftees]]</f>
        <v>4025</v>
      </c>
      <c r="F133" s="69" t="n">
        <f aca="false">TblPop[[#This Row],[Peasants]]+TblPop[[#This Row],[Military]]</f>
        <v>12939</v>
      </c>
      <c r="G133" s="130" t="n">
        <f aca="false">TblPop[[#This Row],[Military]]/TblPop[[#This Row],[Total]]</f>
        <v>0.560244222892032</v>
      </c>
      <c r="H133" s="95" t="n">
        <f aca="false">MIN(TblPop[[#This Row],[Peasants]],TblPop[[#This Row],[Jobs]])</f>
        <v>5690</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4025</v>
      </c>
      <c r="M133" s="33" t="n">
        <f aca="false">TblMili[[#This Row],[Unit 1]]</f>
        <v>0</v>
      </c>
      <c r="N133" s="33" t="n">
        <f aca="false">TblMili[[#This Row],[Unit 2]]</f>
        <v>1246</v>
      </c>
      <c r="O133" s="33" t="n">
        <f aca="false">TblMili[[#This Row],[Unit 3]]</f>
        <v>700</v>
      </c>
      <c r="P133" s="33" t="n">
        <f aca="false">TblMili[[#This Row],[Unit 4]]</f>
        <v>1228</v>
      </c>
      <c r="Q133" s="33" t="n">
        <f aca="false">TblMili[[#This Row],[Spies]]</f>
        <v>25</v>
      </c>
      <c r="R133" s="33" t="n">
        <f aca="false">TblMili[[#This Row],[Wizards]]</f>
        <v>25</v>
      </c>
      <c r="S133" s="33" t="n">
        <f aca="false">TblMili[[#This Row],[Archmages]]</f>
        <v>0</v>
      </c>
      <c r="T133" s="132"/>
      <c r="U133" s="69" t="n">
        <f aca="false">ROUND(TblPop[[#This Row],[Raw max]]*(1+TblPop[[#This Row],[Max pop]]),0)+MIN(TblPop[[#This Row],[Military]]-TblPop[[#This Row],[Draftees]]-SUM(TblMili[[#This Row],[Train Unit 1]:[Train AM]]),(barracks_size + tech_8_3*TblTech[[#This Row],[8-3]])*TblConstr[[#This Row],[Tot Bar]])</f>
        <v>12939</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3" s="69" t="n">
        <f aca="false">MAX(-5%*TblPop[[#This Row],[Peasants]]-TblPop[[#This Row],[Draft Growth]],MIN(OFFSET(TblPop[[#This Row],[Net max]],1,0)-TblPop[[#This Row],[Peasants]]-TblPop[[#This Row],[Military]]-TblPop[[#This Row],[Draft Growth]],TblPop[[#This Row],[Modded Birth]]-TblPop[[#This Row],[Draft Growth]]))</f>
        <v>-57</v>
      </c>
      <c r="X133" s="69" t="n">
        <f aca="false">ROUND(TblPop[[#This Row],[Raw Birth]]*(1+TblPop[[#This Row],[Growth]]),0)</f>
        <v>237</v>
      </c>
      <c r="Y133" s="69" t="n">
        <f aca="false">(TblPop[[#This Row],[Peasants]]-TblPop[[#This Row],[Draft Growth]])*raw_pop_growth</f>
        <v>168.99</v>
      </c>
      <c r="Z133" s="69" t="n">
        <f aca="false">IF(TblPop[[#This Row],[Military%]]&lt;TblMili[[#This Row],[Draftrate]],ROUND(TblPop[[#This Row],[Peasants]]*Constants!$B$55,0), 0)</f>
        <v>57</v>
      </c>
      <c r="AA133" s="132"/>
      <c r="AB133" s="109" t="n">
        <f aca="false">Overview!$I$16 + IF(Magic!AE133&gt;0,Constants!$F$78) + ROUND(6*(Construction!BM134+Construction!CK133)/IF(Explore!S134&gt;0,Construction!F134-20,Construction!F134),4) + tech_6_5_2*Techs!BJ133 + tech_8_4*Techs!BT133</f>
        <v>0.4029</v>
      </c>
      <c r="AC133" s="130" t="n">
        <f aca="false">(Overview!$I$15 + Imps!Z133+ tech_2_5*Techs!AB133 + tech_3_6*Techs!AM133 + tech_6_1*Techs!BJ133 + tech_6_5*Techs!BF133 + tech_7_3_2*Techs!BN133) * (1 + Production!P133/100*prestige_pop_multiplier) + Production!P133/100*prestige_pop_multiplier</f>
        <v>0.07625</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5633</v>
      </c>
      <c r="D134" s="69" t="n">
        <f aca="false">TblMili[[#This Row],[Military]]</f>
        <v>7306</v>
      </c>
      <c r="E134" s="69" t="n">
        <f aca="false">TblMili[[#This Row],[Draftees]]</f>
        <v>4082</v>
      </c>
      <c r="F134" s="69" t="n">
        <f aca="false">TblPop[[#This Row],[Peasants]]+TblPop[[#This Row],[Military]]</f>
        <v>12939</v>
      </c>
      <c r="G134" s="130" t="n">
        <f aca="false">TblPop[[#This Row],[Military]]/TblPop[[#This Row],[Total]]</f>
        <v>0.564649509235644</v>
      </c>
      <c r="H134" s="95" t="n">
        <f aca="false">MIN(TblPop[[#This Row],[Peasants]],TblPop[[#This Row],[Jobs]])</f>
        <v>5633</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4082</v>
      </c>
      <c r="M134" s="33" t="n">
        <f aca="false">TblMili[[#This Row],[Unit 1]]</f>
        <v>0</v>
      </c>
      <c r="N134" s="33" t="n">
        <f aca="false">TblMili[[#This Row],[Unit 2]]</f>
        <v>1246</v>
      </c>
      <c r="O134" s="33" t="n">
        <f aca="false">TblMili[[#This Row],[Unit 3]]</f>
        <v>700</v>
      </c>
      <c r="P134" s="33" t="n">
        <f aca="false">TblMili[[#This Row],[Unit 4]]</f>
        <v>1228</v>
      </c>
      <c r="Q134" s="33" t="n">
        <f aca="false">TblMili[[#This Row],[Spies]]</f>
        <v>25</v>
      </c>
      <c r="R134" s="33" t="n">
        <f aca="false">TblMili[[#This Row],[Wizards]]</f>
        <v>25</v>
      </c>
      <c r="S134" s="33" t="n">
        <f aca="false">TblMili[[#This Row],[Archmages]]</f>
        <v>0</v>
      </c>
      <c r="T134" s="132"/>
      <c r="U134" s="69" t="n">
        <f aca="false">ROUND(TblPop[[#This Row],[Raw max]]*(1+TblPop[[#This Row],[Max pop]]),0)+MIN(TblPop[[#This Row],[Military]]-TblPop[[#This Row],[Draftees]]-SUM(TblMili[[#This Row],[Train Unit 1]:[Train AM]]),(barracks_size + tech_8_3*TblTech[[#This Row],[8-3]])*TblConstr[[#This Row],[Tot Bar]])</f>
        <v>12939</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4" s="69" t="n">
        <f aca="false">MAX(-5%*TblPop[[#This Row],[Peasants]]-TblPop[[#This Row],[Draft Growth]],MIN(OFFSET(TblPop[[#This Row],[Net max]],1,0)-TblPop[[#This Row],[Peasants]]-TblPop[[#This Row],[Military]]-TblPop[[#This Row],[Draft Growth]],TblPop[[#This Row],[Modded Birth]]-TblPop[[#This Row],[Draft Growth]]))</f>
        <v>-56</v>
      </c>
      <c r="X134" s="69" t="n">
        <f aca="false">ROUND(TblPop[[#This Row],[Raw Birth]]*(1+TblPop[[#This Row],[Growth]]),0)</f>
        <v>235</v>
      </c>
      <c r="Y134" s="69" t="n">
        <f aca="false">(TblPop[[#This Row],[Peasants]]-TblPop[[#This Row],[Draft Growth]])*raw_pop_growth</f>
        <v>167.31</v>
      </c>
      <c r="Z134" s="69" t="n">
        <f aca="false">IF(TblPop[[#This Row],[Military%]]&lt;TblMili[[#This Row],[Draftrate]],ROUND(TblPop[[#This Row],[Peasants]]*Constants!$B$55,0), 0)</f>
        <v>56</v>
      </c>
      <c r="AA134" s="132"/>
      <c r="AB134" s="109" t="n">
        <f aca="false">Overview!$I$16 + IF(Magic!AE134&gt;0,Constants!$F$78) + ROUND(6*(Construction!BM135+Construction!CK134)/IF(Explore!S135&gt;0,Construction!F135-20,Construction!F135),4) + tech_6_5_2*Techs!BJ134 + tech_8_4*Techs!BT134</f>
        <v>0.4029</v>
      </c>
      <c r="AC134" s="130" t="n">
        <f aca="false">(Overview!$I$15 + Imps!Z134+ tech_2_5*Techs!AB134 + tech_3_6*Techs!AM134 + tech_6_1*Techs!BJ134 + tech_6_5*Techs!BF134 + tech_7_3_2*Techs!BN134) * (1 + Production!P134/100*prestige_pop_multiplier) + Production!P134/100*prestige_pop_multiplier</f>
        <v>0.07625</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5577</v>
      </c>
      <c r="D135" s="69" t="n">
        <f aca="false">TblMili[[#This Row],[Military]]</f>
        <v>7362</v>
      </c>
      <c r="E135" s="69" t="n">
        <f aca="false">TblMili[[#This Row],[Draftees]]</f>
        <v>4138</v>
      </c>
      <c r="F135" s="69" t="n">
        <f aca="false">TblPop[[#This Row],[Peasants]]+TblPop[[#This Row],[Military]]</f>
        <v>12939</v>
      </c>
      <c r="G135" s="130" t="n">
        <f aca="false">TblPop[[#This Row],[Military]]/TblPop[[#This Row],[Total]]</f>
        <v>0.56897750985393</v>
      </c>
      <c r="H135" s="95" t="n">
        <f aca="false">MIN(TblPop[[#This Row],[Peasants]],TblPop[[#This Row],[Jobs]])</f>
        <v>5577</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4138</v>
      </c>
      <c r="M135" s="33" t="n">
        <f aca="false">TblMili[[#This Row],[Unit 1]]</f>
        <v>0</v>
      </c>
      <c r="N135" s="33" t="n">
        <f aca="false">TblMili[[#This Row],[Unit 2]]</f>
        <v>1246</v>
      </c>
      <c r="O135" s="33" t="n">
        <f aca="false">TblMili[[#This Row],[Unit 3]]</f>
        <v>700</v>
      </c>
      <c r="P135" s="33" t="n">
        <f aca="false">TblMili[[#This Row],[Unit 4]]</f>
        <v>1228</v>
      </c>
      <c r="Q135" s="33" t="n">
        <f aca="false">TblMili[[#This Row],[Spies]]</f>
        <v>25</v>
      </c>
      <c r="R135" s="33" t="n">
        <f aca="false">TblMili[[#This Row],[Wizards]]</f>
        <v>25</v>
      </c>
      <c r="S135" s="33" t="n">
        <f aca="false">TblMili[[#This Row],[Archmages]]</f>
        <v>0</v>
      </c>
      <c r="T135" s="132"/>
      <c r="U135" s="69" t="n">
        <f aca="false">ROUND(TblPop[[#This Row],[Raw max]]*(1+TblPop[[#This Row],[Max pop]]),0)+MIN(TblPop[[#This Row],[Military]]-TblPop[[#This Row],[Draftees]]-SUM(TblMili[[#This Row],[Train Unit 1]:[Train AM]]),(barracks_size + tech_8_3*TblTech[[#This Row],[8-3]])*TblConstr[[#This Row],[Tot Bar]])</f>
        <v>12939</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5" s="69" t="n">
        <f aca="false">MAX(-5%*TblPop[[#This Row],[Peasants]]-TblPop[[#This Row],[Draft Growth]],MIN(OFFSET(TblPop[[#This Row],[Net max]],1,0)-TblPop[[#This Row],[Peasants]]-TblPop[[#This Row],[Military]]-TblPop[[#This Row],[Draft Growth]],TblPop[[#This Row],[Modded Birth]]-TblPop[[#This Row],[Draft Growth]]))</f>
        <v>-56</v>
      </c>
      <c r="X135" s="69" t="n">
        <f aca="false">ROUND(TblPop[[#This Row],[Raw Birth]]*(1+TblPop[[#This Row],[Growth]]),0)</f>
        <v>232</v>
      </c>
      <c r="Y135" s="69" t="n">
        <f aca="false">(TblPop[[#This Row],[Peasants]]-TblPop[[#This Row],[Draft Growth]])*raw_pop_growth</f>
        <v>165.63</v>
      </c>
      <c r="Z135" s="69" t="n">
        <f aca="false">IF(TblPop[[#This Row],[Military%]]&lt;TblMili[[#This Row],[Draftrate]],ROUND(TblPop[[#This Row],[Peasants]]*Constants!$B$55,0), 0)</f>
        <v>56</v>
      </c>
      <c r="AA135" s="132"/>
      <c r="AB135" s="109" t="n">
        <f aca="false">Overview!$I$16 + IF(Magic!AE135&gt;0,Constants!$F$78) + ROUND(6*(Construction!BM136+Construction!CK135)/IF(Explore!S136&gt;0,Construction!F136-20,Construction!F136),4) + tech_6_5_2*Techs!BJ135 + tech_8_4*Techs!BT135</f>
        <v>0.4029</v>
      </c>
      <c r="AC135" s="130" t="n">
        <f aca="false">(Overview!$I$15 + Imps!Z135+ tech_2_5*Techs!AB135 + tech_3_6*Techs!AM135 + tech_6_1*Techs!BJ135 + tech_6_5*Techs!BF135 + tech_7_3_2*Techs!BN135) * (1 + Production!P135/100*prestige_pop_multiplier) + Production!P135/100*prestige_pop_multiplier</f>
        <v>0.07625</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5521</v>
      </c>
      <c r="D136" s="69" t="n">
        <f aca="false">TblMili[[#This Row],[Military]]</f>
        <v>7418</v>
      </c>
      <c r="E136" s="69" t="n">
        <f aca="false">TblMili[[#This Row],[Draftees]]</f>
        <v>4194</v>
      </c>
      <c r="F136" s="69" t="n">
        <f aca="false">TblPop[[#This Row],[Peasants]]+TblPop[[#This Row],[Military]]</f>
        <v>12939</v>
      </c>
      <c r="G136" s="130" t="n">
        <f aca="false">TblPop[[#This Row],[Military]]/TblPop[[#This Row],[Total]]</f>
        <v>0.573305510472216</v>
      </c>
      <c r="H136" s="95" t="n">
        <f aca="false">MIN(TblPop[[#This Row],[Peasants]],TblPop[[#This Row],[Jobs]])</f>
        <v>5521</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4194</v>
      </c>
      <c r="M136" s="33" t="n">
        <f aca="false">TblMili[[#This Row],[Unit 1]]</f>
        <v>0</v>
      </c>
      <c r="N136" s="33" t="n">
        <f aca="false">TblMili[[#This Row],[Unit 2]]</f>
        <v>1246</v>
      </c>
      <c r="O136" s="33" t="n">
        <f aca="false">TblMili[[#This Row],[Unit 3]]</f>
        <v>700</v>
      </c>
      <c r="P136" s="33" t="n">
        <f aca="false">TblMili[[#This Row],[Unit 4]]</f>
        <v>1228</v>
      </c>
      <c r="Q136" s="33" t="n">
        <f aca="false">TblMili[[#This Row],[Spies]]</f>
        <v>25</v>
      </c>
      <c r="R136" s="33" t="n">
        <f aca="false">TblMili[[#This Row],[Wizards]]</f>
        <v>25</v>
      </c>
      <c r="S136" s="33" t="n">
        <f aca="false">TblMili[[#This Row],[Archmages]]</f>
        <v>0</v>
      </c>
      <c r="T136" s="132"/>
      <c r="U136" s="69" t="n">
        <f aca="false">ROUND(TblPop[[#This Row],[Raw max]]*(1+TblPop[[#This Row],[Max pop]]),0)+MIN(TblPop[[#This Row],[Military]]-TblPop[[#This Row],[Draftees]]-SUM(TblMili[[#This Row],[Train Unit 1]:[Train AM]]),(barracks_size + tech_8_3*TblTech[[#This Row],[8-3]])*TblConstr[[#This Row],[Tot Bar]])</f>
        <v>12939</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163.98</v>
      </c>
      <c r="Z136" s="69" t="n">
        <f aca="false">IF(TblPop[[#This Row],[Military%]]&lt;TblMili[[#This Row],[Draftrate]],ROUND(TblPop[[#This Row],[Peasants]]*Constants!$B$55,0), 0)</f>
        <v>55</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Production!P136/100*prestige_pop_multiplier) + Production!P136/100*prestige_pop_multiplier</f>
        <v>0.07625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6">
      <formula>OR(C4&lt;0,ROW()-3=$C$1270)</formula>
    </cfRule>
  </conditionalFormatting>
  <conditionalFormatting sqref="A4:AC136">
    <cfRule type="expression" priority="3" aboveAverage="0" equalAverage="0" bottom="0" percent="0" rank="0" text="" dxfId="17">
      <formula>ROW()-3=$C$1270</formula>
    </cfRule>
    <cfRule type="expression" priority="4" aboveAverage="0" equalAverage="0" bottom="0" percent="0" rank="0" text="" dxfId="18">
      <formula>$A4=73</formula>
    </cfRule>
    <cfRule type="expression" priority="5" aboveAverage="0" equalAverage="0" bottom="0" percent="0" rank="0" text="" dxfId="19">
      <formula>ROUND(($A4-1)/12,0)=INT($A4-1)/12</formula>
    </cfRule>
  </conditionalFormatting>
  <conditionalFormatting sqref="A1269:XFD1270">
    <cfRule type="expression" priority="6" aboveAverage="0" equalAverage="0" bottom="0" percent="0" rank="0" text="" dxfId="20">
      <formula>$C$1270&gt;144</formula>
    </cfRule>
  </conditionalFormatting>
  <conditionalFormatting sqref="A1:XFD3">
    <cfRule type="expression" priority="7" aboveAverage="0" equalAverage="0" bottom="0" percent="0" rank="0" text="" dxfId="21">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N1270"/>
  <sheetViews>
    <sheetView showFormulas="false" showGridLines="true" showRowColHeaders="true" showZeros="true" rightToLeft="false" tabSelected="true" showOutlineSymbols="true" defaultGridColor="true" view="normal" topLeftCell="AU1" colorId="64" zoomScale="85" zoomScaleNormal="85" zoomScalePageLayoutView="100" workbookViewId="0">
      <pane xSplit="0" ySplit="3" topLeftCell="A4" activePane="bottomLeft" state="frozen"/>
      <selection pane="topLeft" activeCell="AU1" activeCellId="0" sqref="AU1"/>
      <selection pane="bottomLeft" activeCell="BG15" activeCellId="0" sqref="BG15"/>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6"/>
    <col collapsed="false" customWidth="true" hidden="false" outlineLevel="0" max="4" min="4" style="1" width="3.86"/>
    <col collapsed="false" customWidth="true" hidden="false" outlineLevel="0" max="18" min="5" style="1" width="13"/>
    <col collapsed="false" customWidth="true" hidden="false" outlineLevel="0" max="19" min="19" style="1" width="3.71"/>
    <col collapsed="false" customWidth="false" hidden="false" outlineLevel="0" max="20" min="20" style="1" width="9.14"/>
    <col collapsed="false" customWidth="true" hidden="false" outlineLevel="0" max="21" min="21" style="1" width="10.29"/>
    <col collapsed="false" customWidth="true" hidden="false" outlineLevel="0" max="22" min="22" style="1" width="13.15"/>
    <col collapsed="false" customWidth="true" hidden="false" outlineLevel="0" max="23" min="23" style="1" width="10.57"/>
    <col collapsed="false" customWidth="false" hidden="false" outlineLevel="0" max="24" min="24" style="1" width="9.14"/>
    <col collapsed="false" customWidth="true" hidden="false" outlineLevel="0" max="25" min="25" style="1" width="11.29"/>
    <col collapsed="false" customWidth="true" hidden="false" outlineLevel="0" max="26" min="26" style="1" width="10.85"/>
    <col collapsed="false" customWidth="true" hidden="false" outlineLevel="0" max="27" min="27" style="1" width="3.42"/>
    <col collapsed="false" customWidth="true" hidden="false" outlineLevel="0" max="28" min="28" style="1" width="10.14"/>
    <col collapsed="false" customWidth="true" hidden="false" outlineLevel="0" max="29" min="29" style="1" width="11.29"/>
    <col collapsed="false" customWidth="true" hidden="false" outlineLevel="0" max="30" min="30" style="1" width="14.14"/>
    <col collapsed="false" customWidth="true" hidden="false" outlineLevel="0" max="31" min="31" style="1" width="11.57"/>
    <col collapsed="false" customWidth="true" hidden="false" outlineLevel="0" max="32" min="32" style="1" width="10.14"/>
    <col collapsed="false" customWidth="true" hidden="false" outlineLevel="0" max="33" min="33" style="1" width="12.29"/>
    <col collapsed="false" customWidth="true" hidden="false" outlineLevel="0" max="34" min="34" style="1" width="3.29"/>
    <col collapsed="false" customWidth="true" hidden="false" outlineLevel="0" max="35" min="35" style="1" width="11.14"/>
    <col collapsed="false" customWidth="true" hidden="false" outlineLevel="0" max="36" min="36" style="1" width="12.29"/>
    <col collapsed="false" customWidth="true" hidden="false" outlineLevel="0" max="37" min="37" style="1" width="15.14"/>
    <col collapsed="false" customWidth="true" hidden="false" outlineLevel="0" max="38" min="38" style="1" width="12.57"/>
    <col collapsed="false" customWidth="true" hidden="false" outlineLevel="0" max="39" min="39" style="1" width="11.14"/>
    <col collapsed="false" customWidth="true" hidden="false" outlineLevel="0" max="40" min="40" style="1" width="13.29"/>
    <col collapsed="false" customWidth="true" hidden="false" outlineLevel="0" max="41" min="41" style="1" width="3.57"/>
    <col collapsed="false" customWidth="true" hidden="false" outlineLevel="0" max="42" min="42" style="1" width="13.57"/>
    <col collapsed="false" customWidth="true" hidden="false" outlineLevel="0" max="43" min="43" style="1" width="13.42"/>
    <col collapsed="false" customWidth="true" hidden="false" outlineLevel="0" max="44" min="44" style="1" width="13.71"/>
    <col collapsed="false" customWidth="true" hidden="false" outlineLevel="0" max="45" min="45" style="1" width="13.29"/>
    <col collapsed="false" customWidth="true" hidden="false" outlineLevel="0" max="46" min="46" style="1" width="3.86"/>
    <col collapsed="false" customWidth="true" hidden="false" outlineLevel="0" max="51" min="47" style="1" width="12.71"/>
    <col collapsed="false" customWidth="true" hidden="false" outlineLevel="0" max="52" min="52" style="1" width="4.14"/>
    <col collapsed="false" customWidth="true" hidden="false" outlineLevel="0" max="53" min="53" style="1" width="9.42"/>
    <col collapsed="false" customWidth="true" hidden="false" outlineLevel="0" max="54" min="54" style="1" width="8.71"/>
    <col collapsed="false" customWidth="true" hidden="false" outlineLevel="0" max="55" min="55" style="1" width="9.57"/>
    <col collapsed="false" customWidth="true" hidden="false" outlineLevel="0" max="59" min="56" style="1" width="12.71"/>
    <col collapsed="false" customWidth="true" hidden="false" outlineLevel="0" max="60" min="60" style="1" width="9.86"/>
    <col collapsed="false" customWidth="true" hidden="false" outlineLevel="0" max="61" min="61" style="1" width="6.85"/>
    <col collapsed="false" customWidth="true" hidden="false" outlineLevel="0" max="66" min="62" style="1" width="14.42"/>
    <col collapsed="false" customWidth="false" hidden="false" outlineLevel="0" max="16384" min="67" style="1" width="9.14"/>
  </cols>
  <sheetData>
    <row r="1" s="31" customFormat="true" ht="12.75" hidden="false" customHeight="false" outlineLevel="0" collapsed="false">
      <c r="A1" s="124"/>
      <c r="C1" s="31" t="s">
        <v>163</v>
      </c>
      <c r="E1" s="31" t="s">
        <v>164</v>
      </c>
      <c r="T1" s="142" t="s">
        <v>165</v>
      </c>
      <c r="U1" s="142"/>
      <c r="V1" s="142"/>
      <c r="AB1" s="142" t="s">
        <v>166</v>
      </c>
      <c r="AC1" s="142"/>
      <c r="AI1" s="142" t="s">
        <v>167</v>
      </c>
      <c r="AJ1" s="142"/>
      <c r="AK1" s="142"/>
      <c r="AL1" s="142"/>
      <c r="AM1" s="142"/>
      <c r="AN1" s="142"/>
      <c r="AP1" s="31" t="s">
        <v>168</v>
      </c>
      <c r="AU1" s="142" t="s">
        <v>169</v>
      </c>
      <c r="AV1" s="142"/>
      <c r="BD1" s="31" t="s">
        <v>170</v>
      </c>
      <c r="BJ1" s="31" t="s">
        <v>164</v>
      </c>
    </row>
    <row r="2" s="31" customFormat="true" ht="12.75" hidden="false" customHeight="false" outlineLevel="0" collapsed="false">
      <c r="A2" s="124"/>
    </row>
    <row r="3" s="143" customFormat="true" ht="35.3" hidden="false" customHeight="false" outlineLevel="0" collapsed="false">
      <c r="A3" s="127" t="s">
        <v>82</v>
      </c>
      <c r="B3" s="127" t="s">
        <v>144</v>
      </c>
      <c r="C3" s="127" t="s">
        <v>171</v>
      </c>
      <c r="D3" s="127" t="s">
        <v>11</v>
      </c>
      <c r="E3" s="127" t="s">
        <v>73</v>
      </c>
      <c r="F3" s="127" t="s">
        <v>81</v>
      </c>
      <c r="G3" s="127"/>
      <c r="H3" s="127" t="s">
        <v>36</v>
      </c>
      <c r="I3" s="127" t="s">
        <v>34</v>
      </c>
      <c r="J3" s="127" t="s">
        <v>91</v>
      </c>
      <c r="K3" s="127" t="s">
        <v>93</v>
      </c>
      <c r="L3" s="127" t="s">
        <v>95</v>
      </c>
      <c r="M3" s="127" t="s">
        <v>35</v>
      </c>
      <c r="N3" s="127" t="s">
        <v>97</v>
      </c>
      <c r="O3" s="127" t="s">
        <v>99</v>
      </c>
      <c r="P3" s="127" t="s">
        <v>172</v>
      </c>
      <c r="Q3" s="127" t="s">
        <v>173</v>
      </c>
      <c r="R3" s="127" t="s">
        <v>174</v>
      </c>
      <c r="S3" s="127" t="s">
        <v>154</v>
      </c>
      <c r="T3" s="127" t="s">
        <v>87</v>
      </c>
      <c r="U3" s="127" t="s">
        <v>175</v>
      </c>
      <c r="V3" s="127" t="s">
        <v>176</v>
      </c>
      <c r="W3" s="127" t="s">
        <v>177</v>
      </c>
      <c r="X3" s="127" t="s">
        <v>178</v>
      </c>
      <c r="Y3" s="127" t="s">
        <v>179</v>
      </c>
      <c r="Z3" s="127" t="s">
        <v>180</v>
      </c>
      <c r="AA3" s="127" t="s">
        <v>181</v>
      </c>
      <c r="AB3" s="127" t="s">
        <v>182</v>
      </c>
      <c r="AC3" s="127" t="s">
        <v>183</v>
      </c>
      <c r="AD3" s="127" t="s">
        <v>184</v>
      </c>
      <c r="AE3" s="127" t="s">
        <v>185</v>
      </c>
      <c r="AF3" s="127" t="s">
        <v>186</v>
      </c>
      <c r="AG3" s="127" t="s">
        <v>187</v>
      </c>
      <c r="AH3" s="127" t="s">
        <v>161</v>
      </c>
      <c r="AI3" s="127" t="s">
        <v>188</v>
      </c>
      <c r="AJ3" s="127" t="s">
        <v>189</v>
      </c>
      <c r="AK3" s="127" t="s">
        <v>190</v>
      </c>
      <c r="AL3" s="127" t="s">
        <v>191</v>
      </c>
      <c r="AM3" s="127" t="s">
        <v>192</v>
      </c>
      <c r="AN3" s="127" t="s">
        <v>193</v>
      </c>
      <c r="AO3" s="127" t="s">
        <v>194</v>
      </c>
      <c r="AP3" s="127" t="s">
        <v>195</v>
      </c>
      <c r="AQ3" s="127" t="s">
        <v>196</v>
      </c>
      <c r="AR3" s="127" t="s">
        <v>197</v>
      </c>
      <c r="AS3" s="127" t="s">
        <v>198</v>
      </c>
      <c r="AT3" s="127" t="s">
        <v>199</v>
      </c>
      <c r="AU3" s="127" t="s">
        <v>200</v>
      </c>
      <c r="AV3" s="127" t="s">
        <v>201</v>
      </c>
      <c r="AW3" s="127" t="s">
        <v>202</v>
      </c>
      <c r="AX3" s="127" t="s">
        <v>203</v>
      </c>
      <c r="AY3" s="127" t="s">
        <v>204</v>
      </c>
      <c r="AZ3" s="127" t="s">
        <v>205</v>
      </c>
      <c r="BA3" s="127" t="s">
        <v>206</v>
      </c>
      <c r="BB3" s="127" t="s">
        <v>207</v>
      </c>
      <c r="BC3" s="127" t="s">
        <v>208</v>
      </c>
      <c r="BD3" s="127" t="s">
        <v>209</v>
      </c>
      <c r="BE3" s="127" t="s">
        <v>210</v>
      </c>
      <c r="BF3" s="127" t="s">
        <v>211</v>
      </c>
      <c r="BG3" s="127" t="s">
        <v>212</v>
      </c>
      <c r="BH3" s="127" t="s">
        <v>213</v>
      </c>
      <c r="BI3" s="127" t="s">
        <v>214</v>
      </c>
      <c r="BJ3" s="127" t="s">
        <v>215</v>
      </c>
      <c r="BK3" s="127" t="s">
        <v>216</v>
      </c>
      <c r="BL3" s="127" t="s">
        <v>217</v>
      </c>
      <c r="BM3" s="127" t="s">
        <v>218</v>
      </c>
      <c r="BN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c r="H4" s="69" t="e">
        <f aca="false">TblMili[[#This Row],[Networth (2)]]</f>
        <v>#VALUE!</v>
      </c>
      <c r="I4" s="103" t="n">
        <f aca="false">start_plat - TblProd[[#This Row],[Expenses Platinum]] + IF(TblProd[[#This Row],[Plat Bonus]],TblPop[[#This Row],[Peasants]]*4)+days_late*days_late_plat + SUM(TblConstr[[#This Row],[Dest Hom]:[Dest Doc]])*Construction!AM4*tech_3_3_2*TblTech[[#This Row],[3-3]]</f>
        <v>9830</v>
      </c>
      <c r="J4" s="103" t="n">
        <f aca="false">start_food+days_late*days_late_food</f>
        <v>15000</v>
      </c>
      <c r="K4" s="103" t="n">
        <f aca="false">start_lumber - TblProd[[#This Row],[Expenses Lumber]]+days_late*days_late_lumber + SUM(TblConstr[[#This Row],[Dest Hom]:[Dest Doc]])*TblConstr[[#This Row],[CPA Lumber -DB]]*tech_3_3_2*TblTech[[#This Row],[3-3]]</f>
        <v>0</v>
      </c>
      <c r="L4" s="103" t="n">
        <f aca="false">start_mana - TblProd[[#This Row],[Expenses Mana]]+days_late*days_late_mana</f>
        <v>0</v>
      </c>
      <c r="M4" s="103" t="n">
        <f aca="false">start_ore - TblProd[[#This Row],[Expenses Ore]]+days_late*days_late_ore</f>
        <v>0</v>
      </c>
      <c r="N4" s="103" t="n">
        <f aca="false">start_gems - TblProd[[#This Row],[Expenses Gems]]</f>
        <v>0</v>
      </c>
      <c r="O4" s="103" t="n">
        <f aca="false">start_boats</f>
        <v>0</v>
      </c>
      <c r="P4" s="103" t="n">
        <f aca="false">start_prestige</f>
        <v>250</v>
      </c>
      <c r="Q4" s="147" t="n">
        <f aca="false">ROUNDDOWN(-TblProd[[#This Row],[Required]]*TblTech[[#This Row],[…]],0) + IF(TblProd[[#This Row],[Plat Bonus]]&lt;&gt;"",350,0)</f>
        <v>0</v>
      </c>
      <c r="R4" s="95" t="n">
        <f aca="false">MAX(_xlfn.CEILING.MATH(TblProd[[#This Row],[Land]]*2.5+IFERROR(OFFSET(TblTech[[#This Row],[Sum of tech]],-1,0)*150,0)),3750)</f>
        <v>3750</v>
      </c>
      <c r="S4" s="132"/>
      <c r="T4" s="69" t="n">
        <f aca="false">ROUNDDOWN(TblProd[[#This Row],[Raw Plat/hr]]*(1+TblProd[[#This Row],[Bonus Plat/hr]]),0)</f>
        <v>4860</v>
      </c>
      <c r="U4" s="69" t="n">
        <f aca="false">ROUND(TblProd[[#This Row],[Raw Food/hr]]*(1+TblProd[[#This Row],[Bonus Food/hr]])-TblProd[[#This Row],[Food decay]]-TblProd[[#This Row],[Food eaten]],0)</f>
        <v>1910</v>
      </c>
      <c r="V4" s="69" t="n">
        <f aca="false">ROUND(TblProd[[#This Row],[Raw Lumber/hr]]*(1+TblProd[[#This Row],[Bonus Lumber/hr]])-TblProd[[#This Row],[Lumber rot]],0)</f>
        <v>900</v>
      </c>
      <c r="W4" s="69" t="n">
        <f aca="false">ROUND(TblProd[[#This Row],[Raw Mana/hr]]*(1+TblProd[[#This Row],[Bonus Mana/hr]])-TblProd[[#This Row],[Mana drain]],0)</f>
        <v>0</v>
      </c>
      <c r="X4" s="69" t="n">
        <f aca="false">ROUNDDOWN(TblProd[[#This Row],[Raw Ore/hr]]*(1+TblProd[[#This Row],[Bonux Ore/hr]]),0)</f>
        <v>0</v>
      </c>
      <c r="Y4" s="69" t="n">
        <f aca="false">ROUNDDOWN(TblProd[[#This Row],[Raw Gems/hr]]*(1+TblProd[[#This Row],[Bonus Gems/hr]]),0)</f>
        <v>0</v>
      </c>
      <c r="Z4" s="148" t="n">
        <f aca="false">OFFSET(TblConstr[[#This Row],[Tot Doc]],1,0)*dock_boats_hr * (1 + tech_4_1*TblTech[[#This Row],[4-1]])</f>
        <v>0</v>
      </c>
      <c r="AA4" s="146"/>
      <c r="AB4" s="69" t="n">
        <f aca="false">TblPop[[#This Row],[Peasants]]*tax*TblPop[[#This Row],[Employment]] + (Construction!AZ5+Construction!BX5)*(alch_plat+(Magic!AM4&gt;0)*alchemist_flame_bonus)</f>
        <v>4860</v>
      </c>
      <c r="AC4" s="69" t="n">
        <f aca="false">TblConstr[[#This Row],[Tot Farm]]*farm_food + TblConstr[[#This Row],[Tot Doc]]*dock_food</f>
        <v>2400</v>
      </c>
      <c r="AD4" s="69" t="n">
        <f aca="false">TblConstr[[#This Row],[Tot Ly]]*ly_lumber + TblConstr[[#This Row],[Tot Hav]]*fh_lumber</f>
        <v>1000</v>
      </c>
      <c r="AE4" s="69" t="n">
        <f aca="false">OFFSET(TblConstr[[#This Row],[Tot Tow]],1,0)*(tower_mana + tech_4_5*TblTech[[#This Row],[4-5]]) + OFFSET(TblConstr[[#This Row],[Tot WG]],1,0)*wg_mana_prod</f>
        <v>0</v>
      </c>
      <c r="AF4" s="69" t="n">
        <f aca="false">OFFSET(TblConstr[[#This Row],[Tot OM]],1,0)*om_ore+IF(race="Dwarf",ROUNDDOWN(TblMili[[#This Row],[Unit 2]]*0.4,0),)</f>
        <v>0</v>
      </c>
      <c r="AG4" s="69" t="n">
        <f aca="false">OFFSET(TblConstr[[#This Row],[Tot DM]],1,0)*dm_gems</f>
        <v>0</v>
      </c>
      <c r="AH4" s="132"/>
      <c r="AI4" s="149" t="n">
        <f aca="false">MIN(race_platinum_bonus + IF(TblMagic[[#This Row],[Active Alch Frost]]&gt;0,alch_frost_bonus,IF(Magic!AD4&gt;0,midas_bonus)) + TblImps[[#This Row],[Science]] - TblProd[[#This Row],[Guard]]*(0.02 + tech_5_7*TblTech[[#This Row],[5-7]]) + tech_1_5*TblTech[[#This Row],[1-5]] + tech_4_4*TblTech[[#This Row],[4-4]], 0.5)</f>
        <v>0</v>
      </c>
      <c r="AJ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 s="149" t="n">
        <f aca="false">race_lumber_bonus+ IF(TblMagic[[#This Row],[Active Gaia''s Blessing]]&gt;0,gaias_blessing_lumber)+ tech_1_3*TblTech[[#This Row],[1-3]] + tech_1_6*TblTech[[#This Row],[1-6]] + tech_3_3*TblTech[[#This Row],[3-3]]</f>
        <v>-0.1</v>
      </c>
      <c r="AL4" s="149" t="n">
        <f aca="false">race_mana_bonus+ 0 + TblImps[[#This Row],[Towers]] + tech_1_2*TblTech[[#This Row],[1-2]] + tech_3_4*TblTech[[#This Row],[3-4]]</f>
        <v>0</v>
      </c>
      <c r="AM4" s="149" t="n">
        <f aca="false">race_ore_bonus + IF(TblMagic[[#This Row],[Active Miner''s Sight]]&gt;0,miners_sight_bonus,IF(TblMagic[[#This Row],[Active Mining Strength]]&gt;0,mining_strength_bonus)) +  tech_1_6*TblTech[[#This Row],[1-6]]</f>
        <v>0</v>
      </c>
      <c r="AN4" s="149" t="n">
        <f aca="false">race_gem_bonus+ tech_3_2*TblTech[[#This Row],[3-2]] + tech_4_3*TblTech[[#This Row],[4-3]] + tech_6_2*TblTech[[#This Row],[6-2]]</f>
        <v>0.15</v>
      </c>
      <c r="AO4" s="132"/>
      <c r="AP4" s="69" t="n">
        <f aca="false">TblProd[[#This Row],[Food]]*food_decay * (1 + tech_2_1*TblTech[[#This Row],[2-1]] + tech_2_8*TblTech[[#This Row],[2-8]])</f>
        <v>150</v>
      </c>
      <c r="AQ4" s="69" t="n">
        <f aca="false">(1+race_food_consumption)*TblPop[[#This Row],[Total]]*food_per_person*(1+tech_1_10*TblTech[[#This Row],[1-10]]+tech_7_5*TblTech[[#This Row],[7-5]])</f>
        <v>400</v>
      </c>
      <c r="AR4" s="69" t="n">
        <f aca="false">TblProd[[#This Row],[Lumber]]*lumber_rot * (1 + tech_2_1*TblTech[[#This Row],[2-1]] + tech_2_8*TblTech[[#This Row],[2-8]] + tech_5_2*TblTech[[#This Row],[5-2]])</f>
        <v>0</v>
      </c>
      <c r="AS4" s="69" t="n">
        <f aca="false">TblProd[[#This Row],[Mana]]*mana_drain * (1 + tech_2_1*TblTech[[#This Row],[2-1]] + tech_2_8*TblTech[[#This Row],[2-8]])</f>
        <v>0</v>
      </c>
      <c r="AT4" s="146"/>
      <c r="AU4" s="69" t="n">
        <f aca="false">TblExplore[[#This Row],[Platinum (2)]]+TblConstr[[#This Row],[Total Plat Cost]]+TblMili[[#This Row],[Plat Cost]]+TblRezone[[#This Row],[Platinum cost]]+TblImps[[#This Row],[P1]]-TblProd[[#This Row],[Bank Plat]]</f>
        <v>90170</v>
      </c>
      <c r="AV4" s="69" t="n">
        <f aca="false">TblConstr[[#This Row],[Total Lum Cost]]+TblImps[[#This Row],[L1]]-TblProd[[#This Row],[Bank Lumber]] + Military!$CL$25*TblMili[[#This Row],[Sec. rec. Cost]]</f>
        <v>15000</v>
      </c>
      <c r="AW4" s="69" t="n">
        <f aca="false">TblMagic[[#This Row],[Mana cost]] + Military!$CL$26*TblMili[[#This Row],[Sec. rec. Cost]]</f>
        <v>0</v>
      </c>
      <c r="AX4" s="69" t="n">
        <f aca="false">Military!$CL$24*TblMili[[#This Row],[Sec. rec. Cost]]+TblImps[[#This Row],[O1]]-TblProd[[#This Row],[Bank Ore]]</f>
        <v>0</v>
      </c>
      <c r="AY4" s="69" t="n">
        <f aca="false">TblImps[[#This Row],[G1]]-TblProd[[#This Row],[Bank Gems]]</f>
        <v>10000</v>
      </c>
      <c r="AZ4" s="132"/>
      <c r="BA4" s="33" t="n">
        <f aca="false">IF(TblProd[[#This Row],[Set Guard]]&lt;&gt;"",TblProd[[#This Row],[Set Guard]],FALSE())</f>
        <v>0</v>
      </c>
      <c r="BB4" s="145"/>
      <c r="BC4" s="151" t="n">
        <f aca="false">TblProd[[#This Row],[Hour]]</f>
        <v>1</v>
      </c>
      <c r="BD4" s="152" t="n">
        <f aca="false">-TblProd[[#This Row],[Bank Lumber]] / 2 + -TblProd[[#This Row],[Bank Gems]] * 2 + -TblProd[[#This Row],[Bank Ore]] / 2</f>
        <v>21780</v>
      </c>
      <c r="BE4" s="152" t="n">
        <v>-3560</v>
      </c>
      <c r="BF4" s="152"/>
      <c r="BG4" s="152" t="n">
        <v>-10000</v>
      </c>
      <c r="BH4" s="153" t="n">
        <f aca="false">TblProd[[#This Row],[Time]]</f>
        <v>45429.75</v>
      </c>
      <c r="BI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J4" s="69" t="n">
        <f aca="false">TblProd[[#This Row],[Platinum]]</f>
        <v>9830</v>
      </c>
      <c r="BK4" s="69" t="n">
        <f aca="false">TblProd[[#This Row],[Food]]</f>
        <v>15000</v>
      </c>
      <c r="BL4" s="69" t="n">
        <f aca="false">TblProd[[#This Row],[Lumber]]</f>
        <v>0</v>
      </c>
      <c r="BM4" s="69" t="n">
        <f aca="false">TblProd[[#This Row],[Mana]]</f>
        <v>0</v>
      </c>
      <c r="BN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c r="H5" s="69" t="e">
        <f aca="false">TblMili[[#This Row],[Networth (2)]]</f>
        <v>#VALUE!</v>
      </c>
      <c r="I5" s="69" t="n">
        <f aca="false">OFFSET(TblProd[[#This Row],[Platinum]],-1,0)+OFFSET(TblProd[[#This Row],[Plat/hr]],-1,0) - TblProd[[#This Row],[Expenses Platinum]] + IF(TblProd[[#This Row],[Plat Bonus]],TblPop[[#This Row],[Peasants]]*4) + SUM(TblConstr[[#This Row],[Dest Hom]:[Dest Doc]])*TblConstr[[#This Row],[CPA Platinum -DB]]*tech_3_3_2*TblTech[[#This Row],[3-3]]</f>
        <v>15140</v>
      </c>
      <c r="J5" s="69" t="n">
        <f aca="false">OFFSET(TblProd[[#This Row],[Food]],-1,0)+OFFSET(TblProd[[#This Row],[Food/hr]],-1,0)+ROUNDUP((TblConstr[[#This Row],[Farms]]*80+TblConstr[[#This Row],[Docks]]*35)*(1+OFFSET(TblProd[[#This Row],[Bonus Food/hr]],-1,0)),0)</f>
        <v>16910</v>
      </c>
      <c r="K5" s="69" t="n">
        <f aca="false">OFFSET(TblProd[[#This Row],[Lumber]],-1,0)+OFFSET(TblProd[[#This Row],[Lumber/hr]],-1,0) - TblProd[[#This Row],[Expenses Lumber]] + SUM(TblConstr[[#This Row],[Dest Hom]:[Dest Doc]])*TblConstr[[#This Row],[CPA Lumber -DB]]*tech_3_3_2*TblTech[[#This Row],[3-3]]</f>
        <v>0</v>
      </c>
      <c r="L5" s="69" t="n">
        <f aca="false">OFFSET(TblProd[[#This Row],[Mana]],-1,0)+OFFSET(TblProd[[#This Row],[Mana/hr]],-1,0)- TblProd[[#This Row],[Expenses Mana]]</f>
        <v>-1250</v>
      </c>
      <c r="M5" s="69" t="n">
        <f aca="false">OFFSET(TblProd[[#This Row],[Ore]],-1,0)+OFFSET(TblProd[[#This Row],[Ore/hr]],-1,0) -TblProd[[#This Row],[Expenses Ore]]</f>
        <v>0</v>
      </c>
      <c r="N5" s="69" t="n">
        <f aca="false">OFFSET(TblProd[[#This Row],[Gems]],-1,0)+OFFSET(TblProd[[#This Row],[Gems/hr]],-1,0) - TblProd[[#This Row],[Expenses Gems]]</f>
        <v>0</v>
      </c>
      <c r="O5" s="69" t="n">
        <f aca="false">OFFSET(TblProd[[#This Row],[Boats]],-1,0)+OFFSET(TblProd[[#This Row],[Boats/hr]],-1,0)</f>
        <v>0</v>
      </c>
      <c r="P5" s="69" t="n">
        <f aca="false">OFFSET(TblProd[[#This Row],[Prestige]],-1,0)</f>
        <v>250</v>
      </c>
      <c r="Q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5" s="69" t="n">
        <f aca="false">MAX(3750,_xlfn.CEILING.MATH(TblProd[[#This Row],[Land]]*2.5+OFFSET(TblTech[[#This Row],[Sum of tech]],-1,0)*150))</f>
        <v>3750</v>
      </c>
      <c r="S5" s="132"/>
      <c r="T5" s="69" t="n">
        <f aca="false">ROUNDDOWN(TblProd[[#This Row],[Raw Plat/hr]]*(1+TblProd[[#This Row],[Bonus Plat/hr]]),0)</f>
        <v>4930</v>
      </c>
      <c r="U5" s="69" t="n">
        <f aca="false">ROUND(TblProd[[#This Row],[Raw Food/hr]]*(1+TblProd[[#This Row],[Bonus Food/hr]])-TblProd[[#This Row],[Food decay]]-TblProd[[#This Row],[Food eaten]],0)</f>
        <v>1881</v>
      </c>
      <c r="V5" s="69" t="n">
        <f aca="false">ROUND(TblProd[[#This Row],[Raw Lumber/hr]]*(1+TblProd[[#This Row],[Bonus Lumber/hr]])-TblProd[[#This Row],[Lumber rot]],0)</f>
        <v>900</v>
      </c>
      <c r="W5" s="69" t="n">
        <f aca="false">ROUND(TblProd[[#This Row],[Raw Mana/hr]]*(1+TblProd[[#This Row],[Bonus Mana/hr]])-TblProd[[#This Row],[Mana drain]],0)</f>
        <v>25</v>
      </c>
      <c r="X5" s="69" t="n">
        <f aca="false">ROUNDDOWN(TblProd[[#This Row],[Raw Ore/hr]]*(1+TblProd[[#This Row],[Bonux Ore/hr]]),0)</f>
        <v>0</v>
      </c>
      <c r="Y5" s="69" t="n">
        <f aca="false">ROUNDDOWN(TblProd[[#This Row],[Raw Gems/hr]]*(1+TblProd[[#This Row],[Bonus Gems/hr]]),0)</f>
        <v>0</v>
      </c>
      <c r="Z5" s="148" t="n">
        <f aca="false">OFFSET(TblConstr[[#This Row],[Tot Doc]],1,0)*dock_boats_hr * (1 + tech_4_1*TblTech[[#This Row],[4-1]])</f>
        <v>0</v>
      </c>
      <c r="AA5" s="146"/>
      <c r="AB5" s="69" t="n">
        <f aca="false">TblPop[[#This Row],[Peasants]]*tax*TblPop[[#This Row],[Employment]] + (Construction!AZ6+Construction!BX6)*(alch_plat+(Magic!AM5&gt;0)*alchemist_flame_bonus)</f>
        <v>4930.2</v>
      </c>
      <c r="AC5" s="69" t="n">
        <f aca="false">TblConstr[[#This Row],[Tot Farm]]*farm_food + TblConstr[[#This Row],[Tot Doc]]*dock_food</f>
        <v>2400</v>
      </c>
      <c r="AD5" s="69" t="n">
        <f aca="false">TblConstr[[#This Row],[Tot Ly]]*ly_lumber + TblConstr[[#This Row],[Tot Hav]]*fh_lumber</f>
        <v>1000</v>
      </c>
      <c r="AE5" s="69" t="n">
        <f aca="false">OFFSET(TblConstr[[#This Row],[Tot Tow]],1,0)*(tower_mana + tech_4_5*TblTech[[#This Row],[4-5]]) + OFFSET(TblConstr[[#This Row],[Tot WG]],1,0)*wg_mana_prod</f>
        <v>0</v>
      </c>
      <c r="AF5" s="69" t="n">
        <f aca="false">OFFSET(TblConstr[[#This Row],[Tot OM]],1,0)*om_ore+IF(race="Dwarf",ROUNDDOWN(TblMili[[#This Row],[Unit 2]]*0.4,0),)</f>
        <v>0</v>
      </c>
      <c r="AG5" s="69" t="n">
        <f aca="false">OFFSET(TblConstr[[#This Row],[Tot DM]],1,0)*dm_gems</f>
        <v>0</v>
      </c>
      <c r="AH5" s="132"/>
      <c r="AI5" s="149" t="n">
        <f aca="false">MIN(race_platinum_bonus + IF(TblMagic[[#This Row],[Active Alch Frost]]&gt;0,alch_frost_bonus,IF(Magic!AD5&gt;0,midas_bonus)) + TblImps[[#This Row],[Science]] - TblProd[[#This Row],[Guard]]*(0.02 + tech_5_7*TblTech[[#This Row],[5-7]]) + tech_1_5*TblTech[[#This Row],[1-5]] + tech_4_4*TblTech[[#This Row],[4-4]], 0.5)</f>
        <v>0</v>
      </c>
      <c r="AJ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 s="149" t="n">
        <f aca="false">race_lumber_bonus+ IF(TblMagic[[#This Row],[Active Gaia''s Blessing]]&gt;0,gaias_blessing_lumber)+ tech_1_3*TblTech[[#This Row],[1-3]] + tech_1_6*TblTech[[#This Row],[1-6]] + tech_3_3*TblTech[[#This Row],[3-3]]</f>
        <v>-0.1</v>
      </c>
      <c r="AL5" s="149" t="n">
        <f aca="false">race_mana_bonus+ 0 + TblImps[[#This Row],[Towers]] + tech_1_2*TblTech[[#This Row],[1-2]] + tech_3_4*TblTech[[#This Row],[3-4]]</f>
        <v>0</v>
      </c>
      <c r="AM5" s="149" t="n">
        <f aca="false">race_ore_bonus + IF(TblMagic[[#This Row],[Active Miner''s Sight]]&gt;0,miners_sight_bonus,IF(TblMagic[[#This Row],[Active Mining Strength]]&gt;0,mining_strength_bonus)) +  tech_1_6*TblTech[[#This Row],[1-6]]</f>
        <v>0.2</v>
      </c>
      <c r="AN5" s="149" t="n">
        <f aca="false">race_gem_bonus+ tech_3_2*TblTech[[#This Row],[3-2]] + tech_4_3*TblTech[[#This Row],[4-3]] + tech_6_2*TblTech[[#This Row],[6-2]]</f>
        <v>0.15</v>
      </c>
      <c r="AO5" s="132"/>
      <c r="AP5" s="69" t="n">
        <f aca="false">TblProd[[#This Row],[Food]]*food_decay * (1 + tech_2_1*TblTech[[#This Row],[2-1]] + tech_2_8*TblTech[[#This Row],[2-8]])</f>
        <v>169.1</v>
      </c>
      <c r="AQ5" s="69" t="n">
        <f aca="false">(1+race_food_consumption)*TblPop[[#This Row],[Total]]*food_per_person*(1+tech_1_10*TblTech[[#This Row],[1-10]]+tech_7_5*TblTech[[#This Row],[7-5]])</f>
        <v>409.75</v>
      </c>
      <c r="AR5" s="69" t="n">
        <f aca="false">TblProd[[#This Row],[Lumber]]*lumber_rot * (1 + tech_2_1*TblTech[[#This Row],[2-1]] + tech_2_8*TblTech[[#This Row],[2-8]] + tech_5_2*TblTech[[#This Row],[5-2]])</f>
        <v>0</v>
      </c>
      <c r="AS5" s="69" t="n">
        <f aca="false">TblProd[[#This Row],[Mana]]*mana_drain * (1 + tech_2_1*TblTech[[#This Row],[2-1]] + tech_2_8*TblTech[[#This Row],[2-8]])</f>
        <v>-25</v>
      </c>
      <c r="AT5" s="146"/>
      <c r="AU5" s="69" t="n">
        <f aca="false">TblExplore[[#This Row],[Platinum (2)]]+TblConstr[[#This Row],[Total Plat Cost]]+TblMili[[#This Row],[Plat Cost]]+TblRezone[[#This Row],[Platinum cost]]+TblImps[[#This Row],[P1]]-TblProd[[#This Row],[Bank Plat]]</f>
        <v>-450</v>
      </c>
      <c r="AV5" s="69" t="n">
        <f aca="false">TblConstr[[#This Row],[Total Lum Cost]]+TblImps[[#This Row],[L1]]-TblProd[[#This Row],[Bank Lumber]] + Military!$CL$25*TblMili[[#This Row],[Sec. rec. Cost]]</f>
        <v>900</v>
      </c>
      <c r="AW5" s="69" t="n">
        <f aca="false">TblMagic[[#This Row],[Mana cost]] + Military!$CL$26*TblMili[[#This Row],[Sec. rec. Cost]]</f>
        <v>1250</v>
      </c>
      <c r="AX5" s="69" t="n">
        <f aca="false">Military!$CL$24*TblMili[[#This Row],[Sec. rec. Cost]]+TblImps[[#This Row],[O1]]-TblProd[[#This Row],[Bank Ore]]</f>
        <v>0</v>
      </c>
      <c r="AY5" s="69" t="n">
        <f aca="false">TblImps[[#This Row],[G1]]-TblProd[[#This Row],[Bank Gems]]</f>
        <v>0</v>
      </c>
      <c r="AZ5" s="132"/>
      <c r="BA5" s="33" t="n">
        <f aca="false">IF(TblProd[[#This Row],[Set Guard]]&lt;&gt;"",TblProd[[#This Row],[Set Guard]],OFFSET(TblProd[[#This Row],[Guard]],-1,0))</f>
        <v>0</v>
      </c>
      <c r="BB5" s="145"/>
      <c r="BC5" s="151" t="n">
        <f aca="false">TblProd[[#This Row],[Hour]]</f>
        <v>2</v>
      </c>
      <c r="BD5" s="152" t="n">
        <f aca="false">-TblProd[[#This Row],[Bank Lumber]] / 2 + -TblProd[[#This Row],[Bank Gems]] * 2 + -TblProd[[#This Row],[Bank Ore]] / 2</f>
        <v>450</v>
      </c>
      <c r="BE5" s="152" t="n">
        <v>-900</v>
      </c>
      <c r="BF5" s="152"/>
      <c r="BG5" s="152"/>
      <c r="BH5" s="153" t="n">
        <f aca="false">TblProd[[#This Row],[Time]]</f>
        <v>45429.7916666667</v>
      </c>
      <c r="BI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J5" s="69" t="n">
        <f aca="false">TblProd[[#This Row],[Platinum]]</f>
        <v>15140</v>
      </c>
      <c r="BK5" s="69" t="n">
        <f aca="false">TblProd[[#This Row],[Food]]</f>
        <v>16910</v>
      </c>
      <c r="BL5" s="69" t="n">
        <f aca="false">TblProd[[#This Row],[Lumber]]</f>
        <v>0</v>
      </c>
      <c r="BM5" s="69" t="n">
        <f aca="false">TblProd[[#This Row],[Mana]]</f>
        <v>-1250</v>
      </c>
      <c r="BN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c r="H6" s="69" t="e">
        <f aca="false">TblMili[[#This Row],[Networth (2)]]</f>
        <v>#VALUE!</v>
      </c>
      <c r="I6" s="69" t="n">
        <f aca="false">OFFSET(TblProd[[#This Row],[Platinum]],-1,0)+OFFSET(TblProd[[#This Row],[Plat/hr]],-1,0) - TblProd[[#This Row],[Expenses Platinum]] + IF(TblProd[[#This Row],[Plat Bonus]],TblPop[[#This Row],[Peasants]]*4) + SUM(TblConstr[[#This Row],[Dest Hom]:[Dest Doc]])*TblConstr[[#This Row],[CPA Platinum -DB]]*tech_3_3_2*TblTech[[#This Row],[3-3]]</f>
        <v>20520</v>
      </c>
      <c r="J6" s="69" t="n">
        <f aca="false">OFFSET(TblProd[[#This Row],[Food]],-1,0)+OFFSET(TblProd[[#This Row],[Food/hr]],-1,0)+ROUNDUP((TblConstr[[#This Row],[Farms]]*80+TblConstr[[#This Row],[Docks]]*35)*(1+OFFSET(TblProd[[#This Row],[Bonus Food/hr]],-1,0)),0)</f>
        <v>18791</v>
      </c>
      <c r="K6" s="69" t="n">
        <f aca="false">OFFSET(TblProd[[#This Row],[Lumber]],-1,0)+OFFSET(TblProd[[#This Row],[Lumber/hr]],-1,0) - TblProd[[#This Row],[Expenses Lumber]] + SUM(TblConstr[[#This Row],[Dest Hom]:[Dest Doc]])*TblConstr[[#This Row],[CPA Lumber -DB]]*tech_3_3_2*TblTech[[#This Row],[3-3]]</f>
        <v>0</v>
      </c>
      <c r="L6" s="69" t="n">
        <f aca="false">OFFSET(TblProd[[#This Row],[Mana]],-1,0)+OFFSET(TblProd[[#This Row],[Mana/hr]],-1,0)- TblProd[[#This Row],[Expenses Mana]]</f>
        <v>-2475</v>
      </c>
      <c r="M6" s="69" t="n">
        <f aca="false">OFFSET(TblProd[[#This Row],[Ore]],-1,0)+OFFSET(TblProd[[#This Row],[Ore/hr]],-1,0) -TblProd[[#This Row],[Expenses Ore]]</f>
        <v>0</v>
      </c>
      <c r="N6" s="69" t="n">
        <f aca="false">OFFSET(TblProd[[#This Row],[Gems]],-1,0)+OFFSET(TblProd[[#This Row],[Gems/hr]],-1,0) - TblProd[[#This Row],[Expenses Gems]]</f>
        <v>0</v>
      </c>
      <c r="O6" s="69" t="n">
        <f aca="false">OFFSET(TblProd[[#This Row],[Boats]],-1,0)+OFFSET(TblProd[[#This Row],[Boats/hr]],-1,0)</f>
        <v>0</v>
      </c>
      <c r="P6" s="69" t="n">
        <f aca="false">OFFSET(TblProd[[#This Row],[Prestige]],-1,0)</f>
        <v>250</v>
      </c>
      <c r="Q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6" s="69" t="n">
        <f aca="false">MAX(3750,_xlfn.CEILING.MATH(TblProd[[#This Row],[Land]]*2.5+OFFSET(TblTech[[#This Row],[Sum of tech]],-1,0)*150))</f>
        <v>3750</v>
      </c>
      <c r="S6" s="132"/>
      <c r="T6" s="69" t="n">
        <f aca="false">ROUNDDOWN(TblProd[[#This Row],[Raw Plat/hr]]*(1+TblProd[[#This Row],[Bonus Plat/hr]]),0)</f>
        <v>5000</v>
      </c>
      <c r="U6" s="69" t="n">
        <f aca="false">ROUND(TblProd[[#This Row],[Raw Food/hr]]*(1+TblProd[[#This Row],[Bonus Food/hr]])-TblProd[[#This Row],[Food decay]]-TblProd[[#This Row],[Food eaten]],0)</f>
        <v>1853</v>
      </c>
      <c r="V6" s="69" t="n">
        <f aca="false">ROUND(TblProd[[#This Row],[Raw Lumber/hr]]*(1+TblProd[[#This Row],[Bonus Lumber/hr]])-TblProd[[#This Row],[Lumber rot]],0)</f>
        <v>900</v>
      </c>
      <c r="W6" s="69" t="n">
        <f aca="false">ROUND(TblProd[[#This Row],[Raw Mana/hr]]*(1+TblProd[[#This Row],[Bonus Mana/hr]])-TblProd[[#This Row],[Mana drain]],0)</f>
        <v>50</v>
      </c>
      <c r="X6" s="69" t="n">
        <f aca="false">ROUNDDOWN(TblProd[[#This Row],[Raw Ore/hr]]*(1+TblProd[[#This Row],[Bonux Ore/hr]]),0)</f>
        <v>0</v>
      </c>
      <c r="Y6" s="69" t="n">
        <f aca="false">ROUNDDOWN(TblProd[[#This Row],[Raw Gems/hr]]*(1+TblProd[[#This Row],[Bonus Gems/hr]]),0)</f>
        <v>0</v>
      </c>
      <c r="Z6" s="148" t="n">
        <f aca="false">OFFSET(TblConstr[[#This Row],[Tot Doc]],1,0)*dock_boats_hr * (1 + tech_4_1*TblTech[[#This Row],[4-1]])</f>
        <v>0</v>
      </c>
      <c r="AA6" s="146"/>
      <c r="AB6" s="69" t="n">
        <f aca="false">TblPop[[#This Row],[Peasants]]*tax*TblPop[[#This Row],[Employment]] + (Construction!AZ7+Construction!BX7)*(alch_plat+(Magic!AM6&gt;0)*alchemist_flame_bonus)</f>
        <v>5000.4</v>
      </c>
      <c r="AC6" s="69" t="n">
        <f aca="false">TblConstr[[#This Row],[Tot Farm]]*farm_food + TblConstr[[#This Row],[Tot Doc]]*dock_food</f>
        <v>2400</v>
      </c>
      <c r="AD6" s="69" t="n">
        <f aca="false">TblConstr[[#This Row],[Tot Ly]]*ly_lumber + TblConstr[[#This Row],[Tot Hav]]*fh_lumber</f>
        <v>1000</v>
      </c>
      <c r="AE6" s="69" t="n">
        <f aca="false">OFFSET(TblConstr[[#This Row],[Tot Tow]],1,0)*(tower_mana + tech_4_5*TblTech[[#This Row],[4-5]]) + OFFSET(TblConstr[[#This Row],[Tot WG]],1,0)*wg_mana_prod</f>
        <v>0</v>
      </c>
      <c r="AF6" s="69" t="n">
        <f aca="false">OFFSET(TblConstr[[#This Row],[Tot OM]],1,0)*om_ore+IF(race="Dwarf",ROUNDDOWN(TblMili[[#This Row],[Unit 2]]*0.4,0),)</f>
        <v>0</v>
      </c>
      <c r="AG6" s="69" t="n">
        <f aca="false">OFFSET(TblConstr[[#This Row],[Tot DM]],1,0)*dm_gems</f>
        <v>0</v>
      </c>
      <c r="AH6" s="132"/>
      <c r="AI6" s="149" t="n">
        <f aca="false">MIN(race_platinum_bonus + IF(TblMagic[[#This Row],[Active Alch Frost]]&gt;0,alch_frost_bonus,IF(Magic!AD6&gt;0,midas_bonus)) + TblImps[[#This Row],[Science]] - TblProd[[#This Row],[Guard]]*(0.02 + tech_5_7*TblTech[[#This Row],[5-7]]) + tech_1_5*TblTech[[#This Row],[1-5]] + tech_4_4*TblTech[[#This Row],[4-4]], 0.5)</f>
        <v>0</v>
      </c>
      <c r="AJ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 s="149" t="n">
        <f aca="false">race_lumber_bonus+ IF(TblMagic[[#This Row],[Active Gaia''s Blessing]]&gt;0,gaias_blessing_lumber)+ tech_1_3*TblTech[[#This Row],[1-3]] + tech_1_6*TblTech[[#This Row],[1-6]] + tech_3_3*TblTech[[#This Row],[3-3]]</f>
        <v>-0.1</v>
      </c>
      <c r="AL6" s="149" t="n">
        <f aca="false">race_mana_bonus+ 0 + TblImps[[#This Row],[Towers]] + tech_1_2*TblTech[[#This Row],[1-2]] + tech_3_4*TblTech[[#This Row],[3-4]]</f>
        <v>0</v>
      </c>
      <c r="AM6" s="149" t="n">
        <f aca="false">race_ore_bonus + IF(TblMagic[[#This Row],[Active Miner''s Sight]]&gt;0,miners_sight_bonus,IF(TblMagic[[#This Row],[Active Mining Strength]]&gt;0,mining_strength_bonus)) +  tech_1_6*TblTech[[#This Row],[1-6]]</f>
        <v>0.2</v>
      </c>
      <c r="AN6" s="149" t="n">
        <f aca="false">race_gem_bonus+ tech_3_2*TblTech[[#This Row],[3-2]] + tech_4_3*TblTech[[#This Row],[4-3]] + tech_6_2*TblTech[[#This Row],[6-2]]</f>
        <v>0.15</v>
      </c>
      <c r="AO6" s="132"/>
      <c r="AP6" s="69" t="n">
        <f aca="false">TblProd[[#This Row],[Food]]*food_decay * (1 + tech_2_1*TblTech[[#This Row],[2-1]] + tech_2_8*TblTech[[#This Row],[2-8]])</f>
        <v>187.91</v>
      </c>
      <c r="AQ6" s="69" t="n">
        <f aca="false">(1+race_food_consumption)*TblPop[[#This Row],[Total]]*food_per_person*(1+tech_1_10*TblTech[[#This Row],[1-10]]+tech_7_5*TblTech[[#This Row],[7-5]])</f>
        <v>419.5</v>
      </c>
      <c r="AR6" s="69" t="n">
        <f aca="false">TblProd[[#This Row],[Lumber]]*lumber_rot * (1 + tech_2_1*TblTech[[#This Row],[2-1]] + tech_2_8*TblTech[[#This Row],[2-8]] + tech_5_2*TblTech[[#This Row],[5-2]])</f>
        <v>0</v>
      </c>
      <c r="AS6" s="69" t="n">
        <f aca="false">TblProd[[#This Row],[Mana]]*mana_drain * (1 + tech_2_1*TblTech[[#This Row],[2-1]] + tech_2_8*TblTech[[#This Row],[2-8]])</f>
        <v>-49.5</v>
      </c>
      <c r="AT6" s="146"/>
      <c r="AU6" s="69" t="n">
        <f aca="false">TblExplore[[#This Row],[Platinum (2)]]+TblConstr[[#This Row],[Total Plat Cost]]+TblMili[[#This Row],[Plat Cost]]+TblRezone[[#This Row],[Platinum cost]]+TblImps[[#This Row],[P1]]-TblProd[[#This Row],[Bank Plat]]</f>
        <v>-450</v>
      </c>
      <c r="AV6" s="69" t="n">
        <f aca="false">TblConstr[[#This Row],[Total Lum Cost]]+TblImps[[#This Row],[L1]]-TblProd[[#This Row],[Bank Lumber]] + Military!$CL$25*TblMili[[#This Row],[Sec. rec. Cost]]</f>
        <v>900</v>
      </c>
      <c r="AW6" s="69" t="n">
        <f aca="false">TblMagic[[#This Row],[Mana cost]] + Military!$CL$26*TblMili[[#This Row],[Sec. rec. Cost]]</f>
        <v>1250</v>
      </c>
      <c r="AX6" s="69" t="n">
        <f aca="false">Military!$CL$24*TblMili[[#This Row],[Sec. rec. Cost]]+TblImps[[#This Row],[O1]]-TblProd[[#This Row],[Bank Ore]]</f>
        <v>0</v>
      </c>
      <c r="AY6" s="69" t="n">
        <f aca="false">TblImps[[#This Row],[G1]]-TblProd[[#This Row],[Bank Gems]]</f>
        <v>0</v>
      </c>
      <c r="AZ6" s="132"/>
      <c r="BA6" s="33" t="n">
        <f aca="false">IF(TblProd[[#This Row],[Set Guard]]&lt;&gt;"",TblProd[[#This Row],[Set Guard]],OFFSET(TblProd[[#This Row],[Guard]],-1,0))</f>
        <v>0</v>
      </c>
      <c r="BB6" s="145"/>
      <c r="BC6" s="151" t="n">
        <f aca="false">TblProd[[#This Row],[Hour]]</f>
        <v>3</v>
      </c>
      <c r="BD6" s="152" t="n">
        <f aca="false">-TblProd[[#This Row],[Bank Lumber]] / 2 + -TblProd[[#This Row],[Bank Gems]] * 2 + -TblProd[[#This Row],[Bank Ore]] / 2</f>
        <v>450</v>
      </c>
      <c r="BE6" s="152" t="n">
        <v>-900</v>
      </c>
      <c r="BF6" s="152"/>
      <c r="BG6" s="152"/>
      <c r="BH6" s="153" t="n">
        <f aca="false">TblProd[[#This Row],[Time]]</f>
        <v>45429.8333333333</v>
      </c>
      <c r="BI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J6" s="69" t="n">
        <f aca="false">TblProd[[#This Row],[Platinum]]</f>
        <v>20520</v>
      </c>
      <c r="BK6" s="69" t="n">
        <f aca="false">TblProd[[#This Row],[Food]]</f>
        <v>18791</v>
      </c>
      <c r="BL6" s="69" t="n">
        <f aca="false">TblProd[[#This Row],[Lumber]]</f>
        <v>0</v>
      </c>
      <c r="BM6" s="69" t="n">
        <f aca="false">TblProd[[#This Row],[Mana]]</f>
        <v>-2475</v>
      </c>
      <c r="BN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c r="H7" s="69" t="e">
        <f aca="false">TblMili[[#This Row],[Networth (2)]]</f>
        <v>#VALUE!</v>
      </c>
      <c r="I7" s="69" t="n">
        <f aca="false">OFFSET(TblProd[[#This Row],[Platinum]],-1,0)+OFFSET(TblProd[[#This Row],[Plat/hr]],-1,0) - TblProd[[#This Row],[Expenses Platinum]] + IF(TblProd[[#This Row],[Plat Bonus]],TblPop[[#This Row],[Peasants]]*4) + SUM(TblConstr[[#This Row],[Dest Hom]:[Dest Doc]])*TblConstr[[#This Row],[CPA Platinum -DB]]*tech_3_3_2*TblTech[[#This Row],[3-3]]</f>
        <v>25970</v>
      </c>
      <c r="J7" s="69" t="n">
        <f aca="false">OFFSET(TblProd[[#This Row],[Food]],-1,0)+OFFSET(TblProd[[#This Row],[Food/hr]],-1,0)+ROUNDUP((TblConstr[[#This Row],[Farms]]*80+TblConstr[[#This Row],[Docks]]*35)*(1+OFFSET(TblProd[[#This Row],[Bonus Food/hr]],-1,0)),0)</f>
        <v>20644</v>
      </c>
      <c r="K7" s="69" t="n">
        <f aca="false">OFFSET(TblProd[[#This Row],[Lumber]],-1,0)+OFFSET(TblProd[[#This Row],[Lumber/hr]],-1,0) - TblProd[[#This Row],[Expenses Lumber]] + SUM(TblConstr[[#This Row],[Dest Hom]:[Dest Doc]])*TblConstr[[#This Row],[CPA Lumber -DB]]*tech_3_3_2*TblTech[[#This Row],[3-3]]</f>
        <v>0</v>
      </c>
      <c r="L7" s="69" t="n">
        <f aca="false">OFFSET(TblProd[[#This Row],[Mana]],-1,0)+OFFSET(TblProd[[#This Row],[Mana/hr]],-1,0)- TblProd[[#This Row],[Expenses Mana]]</f>
        <v>-3675</v>
      </c>
      <c r="M7" s="69" t="n">
        <f aca="false">OFFSET(TblProd[[#This Row],[Ore]],-1,0)+OFFSET(TblProd[[#This Row],[Ore/hr]],-1,0) -TblProd[[#This Row],[Expenses Ore]]</f>
        <v>0</v>
      </c>
      <c r="N7" s="69" t="n">
        <f aca="false">OFFSET(TblProd[[#This Row],[Gems]],-1,0)+OFFSET(TblProd[[#This Row],[Gems/hr]],-1,0) - TblProd[[#This Row],[Expenses Gems]]</f>
        <v>0</v>
      </c>
      <c r="O7" s="69" t="n">
        <f aca="false">OFFSET(TblProd[[#This Row],[Boats]],-1,0)+OFFSET(TblProd[[#This Row],[Boats/hr]],-1,0)</f>
        <v>0</v>
      </c>
      <c r="P7" s="69" t="n">
        <f aca="false">OFFSET(TblProd[[#This Row],[Prestige]],-1,0)</f>
        <v>250</v>
      </c>
      <c r="Q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7" s="69" t="n">
        <f aca="false">MAX(3750,_xlfn.CEILING.MATH(TblProd[[#This Row],[Land]]*2.5+OFFSET(TblTech[[#This Row],[Sum of tech]],-1,0)*150))</f>
        <v>3750</v>
      </c>
      <c r="S7" s="132"/>
      <c r="T7" s="69" t="n">
        <f aca="false">ROUNDDOWN(TblProd[[#This Row],[Raw Plat/hr]]*(1+TblProd[[#This Row],[Bonus Plat/hr]]),0)</f>
        <v>5070</v>
      </c>
      <c r="U7" s="69" t="n">
        <f aca="false">ROUND(TblProd[[#This Row],[Raw Food/hr]]*(1+TblProd[[#This Row],[Bonus Food/hr]])-TblProd[[#This Row],[Food decay]]-TblProd[[#This Row],[Food eaten]],0)</f>
        <v>1824</v>
      </c>
      <c r="V7" s="69" t="n">
        <f aca="false">ROUND(TblProd[[#This Row],[Raw Lumber/hr]]*(1+TblProd[[#This Row],[Bonus Lumber/hr]])-TblProd[[#This Row],[Lumber rot]],0)</f>
        <v>900</v>
      </c>
      <c r="W7" s="69" t="n">
        <f aca="false">ROUND(TblProd[[#This Row],[Raw Mana/hr]]*(1+TblProd[[#This Row],[Bonus Mana/hr]])-TblProd[[#This Row],[Mana drain]],0)</f>
        <v>74</v>
      </c>
      <c r="X7" s="69" t="n">
        <f aca="false">ROUNDDOWN(TblProd[[#This Row],[Raw Ore/hr]]*(1+TblProd[[#This Row],[Bonux Ore/hr]]),0)</f>
        <v>0</v>
      </c>
      <c r="Y7" s="69" t="n">
        <f aca="false">ROUNDDOWN(TblProd[[#This Row],[Raw Gems/hr]]*(1+TblProd[[#This Row],[Bonus Gems/hr]]),0)</f>
        <v>0</v>
      </c>
      <c r="Z7" s="148" t="n">
        <f aca="false">OFFSET(TblConstr[[#This Row],[Tot Doc]],1,0)*dock_boats_hr * (1 + tech_4_1*TblTech[[#This Row],[4-1]])</f>
        <v>0</v>
      </c>
      <c r="AA7" s="146"/>
      <c r="AB7" s="69" t="n">
        <f aca="false">TblPop[[#This Row],[Peasants]]*tax*TblPop[[#This Row],[Employment]] + (Construction!AZ8+Construction!BX8)*(alch_plat+(Magic!AM7&gt;0)*alchemist_flame_bonus)</f>
        <v>5070.6</v>
      </c>
      <c r="AC7" s="69" t="n">
        <f aca="false">TblConstr[[#This Row],[Tot Farm]]*farm_food + TblConstr[[#This Row],[Tot Doc]]*dock_food</f>
        <v>2400</v>
      </c>
      <c r="AD7" s="69" t="n">
        <f aca="false">TblConstr[[#This Row],[Tot Ly]]*ly_lumber + TblConstr[[#This Row],[Tot Hav]]*fh_lumber</f>
        <v>1000</v>
      </c>
      <c r="AE7" s="69" t="n">
        <f aca="false">OFFSET(TblConstr[[#This Row],[Tot Tow]],1,0)*(tower_mana + tech_4_5*TblTech[[#This Row],[4-5]]) + OFFSET(TblConstr[[#This Row],[Tot WG]],1,0)*wg_mana_prod</f>
        <v>0</v>
      </c>
      <c r="AF7" s="69" t="n">
        <f aca="false">OFFSET(TblConstr[[#This Row],[Tot OM]],1,0)*om_ore+IF(race="Dwarf",ROUNDDOWN(TblMili[[#This Row],[Unit 2]]*0.4,0),)</f>
        <v>0</v>
      </c>
      <c r="AG7" s="69" t="n">
        <f aca="false">OFFSET(TblConstr[[#This Row],[Tot DM]],1,0)*dm_gems</f>
        <v>0</v>
      </c>
      <c r="AH7" s="132"/>
      <c r="AI7" s="149" t="n">
        <f aca="false">MIN(race_platinum_bonus + IF(TblMagic[[#This Row],[Active Alch Frost]]&gt;0,alch_frost_bonus,IF(Magic!AD7&gt;0,midas_bonus)) + TblImps[[#This Row],[Science]] - TblProd[[#This Row],[Guard]]*(0.02 + tech_5_7*TblTech[[#This Row],[5-7]]) + tech_1_5*TblTech[[#This Row],[1-5]] + tech_4_4*TblTech[[#This Row],[4-4]], 0.5)</f>
        <v>0</v>
      </c>
      <c r="AJ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 s="149" t="n">
        <f aca="false">race_lumber_bonus+ IF(TblMagic[[#This Row],[Active Gaia''s Blessing]]&gt;0,gaias_blessing_lumber)+ tech_1_3*TblTech[[#This Row],[1-3]] + tech_1_6*TblTech[[#This Row],[1-6]] + tech_3_3*TblTech[[#This Row],[3-3]]</f>
        <v>-0.1</v>
      </c>
      <c r="AL7" s="149" t="n">
        <f aca="false">race_mana_bonus+ 0 + TblImps[[#This Row],[Towers]] + tech_1_2*TblTech[[#This Row],[1-2]] + tech_3_4*TblTech[[#This Row],[3-4]]</f>
        <v>0</v>
      </c>
      <c r="AM7" s="149" t="n">
        <f aca="false">race_ore_bonus + IF(TblMagic[[#This Row],[Active Miner''s Sight]]&gt;0,miners_sight_bonus,IF(TblMagic[[#This Row],[Active Mining Strength]]&gt;0,mining_strength_bonus)) +  tech_1_6*TblTech[[#This Row],[1-6]]</f>
        <v>0.2</v>
      </c>
      <c r="AN7" s="149" t="n">
        <f aca="false">race_gem_bonus+ tech_3_2*TblTech[[#This Row],[3-2]] + tech_4_3*TblTech[[#This Row],[4-3]] + tech_6_2*TblTech[[#This Row],[6-2]]</f>
        <v>0.15</v>
      </c>
      <c r="AO7" s="132"/>
      <c r="AP7" s="69" t="n">
        <f aca="false">TblProd[[#This Row],[Food]]*food_decay * (1 + tech_2_1*TblTech[[#This Row],[2-1]] + tech_2_8*TblTech[[#This Row],[2-8]])</f>
        <v>206.44</v>
      </c>
      <c r="AQ7" s="69" t="n">
        <f aca="false">(1+race_food_consumption)*TblPop[[#This Row],[Total]]*food_per_person*(1+tech_1_10*TblTech[[#This Row],[1-10]]+tech_7_5*TblTech[[#This Row],[7-5]])</f>
        <v>429.5</v>
      </c>
      <c r="AR7" s="69" t="n">
        <f aca="false">TblProd[[#This Row],[Lumber]]*lumber_rot * (1 + tech_2_1*TblTech[[#This Row],[2-1]] + tech_2_8*TblTech[[#This Row],[2-8]] + tech_5_2*TblTech[[#This Row],[5-2]])</f>
        <v>0</v>
      </c>
      <c r="AS7" s="69" t="n">
        <f aca="false">TblProd[[#This Row],[Mana]]*mana_drain * (1 + tech_2_1*TblTech[[#This Row],[2-1]] + tech_2_8*TblTech[[#This Row],[2-8]])</f>
        <v>-73.5</v>
      </c>
      <c r="AT7" s="146"/>
      <c r="AU7" s="69" t="n">
        <f aca="false">TblExplore[[#This Row],[Platinum (2)]]+TblConstr[[#This Row],[Total Plat Cost]]+TblMili[[#This Row],[Plat Cost]]+TblRezone[[#This Row],[Platinum cost]]+TblImps[[#This Row],[P1]]-TblProd[[#This Row],[Bank Plat]]</f>
        <v>-450</v>
      </c>
      <c r="AV7" s="69" t="n">
        <f aca="false">TblConstr[[#This Row],[Total Lum Cost]]+TblImps[[#This Row],[L1]]-TblProd[[#This Row],[Bank Lumber]] + Military!$CL$25*TblMili[[#This Row],[Sec. rec. Cost]]</f>
        <v>900</v>
      </c>
      <c r="AW7" s="69" t="n">
        <f aca="false">TblMagic[[#This Row],[Mana cost]] + Military!$CL$26*TblMili[[#This Row],[Sec. rec. Cost]]</f>
        <v>1250</v>
      </c>
      <c r="AX7" s="69" t="n">
        <f aca="false">Military!$CL$24*TblMili[[#This Row],[Sec. rec. Cost]]+TblImps[[#This Row],[O1]]-TblProd[[#This Row],[Bank Ore]]</f>
        <v>0</v>
      </c>
      <c r="AY7" s="69" t="n">
        <f aca="false">TblImps[[#This Row],[G1]]-TblProd[[#This Row],[Bank Gems]]</f>
        <v>0</v>
      </c>
      <c r="AZ7" s="132"/>
      <c r="BA7" s="33" t="n">
        <f aca="false">IF(TblProd[[#This Row],[Set Guard]]&lt;&gt;"",TblProd[[#This Row],[Set Guard]],OFFSET(TblProd[[#This Row],[Guard]],-1,0))</f>
        <v>0</v>
      </c>
      <c r="BB7" s="145"/>
      <c r="BC7" s="151" t="n">
        <f aca="false">TblProd[[#This Row],[Hour]]</f>
        <v>4</v>
      </c>
      <c r="BD7" s="152" t="n">
        <f aca="false">-TblProd[[#This Row],[Bank Lumber]] / 2 + -TblProd[[#This Row],[Bank Gems]] * 2 + -TblProd[[#This Row],[Bank Ore]] / 2</f>
        <v>450</v>
      </c>
      <c r="BE7" s="152" t="n">
        <v>-900</v>
      </c>
      <c r="BF7" s="152"/>
      <c r="BG7" s="152"/>
      <c r="BH7" s="153" t="n">
        <f aca="false">TblProd[[#This Row],[Time]]</f>
        <v>45429.875</v>
      </c>
      <c r="BI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J7" s="69" t="n">
        <f aca="false">TblProd[[#This Row],[Platinum]]</f>
        <v>25970</v>
      </c>
      <c r="BK7" s="69" t="n">
        <f aca="false">TblProd[[#This Row],[Food]]</f>
        <v>20644</v>
      </c>
      <c r="BL7" s="69" t="n">
        <f aca="false">TblProd[[#This Row],[Lumber]]</f>
        <v>0</v>
      </c>
      <c r="BM7" s="69" t="n">
        <f aca="false">TblProd[[#This Row],[Mana]]</f>
        <v>-3675</v>
      </c>
      <c r="BN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c r="H8" s="69" t="e">
        <f aca="false">TblMili[[#This Row],[Networth (2)]]</f>
        <v>#VALUE!</v>
      </c>
      <c r="I8" s="69" t="n">
        <f aca="false">OFFSET(TblProd[[#This Row],[Platinum]],-1,0)+OFFSET(TblProd[[#This Row],[Plat/hr]],-1,0) - TblProd[[#This Row],[Expenses Platinum]] + IF(TblProd[[#This Row],[Plat Bonus]],TblPop[[#This Row],[Peasants]]*4) + SUM(TblConstr[[#This Row],[Dest Hom]:[Dest Doc]])*TblConstr[[#This Row],[CPA Platinum -DB]]*tech_3_3_2*TblTech[[#This Row],[3-3]]</f>
        <v>31490</v>
      </c>
      <c r="J8" s="69" t="n">
        <f aca="false">OFFSET(TblProd[[#This Row],[Food]],-1,0)+OFFSET(TblProd[[#This Row],[Food/hr]],-1,0)+ROUNDUP((TblConstr[[#This Row],[Farms]]*80+TblConstr[[#This Row],[Docks]]*35)*(1+OFFSET(TblProd[[#This Row],[Bonus Food/hr]],-1,0)),0)</f>
        <v>22468</v>
      </c>
      <c r="K8" s="69" t="n">
        <f aca="false">OFFSET(TblProd[[#This Row],[Lumber]],-1,0)+OFFSET(TblProd[[#This Row],[Lumber/hr]],-1,0) - TblProd[[#This Row],[Expenses Lumber]] + SUM(TblConstr[[#This Row],[Dest Hom]:[Dest Doc]])*TblConstr[[#This Row],[CPA Lumber -DB]]*tech_3_3_2*TblTech[[#This Row],[3-3]]</f>
        <v>0</v>
      </c>
      <c r="L8" s="69" t="n">
        <f aca="false">OFFSET(TblProd[[#This Row],[Mana]],-1,0)+OFFSET(TblProd[[#This Row],[Mana/hr]],-1,0)- TblProd[[#This Row],[Expenses Mana]]</f>
        <v>-4851</v>
      </c>
      <c r="M8" s="69" t="n">
        <f aca="false">OFFSET(TblProd[[#This Row],[Ore]],-1,0)+OFFSET(TblProd[[#This Row],[Ore/hr]],-1,0) -TblProd[[#This Row],[Expenses Ore]]</f>
        <v>0</v>
      </c>
      <c r="N8" s="69" t="n">
        <f aca="false">OFFSET(TblProd[[#This Row],[Gems]],-1,0)+OFFSET(TblProd[[#This Row],[Gems/hr]],-1,0) - TblProd[[#This Row],[Expenses Gems]]</f>
        <v>0</v>
      </c>
      <c r="O8" s="69" t="n">
        <f aca="false">OFFSET(TblProd[[#This Row],[Boats]],-1,0)+OFFSET(TblProd[[#This Row],[Boats/hr]],-1,0)</f>
        <v>0</v>
      </c>
      <c r="P8" s="69" t="n">
        <f aca="false">OFFSET(TblProd[[#This Row],[Prestige]],-1,0)</f>
        <v>250</v>
      </c>
      <c r="Q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8" s="69" t="n">
        <f aca="false">MAX(3750,_xlfn.CEILING.MATH(TblProd[[#This Row],[Land]]*2.5+OFFSET(TblTech[[#This Row],[Sum of tech]],-1,0)*150))</f>
        <v>3750</v>
      </c>
      <c r="S8" s="132"/>
      <c r="T8" s="69" t="n">
        <f aca="false">ROUNDDOWN(TblProd[[#This Row],[Raw Plat/hr]]*(1+TblProd[[#This Row],[Bonus Plat/hr]]),0)</f>
        <v>5143</v>
      </c>
      <c r="U8" s="69" t="n">
        <f aca="false">ROUND(TblProd[[#This Row],[Raw Food/hr]]*(1+TblProd[[#This Row],[Bonus Food/hr]])-TblProd[[#This Row],[Food decay]]-TblProd[[#This Row],[Food eaten]],0)</f>
        <v>1796</v>
      </c>
      <c r="V8" s="69" t="n">
        <f aca="false">ROUND(TblProd[[#This Row],[Raw Lumber/hr]]*(1+TblProd[[#This Row],[Bonus Lumber/hr]])-TblProd[[#This Row],[Lumber rot]],0)</f>
        <v>900</v>
      </c>
      <c r="W8" s="69" t="n">
        <f aca="false">ROUND(TblProd[[#This Row],[Raw Mana/hr]]*(1+TblProd[[#This Row],[Bonus Mana/hr]])-TblProd[[#This Row],[Mana drain]],0)</f>
        <v>97</v>
      </c>
      <c r="X8" s="69" t="n">
        <f aca="false">ROUNDDOWN(TblProd[[#This Row],[Raw Ore/hr]]*(1+TblProd[[#This Row],[Bonux Ore/hr]]),0)</f>
        <v>0</v>
      </c>
      <c r="Y8" s="69" t="n">
        <f aca="false">ROUNDDOWN(TblProd[[#This Row],[Raw Gems/hr]]*(1+TblProd[[#This Row],[Bonus Gems/hr]]),0)</f>
        <v>0</v>
      </c>
      <c r="Z8" s="148" t="n">
        <f aca="false">OFFSET(TblConstr[[#This Row],[Tot Doc]],1,0)*dock_boats_hr * (1 + tech_4_1*TblTech[[#This Row],[4-1]])</f>
        <v>0</v>
      </c>
      <c r="AA8" s="146"/>
      <c r="AB8" s="69" t="n">
        <f aca="false">TblPop[[#This Row],[Peasants]]*tax*TblPop[[#This Row],[Employment]] + (Construction!AZ9+Construction!BX9)*(alch_plat+(Magic!AM8&gt;0)*alchemist_flame_bonus)</f>
        <v>5143.5</v>
      </c>
      <c r="AC8" s="69" t="n">
        <f aca="false">TblConstr[[#This Row],[Tot Farm]]*farm_food + TblConstr[[#This Row],[Tot Doc]]*dock_food</f>
        <v>2400</v>
      </c>
      <c r="AD8" s="69" t="n">
        <f aca="false">TblConstr[[#This Row],[Tot Ly]]*ly_lumber + TblConstr[[#This Row],[Tot Hav]]*fh_lumber</f>
        <v>1000</v>
      </c>
      <c r="AE8" s="69" t="n">
        <f aca="false">OFFSET(TblConstr[[#This Row],[Tot Tow]],1,0)*(tower_mana + tech_4_5*TblTech[[#This Row],[4-5]]) + OFFSET(TblConstr[[#This Row],[Tot WG]],1,0)*wg_mana_prod</f>
        <v>0</v>
      </c>
      <c r="AF8" s="69" t="n">
        <f aca="false">OFFSET(TblConstr[[#This Row],[Tot OM]],1,0)*om_ore+IF(race="Dwarf",ROUNDDOWN(TblMili[[#This Row],[Unit 2]]*0.4,0),)</f>
        <v>0</v>
      </c>
      <c r="AG8" s="69" t="n">
        <f aca="false">OFFSET(TblConstr[[#This Row],[Tot DM]],1,0)*dm_gems</f>
        <v>0</v>
      </c>
      <c r="AH8" s="132"/>
      <c r="AI8" s="149" t="n">
        <f aca="false">MIN(race_platinum_bonus + IF(TblMagic[[#This Row],[Active Alch Frost]]&gt;0,alch_frost_bonus,IF(Magic!AD8&gt;0,midas_bonus)) + TblImps[[#This Row],[Science]] - TblProd[[#This Row],[Guard]]*(0.02 + tech_5_7*TblTech[[#This Row],[5-7]]) + tech_1_5*TblTech[[#This Row],[1-5]] + tech_4_4*TblTech[[#This Row],[4-4]], 0.5)</f>
        <v>0</v>
      </c>
      <c r="AJ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 s="149" t="n">
        <f aca="false">race_lumber_bonus+ IF(TblMagic[[#This Row],[Active Gaia''s Blessing]]&gt;0,gaias_blessing_lumber)+ tech_1_3*TblTech[[#This Row],[1-3]] + tech_1_6*TblTech[[#This Row],[1-6]] + tech_3_3*TblTech[[#This Row],[3-3]]</f>
        <v>-0.1</v>
      </c>
      <c r="AL8" s="149" t="n">
        <f aca="false">race_mana_bonus+ 0 + TblImps[[#This Row],[Towers]] + tech_1_2*TblTech[[#This Row],[1-2]] + tech_3_4*TblTech[[#This Row],[3-4]]</f>
        <v>0</v>
      </c>
      <c r="AM8" s="149" t="n">
        <f aca="false">race_ore_bonus + IF(TblMagic[[#This Row],[Active Miner''s Sight]]&gt;0,miners_sight_bonus,IF(TblMagic[[#This Row],[Active Mining Strength]]&gt;0,mining_strength_bonus)) +  tech_1_6*TblTech[[#This Row],[1-6]]</f>
        <v>0.2</v>
      </c>
      <c r="AN8" s="149" t="n">
        <f aca="false">race_gem_bonus+ tech_3_2*TblTech[[#This Row],[3-2]] + tech_4_3*TblTech[[#This Row],[4-3]] + tech_6_2*TblTech[[#This Row],[6-2]]</f>
        <v>0.15</v>
      </c>
      <c r="AO8" s="132"/>
      <c r="AP8" s="69" t="n">
        <f aca="false">TblProd[[#This Row],[Food]]*food_decay * (1 + tech_2_1*TblTech[[#This Row],[2-1]] + tech_2_8*TblTech[[#This Row],[2-8]])</f>
        <v>224.68</v>
      </c>
      <c r="AQ8" s="69" t="n">
        <f aca="false">(1+race_food_consumption)*TblPop[[#This Row],[Total]]*food_per_person*(1+tech_1_10*TblTech[[#This Row],[1-10]]+tech_7_5*TblTech[[#This Row],[7-5]])</f>
        <v>439.75</v>
      </c>
      <c r="AR8" s="69" t="n">
        <f aca="false">TblProd[[#This Row],[Lumber]]*lumber_rot * (1 + tech_2_1*TblTech[[#This Row],[2-1]] + tech_2_8*TblTech[[#This Row],[2-8]] + tech_5_2*TblTech[[#This Row],[5-2]])</f>
        <v>0</v>
      </c>
      <c r="AS8" s="69" t="n">
        <f aca="false">TblProd[[#This Row],[Mana]]*mana_drain * (1 + tech_2_1*TblTech[[#This Row],[2-1]] + tech_2_8*TblTech[[#This Row],[2-8]])</f>
        <v>-97.02</v>
      </c>
      <c r="AT8" s="146"/>
      <c r="AU8" s="69" t="n">
        <f aca="false">TblExplore[[#This Row],[Platinum (2)]]+TblConstr[[#This Row],[Total Plat Cost]]+TblMili[[#This Row],[Plat Cost]]+TblRezone[[#This Row],[Platinum cost]]+TblImps[[#This Row],[P1]]-TblProd[[#This Row],[Bank Plat]]</f>
        <v>-450</v>
      </c>
      <c r="AV8" s="69" t="n">
        <f aca="false">TblConstr[[#This Row],[Total Lum Cost]]+TblImps[[#This Row],[L1]]-TblProd[[#This Row],[Bank Lumber]] + Military!$CL$25*TblMili[[#This Row],[Sec. rec. Cost]]</f>
        <v>900</v>
      </c>
      <c r="AW8" s="69" t="n">
        <f aca="false">TblMagic[[#This Row],[Mana cost]] + Military!$CL$26*TblMili[[#This Row],[Sec. rec. Cost]]</f>
        <v>1250</v>
      </c>
      <c r="AX8" s="69" t="n">
        <f aca="false">Military!$CL$24*TblMili[[#This Row],[Sec. rec. Cost]]+TblImps[[#This Row],[O1]]-TblProd[[#This Row],[Bank Ore]]</f>
        <v>0</v>
      </c>
      <c r="AY8" s="69" t="n">
        <f aca="false">TblImps[[#This Row],[G1]]-TblProd[[#This Row],[Bank Gems]]</f>
        <v>0</v>
      </c>
      <c r="AZ8" s="132"/>
      <c r="BA8" s="33" t="n">
        <f aca="false">IF(TblProd[[#This Row],[Set Guard]]&lt;&gt;"",TblProd[[#This Row],[Set Guard]],OFFSET(TblProd[[#This Row],[Guard]],-1,0))</f>
        <v>0</v>
      </c>
      <c r="BB8" s="145"/>
      <c r="BC8" s="151" t="n">
        <f aca="false">TblProd[[#This Row],[Hour]]</f>
        <v>5</v>
      </c>
      <c r="BD8" s="152" t="n">
        <f aca="false">-TblProd[[#This Row],[Bank Lumber]] / 2 + -TblProd[[#This Row],[Bank Gems]] * 2 + -TblProd[[#This Row],[Bank Ore]] / 2</f>
        <v>450</v>
      </c>
      <c r="BE8" s="152" t="n">
        <v>-900</v>
      </c>
      <c r="BF8" s="152"/>
      <c r="BG8" s="152"/>
      <c r="BH8" s="153" t="n">
        <f aca="false">TblProd[[#This Row],[Time]]</f>
        <v>45429.9166666667</v>
      </c>
      <c r="BI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J8" s="69" t="n">
        <f aca="false">TblProd[[#This Row],[Platinum]]</f>
        <v>31490</v>
      </c>
      <c r="BK8" s="69" t="n">
        <f aca="false">TblProd[[#This Row],[Food]]</f>
        <v>22468</v>
      </c>
      <c r="BL8" s="69" t="n">
        <f aca="false">TblProd[[#This Row],[Lumber]]</f>
        <v>0</v>
      </c>
      <c r="BM8" s="69" t="n">
        <f aca="false">TblProd[[#This Row],[Mana]]</f>
        <v>-4851</v>
      </c>
      <c r="BN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c r="H9" s="69" t="e">
        <f aca="false">TblMili[[#This Row],[Networth (2)]]</f>
        <v>#VALUE!</v>
      </c>
      <c r="I9" s="69" t="n">
        <f aca="false">OFFSET(TblProd[[#This Row],[Platinum]],-1,0)+OFFSET(TblProd[[#This Row],[Plat/hr]],-1,0) - TblProd[[#This Row],[Expenses Platinum]] + IF(TblProd[[#This Row],[Plat Bonus]],TblPop[[#This Row],[Peasants]]*4) + SUM(TblConstr[[#This Row],[Dest Hom]:[Dest Doc]])*TblConstr[[#This Row],[CPA Platinum -DB]]*tech_3_3_2*TblTech[[#This Row],[3-3]]</f>
        <v>16683</v>
      </c>
      <c r="J9" s="69" t="n">
        <f aca="false">OFFSET(TblProd[[#This Row],[Food]],-1,0)+OFFSET(TblProd[[#This Row],[Food/hr]],-1,0)+ROUNDUP((TblConstr[[#This Row],[Farms]]*80+TblConstr[[#This Row],[Docks]]*35)*(1+OFFSET(TblProd[[#This Row],[Bonus Food/hr]],-1,0)),0)</f>
        <v>24264</v>
      </c>
      <c r="K9" s="69" t="n">
        <f aca="false">OFFSET(TblProd[[#This Row],[Lumber]],-1,0)+OFFSET(TblProd[[#This Row],[Lumber/hr]],-1,0) - TblProd[[#This Row],[Expenses Lumber]] + SUM(TblConstr[[#This Row],[Dest Hom]:[Dest Doc]])*TblConstr[[#This Row],[CPA Lumber -DB]]*tech_3_3_2*TblTech[[#This Row],[3-3]]</f>
        <v>0</v>
      </c>
      <c r="L9" s="69" t="n">
        <f aca="false">OFFSET(TblProd[[#This Row],[Mana]],-1,0)+OFFSET(TblProd[[#This Row],[Mana/hr]],-1,0)- TblProd[[#This Row],[Expenses Mana]]</f>
        <v>-6004</v>
      </c>
      <c r="M9" s="69" t="n">
        <f aca="false">OFFSET(TblProd[[#This Row],[Ore]],-1,0)+OFFSET(TblProd[[#This Row],[Ore/hr]],-1,0) -TblProd[[#This Row],[Expenses Ore]]</f>
        <v>0</v>
      </c>
      <c r="N9" s="69" t="n">
        <f aca="false">OFFSET(TblProd[[#This Row],[Gems]],-1,0)+OFFSET(TblProd[[#This Row],[Gems/hr]],-1,0) - TblProd[[#This Row],[Expenses Gems]]</f>
        <v>0</v>
      </c>
      <c r="O9" s="69" t="n">
        <f aca="false">OFFSET(TblProd[[#This Row],[Boats]],-1,0)+OFFSET(TblProd[[#This Row],[Boats/hr]],-1,0)</f>
        <v>0</v>
      </c>
      <c r="P9" s="69" t="n">
        <f aca="false">OFFSET(TblProd[[#This Row],[Prestige]],-1,0)</f>
        <v>250</v>
      </c>
      <c r="Q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9" s="69" t="n">
        <f aca="false">MAX(3750,_xlfn.CEILING.MATH(TblProd[[#This Row],[Land]]*2.5+OFFSET(TblTech[[#This Row],[Sum of tech]],-1,0)*150))</f>
        <v>3750</v>
      </c>
      <c r="S9" s="132"/>
      <c r="T9" s="69" t="n">
        <f aca="false">ROUNDDOWN(TblProd[[#This Row],[Raw Plat/hr]]*(1+TblProd[[#This Row],[Bonus Plat/hr]]),0)</f>
        <v>5219</v>
      </c>
      <c r="U9" s="69" t="n">
        <f aca="false">ROUND(TblProd[[#This Row],[Raw Food/hr]]*(1+TblProd[[#This Row],[Bonus Food/hr]])-TblProd[[#This Row],[Food decay]]-TblProd[[#This Row],[Food eaten]],0)</f>
        <v>2271</v>
      </c>
      <c r="V9" s="69" t="n">
        <f aca="false">ROUND(TblProd[[#This Row],[Raw Lumber/hr]]*(1+TblProd[[#This Row],[Bonus Lumber/hr]])-TblProd[[#This Row],[Lumber rot]],0)</f>
        <v>1000</v>
      </c>
      <c r="W9" s="69" t="n">
        <f aca="false">ROUND(TblProd[[#This Row],[Raw Mana/hr]]*(1+TblProd[[#This Row],[Bonus Mana/hr]])-TblProd[[#This Row],[Mana drain]],0)</f>
        <v>120</v>
      </c>
      <c r="X9" s="69" t="n">
        <f aca="false">ROUNDDOWN(TblProd[[#This Row],[Raw Ore/hr]]*(1+TblProd[[#This Row],[Bonux Ore/hr]]),0)</f>
        <v>0</v>
      </c>
      <c r="Y9" s="69" t="n">
        <f aca="false">ROUNDDOWN(TblProd[[#This Row],[Raw Gems/hr]]*(1+TblProd[[#This Row],[Bonus Gems/hr]]),0)</f>
        <v>0</v>
      </c>
      <c r="Z9" s="148" t="n">
        <f aca="false">OFFSET(TblConstr[[#This Row],[Tot Doc]],1,0)*dock_boats_hr * (1 + tech_4_1*TblTech[[#This Row],[4-1]])</f>
        <v>0</v>
      </c>
      <c r="AA9" s="146"/>
      <c r="AB9" s="69" t="n">
        <f aca="false">TblPop[[#This Row],[Peasants]]*tax*TblPop[[#This Row],[Employment]] + (Construction!AZ10+Construction!BX10)*(alch_plat+(Magic!AM9&gt;0)*alchemist_flame_bonus)</f>
        <v>5219.1</v>
      </c>
      <c r="AC9" s="69" t="n">
        <f aca="false">TblConstr[[#This Row],[Tot Farm]]*farm_food + TblConstr[[#This Row],[Tot Doc]]*dock_food</f>
        <v>2400</v>
      </c>
      <c r="AD9" s="69" t="n">
        <f aca="false">TblConstr[[#This Row],[Tot Ly]]*ly_lumber + TblConstr[[#This Row],[Tot Hav]]*fh_lumber</f>
        <v>1000</v>
      </c>
      <c r="AE9" s="69" t="n">
        <f aca="false">OFFSET(TblConstr[[#This Row],[Tot Tow]],1,0)*(tower_mana + tech_4_5*TblTech[[#This Row],[4-5]]) + OFFSET(TblConstr[[#This Row],[Tot WG]],1,0)*wg_mana_prod</f>
        <v>0</v>
      </c>
      <c r="AF9" s="69" t="n">
        <f aca="false">OFFSET(TblConstr[[#This Row],[Tot OM]],1,0)*om_ore+IF(race="Dwarf",ROUNDDOWN(TblMili[[#This Row],[Unit 2]]*0.4,0),)</f>
        <v>0</v>
      </c>
      <c r="AG9" s="69" t="n">
        <f aca="false">OFFSET(TblConstr[[#This Row],[Tot DM]],1,0)*dm_gems</f>
        <v>0</v>
      </c>
      <c r="AH9" s="132"/>
      <c r="AI9" s="149" t="n">
        <f aca="false">MIN(race_platinum_bonus + IF(TblMagic[[#This Row],[Active Alch Frost]]&gt;0,alch_frost_bonus,IF(Magic!AD9&gt;0,midas_bonus)) + TblImps[[#This Row],[Science]] - TblProd[[#This Row],[Guard]]*(0.02 + tech_5_7*TblTech[[#This Row],[5-7]]) + tech_1_5*TblTech[[#This Row],[1-5]] + tech_4_4*TblTech[[#This Row],[4-4]], 0.5)</f>
        <v>0</v>
      </c>
      <c r="AJ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9" s="149" t="n">
        <f aca="false">race_lumber_bonus+ IF(TblMagic[[#This Row],[Active Gaia''s Blessing]]&gt;0,gaias_blessing_lumber)+ tech_1_3*TblTech[[#This Row],[1-3]] + tech_1_6*TblTech[[#This Row],[1-6]] + tech_3_3*TblTech[[#This Row],[3-3]]</f>
        <v>0</v>
      </c>
      <c r="AL9" s="149" t="n">
        <f aca="false">race_mana_bonus+ 0 + TblImps[[#This Row],[Towers]] + tech_1_2*TblTech[[#This Row],[1-2]] + tech_3_4*TblTech[[#This Row],[3-4]]</f>
        <v>0</v>
      </c>
      <c r="AM9" s="149" t="n">
        <f aca="false">race_ore_bonus + IF(TblMagic[[#This Row],[Active Miner''s Sight]]&gt;0,miners_sight_bonus,IF(TblMagic[[#This Row],[Active Mining Strength]]&gt;0,mining_strength_bonus)) +  tech_1_6*TblTech[[#This Row],[1-6]]</f>
        <v>0.2</v>
      </c>
      <c r="AN9" s="149" t="n">
        <f aca="false">race_gem_bonus+ tech_3_2*TblTech[[#This Row],[3-2]] + tech_4_3*TblTech[[#This Row],[4-3]] + tech_6_2*TblTech[[#This Row],[6-2]]</f>
        <v>0.15</v>
      </c>
      <c r="AO9" s="132"/>
      <c r="AP9" s="69" t="n">
        <f aca="false">TblProd[[#This Row],[Food]]*food_decay * (1 + tech_2_1*TblTech[[#This Row],[2-1]] + tech_2_8*TblTech[[#This Row],[2-8]])</f>
        <v>242.64</v>
      </c>
      <c r="AQ9" s="69" t="n">
        <f aca="false">(1+race_food_consumption)*TblPop[[#This Row],[Total]]*food_per_person*(1+tech_1_10*TblTech[[#This Row],[1-10]]+tech_7_5*TblTech[[#This Row],[7-5]])</f>
        <v>426.25</v>
      </c>
      <c r="AR9" s="69" t="n">
        <f aca="false">TblProd[[#This Row],[Lumber]]*lumber_rot * (1 + tech_2_1*TblTech[[#This Row],[2-1]] + tech_2_8*TblTech[[#This Row],[2-8]] + tech_5_2*TblTech[[#This Row],[5-2]])</f>
        <v>0</v>
      </c>
      <c r="AS9" s="69" t="n">
        <f aca="false">TblProd[[#This Row],[Mana]]*mana_drain * (1 + tech_2_1*TblTech[[#This Row],[2-1]] + tech_2_8*TblTech[[#This Row],[2-8]])</f>
        <v>-120.08</v>
      </c>
      <c r="AT9" s="146"/>
      <c r="AU9" s="69" t="n">
        <f aca="false">TblExplore[[#This Row],[Platinum (2)]]+TblConstr[[#This Row],[Total Plat Cost]]+TblMili[[#This Row],[Plat Cost]]+TblRezone[[#This Row],[Platinum cost]]+TblImps[[#This Row],[P1]]-TblProd[[#This Row],[Bank Plat]]</f>
        <v>19950</v>
      </c>
      <c r="AV9" s="69" t="n">
        <f aca="false">TblConstr[[#This Row],[Total Lum Cost]]+TblImps[[#This Row],[L1]]-TblProd[[#This Row],[Bank Lumber]] + Military!$CL$25*TblMili[[#This Row],[Sec. rec. Cost]]</f>
        <v>900</v>
      </c>
      <c r="AW9" s="69" t="n">
        <f aca="false">TblMagic[[#This Row],[Mana cost]] + Military!$CL$26*TblMili[[#This Row],[Sec. rec. Cost]]</f>
        <v>1250</v>
      </c>
      <c r="AX9" s="69" t="n">
        <f aca="false">Military!$CL$24*TblMili[[#This Row],[Sec. rec. Cost]]+TblImps[[#This Row],[O1]]-TblProd[[#This Row],[Bank Ore]]</f>
        <v>0</v>
      </c>
      <c r="AY9" s="69" t="n">
        <f aca="false">TblImps[[#This Row],[G1]]-TblProd[[#This Row],[Bank Gems]]</f>
        <v>0</v>
      </c>
      <c r="AZ9" s="132"/>
      <c r="BA9" s="33" t="n">
        <f aca="false">IF(TblProd[[#This Row],[Set Guard]]&lt;&gt;"",TblProd[[#This Row],[Set Guard]],OFFSET(TblProd[[#This Row],[Guard]],-1,0))</f>
        <v>0</v>
      </c>
      <c r="BB9" s="145"/>
      <c r="BC9" s="151" t="n">
        <f aca="false">TblProd[[#This Row],[Hour]]</f>
        <v>6</v>
      </c>
      <c r="BD9" s="152" t="n">
        <f aca="false">-TblProd[[#This Row],[Bank Lumber]] / 2 + -TblProd[[#This Row],[Bank Gems]] * 2 + -TblProd[[#This Row],[Bank Ore]] / 2</f>
        <v>450</v>
      </c>
      <c r="BE9" s="152" t="n">
        <v>-900</v>
      </c>
      <c r="BF9" s="152"/>
      <c r="BG9" s="152"/>
      <c r="BH9" s="153" t="n">
        <f aca="false">TblProd[[#This Row],[Time]]</f>
        <v>45429.9583333333</v>
      </c>
      <c r="BI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J9" s="69" t="n">
        <f aca="false">TblProd[[#This Row],[Platinum]]</f>
        <v>16683</v>
      </c>
      <c r="BK9" s="69" t="n">
        <f aca="false">TblProd[[#This Row],[Food]]</f>
        <v>24264</v>
      </c>
      <c r="BL9" s="69" t="n">
        <f aca="false">TblProd[[#This Row],[Lumber]]</f>
        <v>0</v>
      </c>
      <c r="BM9" s="69" t="n">
        <f aca="false">TblProd[[#This Row],[Mana]]</f>
        <v>-6004</v>
      </c>
      <c r="BN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c r="H10" s="69" t="e">
        <f aca="false">TblMili[[#This Row],[Networth (2)]]</f>
        <v>#VALUE!</v>
      </c>
      <c r="I10" s="69" t="n">
        <f aca="false">OFFSET(TblProd[[#This Row],[Platinum]],-1,0)+OFFSET(TblProd[[#This Row],[Plat/hr]],-1,0) - TblProd[[#This Row],[Expenses Platinum]] + IF(TblProd[[#This Row],[Plat Bonus]],TblPop[[#This Row],[Peasants]]*4) + SUM(TblConstr[[#This Row],[Dest Hom]:[Dest Doc]])*TblConstr[[#This Row],[CPA Platinum -DB]]*tech_3_3_2*TblTech[[#This Row],[3-3]]</f>
        <v>21502</v>
      </c>
      <c r="J10" s="69" t="n">
        <f aca="false">OFFSET(TblProd[[#This Row],[Food]],-1,0)+OFFSET(TblProd[[#This Row],[Food/hr]],-1,0)+ROUNDUP((TblConstr[[#This Row],[Farms]]*80+TblConstr[[#This Row],[Docks]]*35)*(1+OFFSET(TblProd[[#This Row],[Bonus Food/hr]],-1,0)),0)</f>
        <v>26535</v>
      </c>
      <c r="K10" s="69" t="n">
        <f aca="false">OFFSET(TblProd[[#This Row],[Lumber]],-1,0)+OFFSET(TblProd[[#This Row],[Lumber/hr]],-1,0) - TblProd[[#This Row],[Expenses Lumber]] + SUM(TblConstr[[#This Row],[Dest Hom]:[Dest Doc]])*TblConstr[[#This Row],[CPA Lumber -DB]]*tech_3_3_2*TblTech[[#This Row],[3-3]]</f>
        <v>100</v>
      </c>
      <c r="L10" s="69" t="n">
        <f aca="false">OFFSET(TblProd[[#This Row],[Mana]],-1,0)+OFFSET(TblProd[[#This Row],[Mana/hr]],-1,0)- TblProd[[#This Row],[Expenses Mana]]</f>
        <v>-7134</v>
      </c>
      <c r="M10" s="69" t="n">
        <f aca="false">OFFSET(TblProd[[#This Row],[Ore]],-1,0)+OFFSET(TblProd[[#This Row],[Ore/hr]],-1,0) -TblProd[[#This Row],[Expenses Ore]]</f>
        <v>0</v>
      </c>
      <c r="N10" s="69" t="n">
        <f aca="false">OFFSET(TblProd[[#This Row],[Gems]],-1,0)+OFFSET(TblProd[[#This Row],[Gems/hr]],-1,0) - TblProd[[#This Row],[Expenses Gems]]</f>
        <v>0</v>
      </c>
      <c r="O10" s="69" t="n">
        <f aca="false">OFFSET(TblProd[[#This Row],[Boats]],-1,0)+OFFSET(TblProd[[#This Row],[Boats/hr]],-1,0)</f>
        <v>0</v>
      </c>
      <c r="P10" s="69" t="n">
        <f aca="false">OFFSET(TblProd[[#This Row],[Prestige]],-1,0)</f>
        <v>250</v>
      </c>
      <c r="Q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0" s="69" t="n">
        <f aca="false">MAX(3750,_xlfn.CEILING.MATH(TblProd[[#This Row],[Land]]*2.5+OFFSET(TblTech[[#This Row],[Sum of tech]],-1,0)*150))</f>
        <v>3750</v>
      </c>
      <c r="S10" s="132"/>
      <c r="T10" s="69" t="n">
        <f aca="false">ROUNDDOWN(TblProd[[#This Row],[Raw Plat/hr]]*(1+TblProd[[#This Row],[Bonus Plat/hr]]),0)</f>
        <v>5297</v>
      </c>
      <c r="U10" s="69" t="n">
        <f aca="false">ROUND(TblProd[[#This Row],[Raw Food/hr]]*(1+TblProd[[#This Row],[Bonus Food/hr]])-TblProd[[#This Row],[Food decay]]-TblProd[[#This Row],[Food eaten]],0)</f>
        <v>2239</v>
      </c>
      <c r="V10" s="69" t="n">
        <f aca="false">ROUND(TblProd[[#This Row],[Raw Lumber/hr]]*(1+TblProd[[#This Row],[Bonus Lumber/hr]])-TblProd[[#This Row],[Lumber rot]],0)</f>
        <v>999</v>
      </c>
      <c r="W10" s="69" t="n">
        <f aca="false">ROUND(TblProd[[#This Row],[Raw Mana/hr]]*(1+TblProd[[#This Row],[Bonus Mana/hr]])-TblProd[[#This Row],[Mana drain]],0)</f>
        <v>143</v>
      </c>
      <c r="X10" s="69" t="n">
        <f aca="false">ROUNDDOWN(TblProd[[#This Row],[Raw Ore/hr]]*(1+TblProd[[#This Row],[Bonux Ore/hr]]),0)</f>
        <v>0</v>
      </c>
      <c r="Y10" s="69" t="n">
        <f aca="false">ROUNDDOWN(TblProd[[#This Row],[Raw Gems/hr]]*(1+TblProd[[#This Row],[Bonus Gems/hr]]),0)</f>
        <v>0</v>
      </c>
      <c r="Z10" s="148" t="n">
        <f aca="false">OFFSET(TblConstr[[#This Row],[Tot Doc]],1,0)*dock_boats_hr * (1 + tech_4_1*TblTech[[#This Row],[4-1]])</f>
        <v>0</v>
      </c>
      <c r="AA10" s="146"/>
      <c r="AB10" s="69" t="n">
        <f aca="false">TblPop[[#This Row],[Peasants]]*tax*TblPop[[#This Row],[Employment]] + (Construction!AZ11+Construction!BX11)*(alch_plat+(Magic!AM10&gt;0)*alchemist_flame_bonus)</f>
        <v>5297.4</v>
      </c>
      <c r="AC10" s="69" t="n">
        <f aca="false">TblConstr[[#This Row],[Tot Farm]]*farm_food + TblConstr[[#This Row],[Tot Doc]]*dock_food</f>
        <v>2400</v>
      </c>
      <c r="AD10" s="69" t="n">
        <f aca="false">TblConstr[[#This Row],[Tot Ly]]*ly_lumber + TblConstr[[#This Row],[Tot Hav]]*fh_lumber</f>
        <v>1000</v>
      </c>
      <c r="AE10" s="69" t="n">
        <f aca="false">OFFSET(TblConstr[[#This Row],[Tot Tow]],1,0)*(tower_mana + tech_4_5*TblTech[[#This Row],[4-5]]) + OFFSET(TblConstr[[#This Row],[Tot WG]],1,0)*wg_mana_prod</f>
        <v>0</v>
      </c>
      <c r="AF10" s="69" t="n">
        <f aca="false">OFFSET(TblConstr[[#This Row],[Tot OM]],1,0)*om_ore+IF(race="Dwarf",ROUNDDOWN(TblMili[[#This Row],[Unit 2]]*0.4,0),)</f>
        <v>0</v>
      </c>
      <c r="AG10" s="69" t="n">
        <f aca="false">OFFSET(TblConstr[[#This Row],[Tot DM]],1,0)*dm_gems</f>
        <v>0</v>
      </c>
      <c r="AH10" s="132"/>
      <c r="AI10" s="149" t="n">
        <f aca="false">MIN(race_platinum_bonus + IF(TblMagic[[#This Row],[Active Alch Frost]]&gt;0,alch_frost_bonus,IF(Magic!AD10&gt;0,midas_bonus)) + TblImps[[#This Row],[Science]] - TblProd[[#This Row],[Guard]]*(0.02 + tech_5_7*TblTech[[#This Row],[5-7]]) + tech_1_5*TblTech[[#This Row],[1-5]] + tech_4_4*TblTech[[#This Row],[4-4]], 0.5)</f>
        <v>0</v>
      </c>
      <c r="AJ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0" s="149" t="n">
        <f aca="false">race_lumber_bonus+ IF(TblMagic[[#This Row],[Active Gaia''s Blessing]]&gt;0,gaias_blessing_lumber)+ tech_1_3*TblTech[[#This Row],[1-3]] + tech_1_6*TblTech[[#This Row],[1-6]] + tech_3_3*TblTech[[#This Row],[3-3]]</f>
        <v>0</v>
      </c>
      <c r="AL10" s="149" t="n">
        <f aca="false">race_mana_bonus+ 0 + TblImps[[#This Row],[Towers]] + tech_1_2*TblTech[[#This Row],[1-2]] + tech_3_4*TblTech[[#This Row],[3-4]]</f>
        <v>0</v>
      </c>
      <c r="AM10" s="149" t="n">
        <f aca="false">race_ore_bonus + IF(TblMagic[[#This Row],[Active Miner''s Sight]]&gt;0,miners_sight_bonus,IF(TblMagic[[#This Row],[Active Mining Strength]]&gt;0,mining_strength_bonus)) +  tech_1_6*TblTech[[#This Row],[1-6]]</f>
        <v>0.2</v>
      </c>
      <c r="AN10" s="149" t="n">
        <f aca="false">race_gem_bonus+ tech_3_2*TblTech[[#This Row],[3-2]] + tech_4_3*TblTech[[#This Row],[4-3]] + tech_6_2*TblTech[[#This Row],[6-2]]</f>
        <v>0.15</v>
      </c>
      <c r="AO10" s="132"/>
      <c r="AP10" s="69" t="n">
        <f aca="false">TblProd[[#This Row],[Food]]*food_decay * (1 + tech_2_1*TblTech[[#This Row],[2-1]] + tech_2_8*TblTech[[#This Row],[2-8]])</f>
        <v>265.35</v>
      </c>
      <c r="AQ10" s="69" t="n">
        <f aca="false">(1+race_food_consumption)*TblPop[[#This Row],[Total]]*food_per_person*(1+tech_1_10*TblTech[[#This Row],[1-10]]+tech_7_5*TblTech[[#This Row],[7-5]])</f>
        <v>436</v>
      </c>
      <c r="AR10" s="69" t="n">
        <f aca="false">TblProd[[#This Row],[Lumber]]*lumber_rot * (1 + tech_2_1*TblTech[[#This Row],[2-1]] + tech_2_8*TblTech[[#This Row],[2-8]] + tech_5_2*TblTech[[#This Row],[5-2]])</f>
        <v>1</v>
      </c>
      <c r="AS10" s="69" t="n">
        <f aca="false">TblProd[[#This Row],[Mana]]*mana_drain * (1 + tech_2_1*TblTech[[#This Row],[2-1]] + tech_2_8*TblTech[[#This Row],[2-8]])</f>
        <v>-142.68</v>
      </c>
      <c r="AT10" s="146"/>
      <c r="AU10" s="69" t="n">
        <f aca="false">TblExplore[[#This Row],[Platinum (2)]]+TblConstr[[#This Row],[Total Plat Cost]]+TblMili[[#This Row],[Plat Cost]]+TblRezone[[#This Row],[Platinum cost]]+TblImps[[#This Row],[P1]]-TblProd[[#This Row],[Bank Plat]]</f>
        <v>400</v>
      </c>
      <c r="AV10" s="69" t="n">
        <f aca="false">TblConstr[[#This Row],[Total Lum Cost]]+TblImps[[#This Row],[L1]]-TblProd[[#This Row],[Bank Lumber]] + Military!$CL$25*TblMili[[#This Row],[Sec. rec. Cost]]</f>
        <v>900</v>
      </c>
      <c r="AW10" s="69" t="n">
        <f aca="false">TblMagic[[#This Row],[Mana cost]] + Military!$CL$26*TblMili[[#This Row],[Sec. rec. Cost]]</f>
        <v>1250</v>
      </c>
      <c r="AX10" s="69" t="n">
        <f aca="false">Military!$CL$24*TblMili[[#This Row],[Sec. rec. Cost]]+TblImps[[#This Row],[O1]]-TblProd[[#This Row],[Bank Ore]]</f>
        <v>0</v>
      </c>
      <c r="AY10" s="69" t="n">
        <f aca="false">TblImps[[#This Row],[G1]]-TblProd[[#This Row],[Bank Gems]]</f>
        <v>0</v>
      </c>
      <c r="AZ10" s="132"/>
      <c r="BA10" s="33" t="n">
        <f aca="false">IF(TblProd[[#This Row],[Set Guard]]&lt;&gt;"",TblProd[[#This Row],[Set Guard]],OFFSET(TblProd[[#This Row],[Guard]],-1,0))</f>
        <v>0</v>
      </c>
      <c r="BB10" s="145"/>
      <c r="BC10" s="151" t="n">
        <f aca="false">TblProd[[#This Row],[Hour]]</f>
        <v>7</v>
      </c>
      <c r="BD10" s="152" t="n">
        <f aca="false">-TblProd[[#This Row],[Bank Lumber]] / 2 + -TblProd[[#This Row],[Bank Gems]] * 2 + -TblProd[[#This Row],[Bank Ore]] / 2</f>
        <v>450</v>
      </c>
      <c r="BE10" s="152" t="n">
        <v>-900</v>
      </c>
      <c r="BF10" s="152"/>
      <c r="BG10" s="152"/>
      <c r="BH10" s="153" t="n">
        <f aca="false">TblProd[[#This Row],[Time]]</f>
        <v>45430</v>
      </c>
      <c r="BI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J10" s="69" t="n">
        <f aca="false">TblProd[[#This Row],[Platinum]]</f>
        <v>21502</v>
      </c>
      <c r="BK10" s="69" t="n">
        <f aca="false">TblProd[[#This Row],[Food]]</f>
        <v>26535</v>
      </c>
      <c r="BL10" s="69" t="n">
        <f aca="false">TblProd[[#This Row],[Lumber]]</f>
        <v>100</v>
      </c>
      <c r="BM10" s="69" t="n">
        <f aca="false">TblProd[[#This Row],[Mana]]</f>
        <v>-7134</v>
      </c>
      <c r="BN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c r="H11" s="69" t="e">
        <f aca="false">TblMili[[#This Row],[Networth (2)]]</f>
        <v>#VALUE!</v>
      </c>
      <c r="I11" s="69" t="n">
        <f aca="false">OFFSET(TblProd[[#This Row],[Platinum]],-1,0)+OFFSET(TblProd[[#This Row],[Plat/hr]],-1,0) - TblProd[[#This Row],[Expenses Platinum]] + IF(TblProd[[#This Row],[Plat Bonus]],TblPop[[#This Row],[Peasants]]*4) + SUM(TblConstr[[#This Row],[Dest Hom]:[Dest Doc]])*TblConstr[[#This Row],[CPA Platinum -DB]]*tech_3_3_2*TblTech[[#This Row],[3-3]]</f>
        <v>26399</v>
      </c>
      <c r="J11" s="69" t="n">
        <f aca="false">OFFSET(TblProd[[#This Row],[Food]],-1,0)+OFFSET(TblProd[[#This Row],[Food/hr]],-1,0)+ROUNDUP((TblConstr[[#This Row],[Farms]]*80+TblConstr[[#This Row],[Docks]]*35)*(1+OFFSET(TblProd[[#This Row],[Bonus Food/hr]],-1,0)),0)</f>
        <v>28774</v>
      </c>
      <c r="K11" s="69" t="n">
        <f aca="false">OFFSET(TblProd[[#This Row],[Lumber]],-1,0)+OFFSET(TblProd[[#This Row],[Lumber/hr]],-1,0) - TblProd[[#This Row],[Expenses Lumber]] + SUM(TblConstr[[#This Row],[Dest Hom]:[Dest Doc]])*TblConstr[[#This Row],[CPA Lumber -DB]]*tech_3_3_2*TblTech[[#This Row],[3-3]]</f>
        <v>199</v>
      </c>
      <c r="L11" s="69" t="n">
        <f aca="false">OFFSET(TblProd[[#This Row],[Mana]],-1,0)+OFFSET(TblProd[[#This Row],[Mana/hr]],-1,0)- TblProd[[#This Row],[Expenses Mana]]</f>
        <v>-8241</v>
      </c>
      <c r="M11" s="69" t="n">
        <f aca="false">OFFSET(TblProd[[#This Row],[Ore]],-1,0)+OFFSET(TblProd[[#This Row],[Ore/hr]],-1,0) -TblProd[[#This Row],[Expenses Ore]]</f>
        <v>0</v>
      </c>
      <c r="N11" s="69" t="n">
        <f aca="false">OFFSET(TblProd[[#This Row],[Gems]],-1,0)+OFFSET(TblProd[[#This Row],[Gems/hr]],-1,0) - TblProd[[#This Row],[Expenses Gems]]</f>
        <v>0</v>
      </c>
      <c r="O11" s="69" t="n">
        <f aca="false">OFFSET(TblProd[[#This Row],[Boats]],-1,0)+OFFSET(TblProd[[#This Row],[Boats/hr]],-1,0)</f>
        <v>0</v>
      </c>
      <c r="P11" s="69" t="n">
        <f aca="false">OFFSET(TblProd[[#This Row],[Prestige]],-1,0)</f>
        <v>250</v>
      </c>
      <c r="Q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1" s="69" t="n">
        <f aca="false">MAX(3750,_xlfn.CEILING.MATH(TblProd[[#This Row],[Land]]*2.5+OFFSET(TblTech[[#This Row],[Sum of tech]],-1,0)*150))</f>
        <v>3750</v>
      </c>
      <c r="S11" s="132"/>
      <c r="T11" s="69" t="n">
        <f aca="false">ROUNDDOWN(TblProd[[#This Row],[Raw Plat/hr]]*(1+TblProd[[#This Row],[Bonus Plat/hr]]),0)</f>
        <v>6178</v>
      </c>
      <c r="U11" s="69" t="n">
        <f aca="false">ROUND(TblProd[[#This Row],[Raw Food/hr]]*(1+TblProd[[#This Row],[Bonus Food/hr]])-TblProd[[#This Row],[Food decay]]-TblProd[[#This Row],[Food eaten]],0)</f>
        <v>2207</v>
      </c>
      <c r="V11" s="69" t="n">
        <f aca="false">ROUND(TblProd[[#This Row],[Raw Lumber/hr]]*(1+TblProd[[#This Row],[Bonus Lumber/hr]])-TblProd[[#This Row],[Lumber rot]],0)</f>
        <v>998</v>
      </c>
      <c r="W11" s="69" t="n">
        <f aca="false">ROUND(TblProd[[#This Row],[Raw Mana/hr]]*(1+TblProd[[#This Row],[Bonus Mana/hr]])-TblProd[[#This Row],[Mana drain]],0)</f>
        <v>165</v>
      </c>
      <c r="X11" s="69" t="n">
        <f aca="false">ROUNDDOWN(TblProd[[#This Row],[Raw Ore/hr]]*(1+TblProd[[#This Row],[Bonux Ore/hr]]),0)</f>
        <v>0</v>
      </c>
      <c r="Y11" s="69" t="n">
        <f aca="false">ROUNDDOWN(TblProd[[#This Row],[Raw Gems/hr]]*(1+TblProd[[#This Row],[Bonus Gems/hr]]),0)</f>
        <v>0</v>
      </c>
      <c r="Z11" s="148" t="n">
        <f aca="false">OFFSET(TblConstr[[#This Row],[Tot Doc]],1,0)*dock_boats_hr * (1 + tech_4_1*TblTech[[#This Row],[4-1]])</f>
        <v>0</v>
      </c>
      <c r="AA11" s="146"/>
      <c r="AB11" s="69" t="n">
        <f aca="false">TblPop[[#This Row],[Peasants]]*tax*TblPop[[#This Row],[Employment]] + (Construction!AZ12+Construction!BX12)*(alch_plat+(Magic!AM11&gt;0)*alchemist_flame_bonus)</f>
        <v>5373</v>
      </c>
      <c r="AC11" s="69" t="n">
        <f aca="false">TblConstr[[#This Row],[Tot Farm]]*farm_food + TblConstr[[#This Row],[Tot Doc]]*dock_food</f>
        <v>2400</v>
      </c>
      <c r="AD11" s="69" t="n">
        <f aca="false">TblConstr[[#This Row],[Tot Ly]]*ly_lumber + TblConstr[[#This Row],[Tot Hav]]*fh_lumber</f>
        <v>1000</v>
      </c>
      <c r="AE11" s="69" t="n">
        <f aca="false">OFFSET(TblConstr[[#This Row],[Tot Tow]],1,0)*(tower_mana + tech_4_5*TblTech[[#This Row],[4-5]]) + OFFSET(TblConstr[[#This Row],[Tot WG]],1,0)*wg_mana_prod</f>
        <v>0</v>
      </c>
      <c r="AF11" s="69" t="n">
        <f aca="false">OFFSET(TblConstr[[#This Row],[Tot OM]],1,0)*om_ore+IF(race="Dwarf",ROUNDDOWN(TblMili[[#This Row],[Unit 2]]*0.4,0),)</f>
        <v>0</v>
      </c>
      <c r="AG11" s="69" t="n">
        <f aca="false">OFFSET(TblConstr[[#This Row],[Tot DM]],1,0)*dm_gems</f>
        <v>0</v>
      </c>
      <c r="AH11" s="132"/>
      <c r="AI11" s="149" t="n">
        <f aca="false">MIN(race_platinum_bonus + IF(TblMagic[[#This Row],[Active Alch Frost]]&gt;0,alch_frost_bonus,IF(Magic!AD11&gt;0,midas_bonus)) + TblImps[[#This Row],[Science]] - TblProd[[#This Row],[Guard]]*(0.02 + tech_5_7*TblTech[[#This Row],[5-7]]) + tech_1_5*TblTech[[#This Row],[1-5]] + tech_4_4*TblTech[[#This Row],[4-4]], 0.5)</f>
        <v>0.15</v>
      </c>
      <c r="AJ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1" s="149" t="n">
        <f aca="false">race_lumber_bonus+ IF(TblMagic[[#This Row],[Active Gaia''s Blessing]]&gt;0,gaias_blessing_lumber)+ tech_1_3*TblTech[[#This Row],[1-3]] + tech_1_6*TblTech[[#This Row],[1-6]] + tech_3_3*TblTech[[#This Row],[3-3]]</f>
        <v>0</v>
      </c>
      <c r="AL11" s="149" t="n">
        <f aca="false">race_mana_bonus+ 0 + TblImps[[#This Row],[Towers]] + tech_1_2*TblTech[[#This Row],[1-2]] + tech_3_4*TblTech[[#This Row],[3-4]]</f>
        <v>0</v>
      </c>
      <c r="AM11" s="149" t="n">
        <f aca="false">race_ore_bonus + IF(TblMagic[[#This Row],[Active Miner''s Sight]]&gt;0,miners_sight_bonus,IF(TblMagic[[#This Row],[Active Mining Strength]]&gt;0,mining_strength_bonus)) +  tech_1_6*TblTech[[#This Row],[1-6]]</f>
        <v>0.2</v>
      </c>
      <c r="AN11" s="149" t="n">
        <f aca="false">race_gem_bonus+ tech_3_2*TblTech[[#This Row],[3-2]] + tech_4_3*TblTech[[#This Row],[4-3]] + tech_6_2*TblTech[[#This Row],[6-2]]</f>
        <v>0.15</v>
      </c>
      <c r="AO11" s="132"/>
      <c r="AP11" s="69" t="n">
        <f aca="false">TblProd[[#This Row],[Food]]*food_decay * (1 + tech_2_1*TblTech[[#This Row],[2-1]] + tech_2_8*TblTech[[#This Row],[2-8]])</f>
        <v>287.74</v>
      </c>
      <c r="AQ11" s="69" t="n">
        <f aca="false">(1+race_food_consumption)*TblPop[[#This Row],[Total]]*food_per_person*(1+tech_1_10*TblTech[[#This Row],[1-10]]+tech_7_5*TblTech[[#This Row],[7-5]])</f>
        <v>445.75</v>
      </c>
      <c r="AR11" s="69" t="n">
        <f aca="false">TblProd[[#This Row],[Lumber]]*lumber_rot * (1 + tech_2_1*TblTech[[#This Row],[2-1]] + tech_2_8*TblTech[[#This Row],[2-8]] + tech_5_2*TblTech[[#This Row],[5-2]])</f>
        <v>1.99</v>
      </c>
      <c r="AS11" s="69" t="n">
        <f aca="false">TblProd[[#This Row],[Mana]]*mana_drain * (1 + tech_2_1*TblTech[[#This Row],[2-1]] + tech_2_8*TblTech[[#This Row],[2-8]])</f>
        <v>-164.82</v>
      </c>
      <c r="AT11" s="146"/>
      <c r="AU11" s="69" t="n">
        <f aca="false">TblExplore[[#This Row],[Platinum (2)]]+TblConstr[[#This Row],[Total Plat Cost]]+TblMili[[#This Row],[Plat Cost]]+TblRezone[[#This Row],[Platinum cost]]+TblImps[[#This Row],[P1]]-TblProd[[#This Row],[Bank Plat]]</f>
        <v>400</v>
      </c>
      <c r="AV11" s="69" t="n">
        <f aca="false">TblConstr[[#This Row],[Total Lum Cost]]+TblImps[[#This Row],[L1]]-TblProd[[#This Row],[Bank Lumber]] + Military!$CL$25*TblMili[[#This Row],[Sec. rec. Cost]]</f>
        <v>900</v>
      </c>
      <c r="AW11" s="69" t="n">
        <f aca="false">TblMagic[[#This Row],[Mana cost]] + Military!$CL$26*TblMili[[#This Row],[Sec. rec. Cost]]</f>
        <v>1250</v>
      </c>
      <c r="AX11" s="69" t="n">
        <f aca="false">Military!$CL$24*TblMili[[#This Row],[Sec. rec. Cost]]+TblImps[[#This Row],[O1]]-TblProd[[#This Row],[Bank Ore]]</f>
        <v>0</v>
      </c>
      <c r="AY11" s="69" t="n">
        <f aca="false">TblImps[[#This Row],[G1]]-TblProd[[#This Row],[Bank Gems]]</f>
        <v>0</v>
      </c>
      <c r="AZ11" s="132"/>
      <c r="BA11" s="33" t="n">
        <f aca="false">IF(TblProd[[#This Row],[Set Guard]]&lt;&gt;"",TblProd[[#This Row],[Set Guard]],OFFSET(TblProd[[#This Row],[Guard]],-1,0))</f>
        <v>0</v>
      </c>
      <c r="BB11" s="145"/>
      <c r="BC11" s="151" t="n">
        <f aca="false">TblProd[[#This Row],[Hour]]</f>
        <v>8</v>
      </c>
      <c r="BD11" s="152" t="n">
        <f aca="false">-TblProd[[#This Row],[Bank Lumber]] / 2 + -TblProd[[#This Row],[Bank Gems]] * 2 + -TblProd[[#This Row],[Bank Ore]] / 2</f>
        <v>450</v>
      </c>
      <c r="BE11" s="152" t="n">
        <v>-900</v>
      </c>
      <c r="BF11" s="152"/>
      <c r="BG11" s="152"/>
      <c r="BH11" s="153" t="n">
        <f aca="false">TblProd[[#This Row],[Time]]</f>
        <v>45430.0416666667</v>
      </c>
      <c r="BI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J11" s="69" t="n">
        <f aca="false">TblProd[[#This Row],[Platinum]]</f>
        <v>26399</v>
      </c>
      <c r="BK11" s="69" t="n">
        <f aca="false">TblProd[[#This Row],[Food]]</f>
        <v>28774</v>
      </c>
      <c r="BL11" s="69" t="n">
        <f aca="false">TblProd[[#This Row],[Lumber]]</f>
        <v>199</v>
      </c>
      <c r="BM11" s="69" t="n">
        <f aca="false">TblProd[[#This Row],[Mana]]</f>
        <v>-8241</v>
      </c>
      <c r="BN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c r="H12" s="69" t="e">
        <f aca="false">TblMili[[#This Row],[Networth (2)]]</f>
        <v>#VALUE!</v>
      </c>
      <c r="I12" s="69" t="n">
        <f aca="false">OFFSET(TblProd[[#This Row],[Platinum]],-1,0)+OFFSET(TblProd[[#This Row],[Plat/hr]],-1,0) - TblProd[[#This Row],[Expenses Platinum]] + IF(TblProd[[#This Row],[Plat Bonus]],TblPop[[#This Row],[Peasants]]*4) + SUM(TblConstr[[#This Row],[Dest Hom]:[Dest Doc]])*TblConstr[[#This Row],[CPA Platinum -DB]]*tech_3_3_2*TblTech[[#This Row],[3-3]]</f>
        <v>32177</v>
      </c>
      <c r="J12" s="69" t="n">
        <f aca="false">OFFSET(TblProd[[#This Row],[Food]],-1,0)+OFFSET(TblProd[[#This Row],[Food/hr]],-1,0)+ROUNDUP((TblConstr[[#This Row],[Farms]]*80+TblConstr[[#This Row],[Docks]]*35)*(1+OFFSET(TblProd[[#This Row],[Bonus Food/hr]],-1,0)),0)</f>
        <v>30981</v>
      </c>
      <c r="K12" s="69" t="n">
        <f aca="false">OFFSET(TblProd[[#This Row],[Lumber]],-1,0)+OFFSET(TblProd[[#This Row],[Lumber/hr]],-1,0) - TblProd[[#This Row],[Expenses Lumber]] + SUM(TblConstr[[#This Row],[Dest Hom]:[Dest Doc]])*TblConstr[[#This Row],[CPA Lumber -DB]]*tech_3_3_2*TblTech[[#This Row],[3-3]]</f>
        <v>297</v>
      </c>
      <c r="L12" s="69" t="n">
        <f aca="false">OFFSET(TblProd[[#This Row],[Mana]],-1,0)+OFFSET(TblProd[[#This Row],[Mana/hr]],-1,0)- TblProd[[#This Row],[Expenses Mana]]</f>
        <v>-9326</v>
      </c>
      <c r="M12" s="69" t="n">
        <f aca="false">OFFSET(TblProd[[#This Row],[Ore]],-1,0)+OFFSET(TblProd[[#This Row],[Ore/hr]],-1,0) -TblProd[[#This Row],[Expenses Ore]]</f>
        <v>0</v>
      </c>
      <c r="N12" s="69" t="n">
        <f aca="false">OFFSET(TblProd[[#This Row],[Gems]],-1,0)+OFFSET(TblProd[[#This Row],[Gems/hr]],-1,0) - TblProd[[#This Row],[Expenses Gems]]</f>
        <v>0</v>
      </c>
      <c r="O12" s="69" t="n">
        <f aca="false">OFFSET(TblProd[[#This Row],[Boats]],-1,0)+OFFSET(TblProd[[#This Row],[Boats/hr]],-1,0)</f>
        <v>0</v>
      </c>
      <c r="P12" s="69" t="n">
        <f aca="false">OFFSET(TblProd[[#This Row],[Prestige]],-1,0)</f>
        <v>250</v>
      </c>
      <c r="Q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2" s="69" t="n">
        <f aca="false">MAX(3750,_xlfn.CEILING.MATH(TblProd[[#This Row],[Land]]*2.5+OFFSET(TblTech[[#This Row],[Sum of tech]],-1,0)*150))</f>
        <v>3750</v>
      </c>
      <c r="S12" s="132"/>
      <c r="T12" s="69" t="n">
        <f aca="false">ROUNDDOWN(TblProd[[#This Row],[Raw Plat/hr]]*(1+TblProd[[#This Row],[Bonus Plat/hr]]),0)</f>
        <v>6717</v>
      </c>
      <c r="U12" s="69" t="n">
        <f aca="false">ROUND(TblProd[[#This Row],[Raw Food/hr]]*(1+TblProd[[#This Row],[Bonus Food/hr]])-TblProd[[#This Row],[Food decay]]-TblProd[[#This Row],[Food eaten]],0)</f>
        <v>2174</v>
      </c>
      <c r="V12" s="69" t="n">
        <f aca="false">ROUND(TblProd[[#This Row],[Raw Lumber/hr]]*(1+TblProd[[#This Row],[Bonus Lumber/hr]])-TblProd[[#This Row],[Lumber rot]],0)</f>
        <v>997</v>
      </c>
      <c r="W12" s="69" t="n">
        <f aca="false">ROUND(TblProd[[#This Row],[Raw Mana/hr]]*(1+TblProd[[#This Row],[Bonus Mana/hr]])-TblProd[[#This Row],[Mana drain]],0)</f>
        <v>187</v>
      </c>
      <c r="X12" s="69" t="n">
        <f aca="false">ROUNDDOWN(TblProd[[#This Row],[Raw Ore/hr]]*(1+TblProd[[#This Row],[Bonux Ore/hr]]),0)</f>
        <v>0</v>
      </c>
      <c r="Y12" s="69" t="n">
        <f aca="false">ROUNDDOWN(TblProd[[#This Row],[Raw Gems/hr]]*(1+TblProd[[#This Row],[Bonus Gems/hr]]),0)</f>
        <v>0</v>
      </c>
      <c r="Z12" s="148" t="n">
        <f aca="false">OFFSET(TblConstr[[#This Row],[Tot Doc]],1,0)*dock_boats_hr * (1 + tech_4_1*TblTech[[#This Row],[4-1]])</f>
        <v>0</v>
      </c>
      <c r="AA12" s="146"/>
      <c r="AB12" s="69" t="n">
        <f aca="false">TblPop[[#This Row],[Peasants]]*tax*TblPop[[#This Row],[Employment]] + (Construction!AZ13+Construction!BX13)*(alch_plat+(Magic!AM12&gt;0)*alchemist_flame_bonus)</f>
        <v>5841.3</v>
      </c>
      <c r="AC12" s="69" t="n">
        <f aca="false">TblConstr[[#This Row],[Tot Farm]]*farm_food + TblConstr[[#This Row],[Tot Doc]]*dock_food</f>
        <v>2400</v>
      </c>
      <c r="AD12" s="69" t="n">
        <f aca="false">TblConstr[[#This Row],[Tot Ly]]*ly_lumber + TblConstr[[#This Row],[Tot Hav]]*fh_lumber</f>
        <v>1000</v>
      </c>
      <c r="AE12" s="69" t="n">
        <f aca="false">OFFSET(TblConstr[[#This Row],[Tot Tow]],1,0)*(tower_mana + tech_4_5*TblTech[[#This Row],[4-5]]) + OFFSET(TblConstr[[#This Row],[Tot WG]],1,0)*wg_mana_prod</f>
        <v>0</v>
      </c>
      <c r="AF12" s="69" t="n">
        <f aca="false">OFFSET(TblConstr[[#This Row],[Tot OM]],1,0)*om_ore+IF(race="Dwarf",ROUNDDOWN(TblMili[[#This Row],[Unit 2]]*0.4,0),)</f>
        <v>0</v>
      </c>
      <c r="AG12" s="69" t="n">
        <f aca="false">OFFSET(TblConstr[[#This Row],[Tot DM]],1,0)*dm_gems</f>
        <v>0</v>
      </c>
      <c r="AH12" s="132"/>
      <c r="AI12" s="149" t="n">
        <f aca="false">MIN(race_platinum_bonus + IF(TblMagic[[#This Row],[Active Alch Frost]]&gt;0,alch_frost_bonus,IF(Magic!AD12&gt;0,midas_bonus)) + TblImps[[#This Row],[Science]] - TblProd[[#This Row],[Guard]]*(0.02 + tech_5_7*TblTech[[#This Row],[5-7]]) + tech_1_5*TblTech[[#This Row],[1-5]] + tech_4_4*TblTech[[#This Row],[4-4]], 0.5)</f>
        <v>0.15</v>
      </c>
      <c r="AJ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2" s="149" t="n">
        <f aca="false">race_lumber_bonus+ IF(TblMagic[[#This Row],[Active Gaia''s Blessing]]&gt;0,gaias_blessing_lumber)+ tech_1_3*TblTech[[#This Row],[1-3]] + tech_1_6*TblTech[[#This Row],[1-6]] + tech_3_3*TblTech[[#This Row],[3-3]]</f>
        <v>0</v>
      </c>
      <c r="AL12" s="149" t="n">
        <f aca="false">race_mana_bonus+ 0 + TblImps[[#This Row],[Towers]] + tech_1_2*TblTech[[#This Row],[1-2]] + tech_3_4*TblTech[[#This Row],[3-4]]</f>
        <v>0</v>
      </c>
      <c r="AM12" s="149" t="n">
        <f aca="false">race_ore_bonus + IF(TblMagic[[#This Row],[Active Miner''s Sight]]&gt;0,miners_sight_bonus,IF(TblMagic[[#This Row],[Active Mining Strength]]&gt;0,mining_strength_bonus)) +  tech_1_6*TblTech[[#This Row],[1-6]]</f>
        <v>0.2</v>
      </c>
      <c r="AN12" s="149" t="n">
        <f aca="false">race_gem_bonus+ tech_3_2*TblTech[[#This Row],[3-2]] + tech_4_3*TblTech[[#This Row],[4-3]] + tech_6_2*TblTech[[#This Row],[6-2]]</f>
        <v>0.15</v>
      </c>
      <c r="AO12" s="132"/>
      <c r="AP12" s="69" t="n">
        <f aca="false">TblProd[[#This Row],[Food]]*food_decay * (1 + tech_2_1*TblTech[[#This Row],[2-1]] + tech_2_8*TblTech[[#This Row],[2-8]])</f>
        <v>309.81</v>
      </c>
      <c r="AQ12" s="69" t="n">
        <f aca="false">(1+race_food_consumption)*TblPop[[#This Row],[Total]]*food_per_person*(1+tech_1_10*TblTech[[#This Row],[1-10]]+tech_7_5*TblTech[[#This Row],[7-5]])</f>
        <v>455.75</v>
      </c>
      <c r="AR12" s="69" t="n">
        <f aca="false">TblProd[[#This Row],[Lumber]]*lumber_rot * (1 + tech_2_1*TblTech[[#This Row],[2-1]] + tech_2_8*TblTech[[#This Row],[2-8]] + tech_5_2*TblTech[[#This Row],[5-2]])</f>
        <v>2.97</v>
      </c>
      <c r="AS12" s="69" t="n">
        <f aca="false">TblProd[[#This Row],[Mana]]*mana_drain * (1 + tech_2_1*TblTech[[#This Row],[2-1]] + tech_2_8*TblTech[[#This Row],[2-8]])</f>
        <v>-186.52</v>
      </c>
      <c r="AT12" s="146"/>
      <c r="AU12" s="69" t="n">
        <f aca="false">TblExplore[[#This Row],[Platinum (2)]]+TblConstr[[#This Row],[Total Plat Cost]]+TblMili[[#This Row],[Plat Cost]]+TblRezone[[#This Row],[Platinum cost]]+TblImps[[#This Row],[P1]]-TblProd[[#This Row],[Bank Plat]]</f>
        <v>400</v>
      </c>
      <c r="AV12" s="69" t="n">
        <f aca="false">TblConstr[[#This Row],[Total Lum Cost]]+TblImps[[#This Row],[L1]]-TblProd[[#This Row],[Bank Lumber]] + Military!$CL$25*TblMili[[#This Row],[Sec. rec. Cost]]</f>
        <v>900</v>
      </c>
      <c r="AW12" s="69" t="n">
        <f aca="false">TblMagic[[#This Row],[Mana cost]] + Military!$CL$26*TblMili[[#This Row],[Sec. rec. Cost]]</f>
        <v>1250</v>
      </c>
      <c r="AX12" s="69" t="n">
        <f aca="false">Military!$CL$24*TblMili[[#This Row],[Sec. rec. Cost]]+TblImps[[#This Row],[O1]]-TblProd[[#This Row],[Bank Ore]]</f>
        <v>0</v>
      </c>
      <c r="AY12" s="69" t="n">
        <f aca="false">TblImps[[#This Row],[G1]]-TblProd[[#This Row],[Bank Gems]]</f>
        <v>0</v>
      </c>
      <c r="AZ12" s="132"/>
      <c r="BA12" s="33" t="n">
        <f aca="false">IF(TblProd[[#This Row],[Set Guard]]&lt;&gt;"",TblProd[[#This Row],[Set Guard]],OFFSET(TblProd[[#This Row],[Guard]],-1,0))</f>
        <v>0</v>
      </c>
      <c r="BB12" s="145"/>
      <c r="BC12" s="151" t="n">
        <f aca="false">TblProd[[#This Row],[Hour]]</f>
        <v>9</v>
      </c>
      <c r="BD12" s="152" t="n">
        <f aca="false">-TblProd[[#This Row],[Bank Lumber]] / 2 + -TblProd[[#This Row],[Bank Gems]] * 2 + -TblProd[[#This Row],[Bank Ore]] / 2</f>
        <v>450</v>
      </c>
      <c r="BE12" s="152" t="n">
        <v>-900</v>
      </c>
      <c r="BF12" s="152"/>
      <c r="BG12" s="152"/>
      <c r="BH12" s="153" t="n">
        <f aca="false">TblProd[[#This Row],[Time]]</f>
        <v>45430.0833333333</v>
      </c>
      <c r="BI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J12" s="69" t="n">
        <f aca="false">TblProd[[#This Row],[Platinum]]</f>
        <v>32177</v>
      </c>
      <c r="BK12" s="69" t="n">
        <f aca="false">TblProd[[#This Row],[Food]]</f>
        <v>30981</v>
      </c>
      <c r="BL12" s="69" t="n">
        <f aca="false">TblProd[[#This Row],[Lumber]]</f>
        <v>297</v>
      </c>
      <c r="BM12" s="69" t="n">
        <f aca="false">TblProd[[#This Row],[Mana]]</f>
        <v>-9326</v>
      </c>
      <c r="BN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c r="H13" s="69" t="e">
        <f aca="false">TblMili[[#This Row],[Networth (2)]]</f>
        <v>#VALUE!</v>
      </c>
      <c r="I13" s="69" t="n">
        <f aca="false">OFFSET(TblProd[[#This Row],[Platinum]],-1,0)+OFFSET(TblProd[[#This Row],[Plat/hr]],-1,0) - TblProd[[#This Row],[Expenses Platinum]] + IF(TblProd[[#This Row],[Plat Bonus]],TblPop[[#This Row],[Peasants]]*4) + SUM(TblConstr[[#This Row],[Dest Hom]:[Dest Doc]])*TblConstr[[#This Row],[CPA Platinum -DB]]*tech_3_3_2*TblTech[[#This Row],[3-3]]</f>
        <v>38394</v>
      </c>
      <c r="J13" s="69" t="n">
        <f aca="false">OFFSET(TblProd[[#This Row],[Food]],-1,0)+OFFSET(TblProd[[#This Row],[Food/hr]],-1,0)+ROUNDUP((TblConstr[[#This Row],[Farms]]*80+TblConstr[[#This Row],[Docks]]*35)*(1+OFFSET(TblProd[[#This Row],[Bonus Food/hr]],-1,0)),0)</f>
        <v>33155</v>
      </c>
      <c r="K13" s="69" t="n">
        <f aca="false">OFFSET(TblProd[[#This Row],[Lumber]],-1,0)+OFFSET(TblProd[[#This Row],[Lumber/hr]],-1,0) - TblProd[[#This Row],[Expenses Lumber]] + SUM(TblConstr[[#This Row],[Dest Hom]:[Dest Doc]])*TblConstr[[#This Row],[CPA Lumber -DB]]*tech_3_3_2*TblTech[[#This Row],[3-3]]</f>
        <v>594</v>
      </c>
      <c r="L13" s="69" t="n">
        <f aca="false">OFFSET(TblProd[[#This Row],[Mana]],-1,0)+OFFSET(TblProd[[#This Row],[Mana/hr]],-1,0)- TblProd[[#This Row],[Expenses Mana]]</f>
        <v>-10389</v>
      </c>
      <c r="M13" s="69" t="n">
        <f aca="false">OFFSET(TblProd[[#This Row],[Ore]],-1,0)+OFFSET(TblProd[[#This Row],[Ore/hr]],-1,0) -TblProd[[#This Row],[Expenses Ore]]</f>
        <v>0</v>
      </c>
      <c r="N13" s="69" t="n">
        <f aca="false">OFFSET(TblProd[[#This Row],[Gems]],-1,0)+OFFSET(TblProd[[#This Row],[Gems/hr]],-1,0) - TblProd[[#This Row],[Expenses Gems]]</f>
        <v>0</v>
      </c>
      <c r="O13" s="69" t="n">
        <f aca="false">OFFSET(TblProd[[#This Row],[Boats]],-1,0)+OFFSET(TblProd[[#This Row],[Boats/hr]],-1,0)</f>
        <v>0</v>
      </c>
      <c r="P13" s="69" t="n">
        <f aca="false">OFFSET(TblProd[[#This Row],[Prestige]],-1,0)</f>
        <v>250</v>
      </c>
      <c r="Q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3" s="69" t="n">
        <f aca="false">MAX(3750,_xlfn.CEILING.MATH(TblProd[[#This Row],[Land]]*2.5+OFFSET(TblTech[[#This Row],[Sum of tech]],-1,0)*150))</f>
        <v>3750</v>
      </c>
      <c r="S13" s="132"/>
      <c r="T13" s="69" t="n">
        <f aca="false">ROUNDDOWN(TblProd[[#This Row],[Raw Plat/hr]]*(1+TblProd[[#This Row],[Bonus Plat/hr]]),0)</f>
        <v>6810</v>
      </c>
      <c r="U13" s="69" t="n">
        <f aca="false">ROUND(TblProd[[#This Row],[Raw Food/hr]]*(1+TblProd[[#This Row],[Bonus Food/hr]])-TblProd[[#This Row],[Food decay]]-TblProd[[#This Row],[Food eaten]],0)</f>
        <v>2142</v>
      </c>
      <c r="V13" s="69" t="n">
        <f aca="false">ROUND(TblProd[[#This Row],[Raw Lumber/hr]]*(1+TblProd[[#This Row],[Bonus Lumber/hr]])-TblProd[[#This Row],[Lumber rot]],0)</f>
        <v>994</v>
      </c>
      <c r="W13" s="69" t="n">
        <f aca="false">ROUND(TblProd[[#This Row],[Raw Mana/hr]]*(1+TblProd[[#This Row],[Bonus Mana/hr]])-TblProd[[#This Row],[Mana drain]],0)</f>
        <v>208</v>
      </c>
      <c r="X13" s="69" t="n">
        <f aca="false">ROUNDDOWN(TblProd[[#This Row],[Raw Ore/hr]]*(1+TblProd[[#This Row],[Bonux Ore/hr]]),0)</f>
        <v>0</v>
      </c>
      <c r="Y13" s="69" t="n">
        <f aca="false">ROUNDDOWN(TblProd[[#This Row],[Raw Gems/hr]]*(1+TblProd[[#This Row],[Bonus Gems/hr]]),0)</f>
        <v>0</v>
      </c>
      <c r="Z13" s="148" t="n">
        <f aca="false">OFFSET(TblConstr[[#This Row],[Tot Doc]],1,0)*dock_boats_hr * (1 + tech_4_1*TblTech[[#This Row],[4-1]])</f>
        <v>0</v>
      </c>
      <c r="AA13" s="146"/>
      <c r="AB13" s="69" t="n">
        <f aca="false">TblPop[[#This Row],[Peasants]]*tax*TblPop[[#This Row],[Employment]] + (Construction!AZ14+Construction!BX14)*(alch_plat+(Magic!AM13&gt;0)*alchemist_flame_bonus)</f>
        <v>5922.3</v>
      </c>
      <c r="AC13" s="69" t="n">
        <f aca="false">TblConstr[[#This Row],[Tot Farm]]*farm_food + TblConstr[[#This Row],[Tot Doc]]*dock_food</f>
        <v>2400</v>
      </c>
      <c r="AD13" s="69" t="n">
        <f aca="false">TblConstr[[#This Row],[Tot Ly]]*ly_lumber + TblConstr[[#This Row],[Tot Hav]]*fh_lumber</f>
        <v>1000</v>
      </c>
      <c r="AE13" s="69" t="n">
        <f aca="false">OFFSET(TblConstr[[#This Row],[Tot Tow]],1,0)*(tower_mana + tech_4_5*TblTech[[#This Row],[4-5]]) + OFFSET(TblConstr[[#This Row],[Tot WG]],1,0)*wg_mana_prod</f>
        <v>0</v>
      </c>
      <c r="AF13" s="69" t="n">
        <f aca="false">OFFSET(TblConstr[[#This Row],[Tot OM]],1,0)*om_ore+IF(race="Dwarf",ROUNDDOWN(TblMili[[#This Row],[Unit 2]]*0.4,0),)</f>
        <v>0</v>
      </c>
      <c r="AG13" s="69" t="n">
        <f aca="false">OFFSET(TblConstr[[#This Row],[Tot DM]],1,0)*dm_gems</f>
        <v>0</v>
      </c>
      <c r="AH13" s="132"/>
      <c r="AI13" s="149" t="n">
        <f aca="false">MIN(race_platinum_bonus + IF(TblMagic[[#This Row],[Active Alch Frost]]&gt;0,alch_frost_bonus,IF(Magic!AD13&gt;0,midas_bonus)) + TblImps[[#This Row],[Science]] - TblProd[[#This Row],[Guard]]*(0.02 + tech_5_7*TblTech[[#This Row],[5-7]]) + tech_1_5*TblTech[[#This Row],[1-5]] + tech_4_4*TblTech[[#This Row],[4-4]], 0.5)</f>
        <v>0.15</v>
      </c>
      <c r="AJ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3" s="149" t="n">
        <f aca="false">race_lumber_bonus+ IF(TblMagic[[#This Row],[Active Gaia''s Blessing]]&gt;0,gaias_blessing_lumber)+ tech_1_3*TblTech[[#This Row],[1-3]] + tech_1_6*TblTech[[#This Row],[1-6]] + tech_3_3*TblTech[[#This Row],[3-3]]</f>
        <v>0</v>
      </c>
      <c r="AL13" s="149" t="n">
        <f aca="false">race_mana_bonus+ 0 + TblImps[[#This Row],[Towers]] + tech_1_2*TblTech[[#This Row],[1-2]] + tech_3_4*TblTech[[#This Row],[3-4]]</f>
        <v>0</v>
      </c>
      <c r="AM13" s="149" t="n">
        <f aca="false">race_ore_bonus + IF(TblMagic[[#This Row],[Active Miner''s Sight]]&gt;0,miners_sight_bonus,IF(TblMagic[[#This Row],[Active Mining Strength]]&gt;0,mining_strength_bonus)) +  tech_1_6*TblTech[[#This Row],[1-6]]</f>
        <v>0.2</v>
      </c>
      <c r="AN13" s="149" t="n">
        <f aca="false">race_gem_bonus+ tech_3_2*TblTech[[#This Row],[3-2]] + tech_4_3*TblTech[[#This Row],[4-3]] + tech_6_2*TblTech[[#This Row],[6-2]]</f>
        <v>0.15</v>
      </c>
      <c r="AO13" s="132"/>
      <c r="AP13" s="69" t="n">
        <f aca="false">TblProd[[#This Row],[Food]]*food_decay * (1 + tech_2_1*TblTech[[#This Row],[2-1]] + tech_2_8*TblTech[[#This Row],[2-8]])</f>
        <v>331.55</v>
      </c>
      <c r="AQ13" s="69" t="n">
        <f aca="false">(1+race_food_consumption)*TblPop[[#This Row],[Total]]*food_per_person*(1+tech_1_10*TblTech[[#This Row],[1-10]]+tech_7_5*TblTech[[#This Row],[7-5]])</f>
        <v>466</v>
      </c>
      <c r="AR13" s="69" t="n">
        <f aca="false">TblProd[[#This Row],[Lumber]]*lumber_rot * (1 + tech_2_1*TblTech[[#This Row],[2-1]] + tech_2_8*TblTech[[#This Row],[2-8]] + tech_5_2*TblTech[[#This Row],[5-2]])</f>
        <v>5.94</v>
      </c>
      <c r="AS13" s="69" t="n">
        <f aca="false">TblProd[[#This Row],[Mana]]*mana_drain * (1 + tech_2_1*TblTech[[#This Row],[2-1]] + tech_2_8*TblTech[[#This Row],[2-8]])</f>
        <v>-207.78</v>
      </c>
      <c r="AT13" s="146"/>
      <c r="AU13" s="69" t="n">
        <f aca="false">TblExplore[[#This Row],[Platinum (2)]]+TblConstr[[#This Row],[Total Plat Cost]]+TblMili[[#This Row],[Plat Cost]]+TblRezone[[#This Row],[Platinum cost]]+TblImps[[#This Row],[P1]]-TblProd[[#This Row],[Bank Plat]]</f>
        <v>500</v>
      </c>
      <c r="AV13" s="69" t="n">
        <f aca="false">TblConstr[[#This Row],[Total Lum Cost]]+TblImps[[#This Row],[L1]]-TblProd[[#This Row],[Bank Lumber]] + Military!$CL$25*TblMili[[#This Row],[Sec. rec. Cost]]</f>
        <v>700</v>
      </c>
      <c r="AW13" s="69" t="n">
        <f aca="false">TblMagic[[#This Row],[Mana cost]] + Military!$CL$26*TblMili[[#This Row],[Sec. rec. Cost]]</f>
        <v>1250</v>
      </c>
      <c r="AX13" s="69" t="n">
        <f aca="false">Military!$CL$24*TblMili[[#This Row],[Sec. rec. Cost]]+TblImps[[#This Row],[O1]]-TblProd[[#This Row],[Bank Ore]]</f>
        <v>0</v>
      </c>
      <c r="AY13" s="69" t="n">
        <f aca="false">TblImps[[#This Row],[G1]]-TblProd[[#This Row],[Bank Gems]]</f>
        <v>0</v>
      </c>
      <c r="AZ13" s="132"/>
      <c r="BA13" s="33" t="n">
        <f aca="false">IF(TblProd[[#This Row],[Set Guard]]&lt;&gt;"",TblProd[[#This Row],[Set Guard]],OFFSET(TblProd[[#This Row],[Guard]],-1,0))</f>
        <v>0</v>
      </c>
      <c r="BB13" s="145"/>
      <c r="BC13" s="151" t="n">
        <f aca="false">TblProd[[#This Row],[Hour]]</f>
        <v>10</v>
      </c>
      <c r="BD13" s="152" t="n">
        <f aca="false">-TblProd[[#This Row],[Bank Lumber]] / 2 + -TblProd[[#This Row],[Bank Gems]] * 2 + -TblProd[[#This Row],[Bank Ore]] / 2</f>
        <v>350</v>
      </c>
      <c r="BE13" s="152" t="n">
        <v>-700</v>
      </c>
      <c r="BF13" s="152"/>
      <c r="BG13" s="152"/>
      <c r="BH13" s="153" t="n">
        <f aca="false">TblProd[[#This Row],[Time]]</f>
        <v>45430.125</v>
      </c>
      <c r="BI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J13" s="69" t="n">
        <f aca="false">TblProd[[#This Row],[Platinum]]</f>
        <v>38394</v>
      </c>
      <c r="BK13" s="69" t="n">
        <f aca="false">TblProd[[#This Row],[Food]]</f>
        <v>33155</v>
      </c>
      <c r="BL13" s="69" t="n">
        <f aca="false">TblProd[[#This Row],[Lumber]]</f>
        <v>594</v>
      </c>
      <c r="BM13" s="69" t="n">
        <f aca="false">TblProd[[#This Row],[Mana]]</f>
        <v>-10389</v>
      </c>
      <c r="BN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c r="H14" s="69" t="e">
        <f aca="false">TblMili[[#This Row],[Networth (2)]]</f>
        <v>#VALUE!</v>
      </c>
      <c r="I14" s="69" t="n">
        <f aca="false">OFFSET(TblProd[[#This Row],[Platinum]],-1,0)+OFFSET(TblProd[[#This Row],[Plat/hr]],-1,0) - TblProd[[#This Row],[Expenses Platinum]] + IF(TblProd[[#This Row],[Plat Bonus]],TblPop[[#This Row],[Peasants]]*4) + SUM(TblConstr[[#This Row],[Dest Hom]:[Dest Doc]])*TblConstr[[#This Row],[CPA Platinum -DB]]*tech_3_3_2*TblTech[[#This Row],[3-3]]</f>
        <v>44502.5</v>
      </c>
      <c r="J14" s="69" t="n">
        <f aca="false">OFFSET(TblProd[[#This Row],[Food]],-1,0)+OFFSET(TblProd[[#This Row],[Food/hr]],-1,0)+ROUNDUP((TblConstr[[#This Row],[Farms]]*80+TblConstr[[#This Row],[Docks]]*35)*(1+OFFSET(TblProd[[#This Row],[Bonus Food/hr]],-1,0)),0)</f>
        <v>35297</v>
      </c>
      <c r="K14" s="69" t="n">
        <f aca="false">OFFSET(TblProd[[#This Row],[Lumber]],-1,0)+OFFSET(TblProd[[#This Row],[Lumber/hr]],-1,0) - TblProd[[#This Row],[Expenses Lumber]] + SUM(TblConstr[[#This Row],[Dest Hom]:[Dest Doc]])*TblConstr[[#This Row],[CPA Lumber -DB]]*tech_3_3_2*TblTech[[#This Row],[3-3]]</f>
        <v>1291</v>
      </c>
      <c r="L14" s="69" t="n">
        <f aca="false">OFFSET(TblProd[[#This Row],[Mana]],-1,0)+OFFSET(TblProd[[#This Row],[Mana/hr]],-1,0)- TblProd[[#This Row],[Expenses Mana]]</f>
        <v>-11431</v>
      </c>
      <c r="M14" s="69" t="n">
        <f aca="false">OFFSET(TblProd[[#This Row],[Ore]],-1,0)+OFFSET(TblProd[[#This Row],[Ore/hr]],-1,0) -TblProd[[#This Row],[Expenses Ore]]</f>
        <v>0</v>
      </c>
      <c r="N14" s="69" t="n">
        <f aca="false">OFFSET(TblProd[[#This Row],[Gems]],-1,0)+OFFSET(TblProd[[#This Row],[Gems/hr]],-1,0) - TblProd[[#This Row],[Expenses Gems]]</f>
        <v>0</v>
      </c>
      <c r="O14" s="69" t="n">
        <f aca="false">OFFSET(TblProd[[#This Row],[Boats]],-1,0)+OFFSET(TblProd[[#This Row],[Boats/hr]],-1,0)</f>
        <v>0</v>
      </c>
      <c r="P14" s="69" t="n">
        <f aca="false">OFFSET(TblProd[[#This Row],[Prestige]],-1,0)</f>
        <v>250</v>
      </c>
      <c r="Q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4" s="69" t="n">
        <f aca="false">MAX(3750,_xlfn.CEILING.MATH(TblProd[[#This Row],[Land]]*2.5+OFFSET(TblTech[[#This Row],[Sum of tech]],-1,0)*150))</f>
        <v>3750</v>
      </c>
      <c r="S14" s="132"/>
      <c r="T14" s="69" t="n">
        <f aca="false">ROUNDDOWN(TblProd[[#This Row],[Raw Plat/hr]]*(1+TblProd[[#This Row],[Bonus Plat/hr]]),0)</f>
        <v>6906</v>
      </c>
      <c r="U14" s="69" t="n">
        <f aca="false">ROUND(TblProd[[#This Row],[Raw Food/hr]]*(1+TblProd[[#This Row],[Bonus Food/hr]])-TblProd[[#This Row],[Food decay]]-TblProd[[#This Row],[Food eaten]],0)</f>
        <v>2111</v>
      </c>
      <c r="V14" s="69" t="n">
        <f aca="false">ROUND(TblProd[[#This Row],[Raw Lumber/hr]]*(1+TblProd[[#This Row],[Bonus Lumber/hr]])-TblProd[[#This Row],[Lumber rot]],0)</f>
        <v>987</v>
      </c>
      <c r="W14" s="69" t="n">
        <f aca="false">ROUND(TblProd[[#This Row],[Raw Mana/hr]]*(1+TblProd[[#This Row],[Bonus Mana/hr]])-TblProd[[#This Row],[Mana drain]],0)</f>
        <v>229</v>
      </c>
      <c r="X14" s="69" t="n">
        <f aca="false">ROUNDDOWN(TblProd[[#This Row],[Raw Ore/hr]]*(1+TblProd[[#This Row],[Bonux Ore/hr]]),0)</f>
        <v>0</v>
      </c>
      <c r="Y14" s="69" t="n">
        <f aca="false">ROUNDDOWN(TblProd[[#This Row],[Raw Gems/hr]]*(1+TblProd[[#This Row],[Bonus Gems/hr]]),0)</f>
        <v>0</v>
      </c>
      <c r="Z14" s="148" t="n">
        <f aca="false">OFFSET(TblConstr[[#This Row],[Tot Doc]],1,0)*dock_boats_hr * (1 + tech_4_1*TblTech[[#This Row],[4-1]])</f>
        <v>0</v>
      </c>
      <c r="AA14" s="146"/>
      <c r="AB14" s="69" t="n">
        <f aca="false">TblPop[[#This Row],[Peasants]]*tax*TblPop[[#This Row],[Employment]] + (Construction!AZ15+Construction!BX15)*(alch_plat+(Magic!AM14&gt;0)*alchemist_flame_bonus)</f>
        <v>6006</v>
      </c>
      <c r="AC14" s="69" t="n">
        <f aca="false">TblConstr[[#This Row],[Tot Farm]]*farm_food + TblConstr[[#This Row],[Tot Doc]]*dock_food</f>
        <v>2400</v>
      </c>
      <c r="AD14" s="69" t="n">
        <f aca="false">TblConstr[[#This Row],[Tot Ly]]*ly_lumber + TblConstr[[#This Row],[Tot Hav]]*fh_lumber</f>
        <v>1000</v>
      </c>
      <c r="AE14" s="69" t="n">
        <f aca="false">OFFSET(TblConstr[[#This Row],[Tot Tow]],1,0)*(tower_mana + tech_4_5*TblTech[[#This Row],[4-5]]) + OFFSET(TblConstr[[#This Row],[Tot WG]],1,0)*wg_mana_prod</f>
        <v>0</v>
      </c>
      <c r="AF14" s="69" t="n">
        <f aca="false">OFFSET(TblConstr[[#This Row],[Tot OM]],1,0)*om_ore+IF(race="Dwarf",ROUNDDOWN(TblMili[[#This Row],[Unit 2]]*0.4,0),)</f>
        <v>0</v>
      </c>
      <c r="AG14" s="69" t="n">
        <f aca="false">OFFSET(TblConstr[[#This Row],[Tot DM]],1,0)*dm_gems</f>
        <v>0</v>
      </c>
      <c r="AH14" s="132"/>
      <c r="AI14" s="149" t="n">
        <f aca="false">MIN(race_platinum_bonus + IF(TblMagic[[#This Row],[Active Alch Frost]]&gt;0,alch_frost_bonus,IF(Magic!AD14&gt;0,midas_bonus)) + TblImps[[#This Row],[Science]] - TblProd[[#This Row],[Guard]]*(0.02 + tech_5_7*TblTech[[#This Row],[5-7]]) + tech_1_5*TblTech[[#This Row],[1-5]] + tech_4_4*TblTech[[#This Row],[4-4]], 0.5)</f>
        <v>0.15</v>
      </c>
      <c r="AJ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4" s="149" t="n">
        <f aca="false">race_lumber_bonus+ IF(TblMagic[[#This Row],[Active Gaia''s Blessing]]&gt;0,gaias_blessing_lumber)+ tech_1_3*TblTech[[#This Row],[1-3]] + tech_1_6*TblTech[[#This Row],[1-6]] + tech_3_3*TblTech[[#This Row],[3-3]]</f>
        <v>0</v>
      </c>
      <c r="AL14" s="149" t="n">
        <f aca="false">race_mana_bonus+ 0 + TblImps[[#This Row],[Towers]] + tech_1_2*TblTech[[#This Row],[1-2]] + tech_3_4*TblTech[[#This Row],[3-4]]</f>
        <v>0</v>
      </c>
      <c r="AM14" s="149" t="n">
        <f aca="false">race_ore_bonus + IF(TblMagic[[#This Row],[Active Miner''s Sight]]&gt;0,miners_sight_bonus,IF(TblMagic[[#This Row],[Active Mining Strength]]&gt;0,mining_strength_bonus)) +  tech_1_6*TblTech[[#This Row],[1-6]]</f>
        <v>0.2</v>
      </c>
      <c r="AN14" s="149" t="n">
        <f aca="false">race_gem_bonus+ tech_3_2*TblTech[[#This Row],[3-2]] + tech_4_3*TblTech[[#This Row],[4-3]] + tech_6_2*TblTech[[#This Row],[6-2]]</f>
        <v>0.15</v>
      </c>
      <c r="AO14" s="132"/>
      <c r="AP14" s="69" t="n">
        <f aca="false">TblProd[[#This Row],[Food]]*food_decay * (1 + tech_2_1*TblTech[[#This Row],[2-1]] + tech_2_8*TblTech[[#This Row],[2-8]])</f>
        <v>352.97</v>
      </c>
      <c r="AQ14" s="69" t="n">
        <f aca="false">(1+race_food_consumption)*TblPop[[#This Row],[Total]]*food_per_person*(1+tech_1_10*TblTech[[#This Row],[1-10]]+tech_7_5*TblTech[[#This Row],[7-5]])</f>
        <v>476.5</v>
      </c>
      <c r="AR14" s="69" t="n">
        <f aca="false">TblProd[[#This Row],[Lumber]]*lumber_rot * (1 + tech_2_1*TblTech[[#This Row],[2-1]] + tech_2_8*TblTech[[#This Row],[2-8]] + tech_5_2*TblTech[[#This Row],[5-2]])</f>
        <v>12.91</v>
      </c>
      <c r="AS14" s="69" t="n">
        <f aca="false">TblProd[[#This Row],[Mana]]*mana_drain * (1 + tech_2_1*TblTech[[#This Row],[2-1]] + tech_2_8*TblTech[[#This Row],[2-8]])</f>
        <v>-228.62</v>
      </c>
      <c r="AT14" s="146"/>
      <c r="AU14" s="69" t="n">
        <f aca="false">TblExplore[[#This Row],[Platinum (2)]]+TblConstr[[#This Row],[Total Plat Cost]]+TblMili[[#This Row],[Plat Cost]]+TblRezone[[#This Row],[Platinum cost]]+TblImps[[#This Row],[P1]]-TblProd[[#This Row],[Bank Plat]]</f>
        <v>701.5</v>
      </c>
      <c r="AV14" s="69" t="n">
        <f aca="false">TblConstr[[#This Row],[Total Lum Cost]]+TblImps[[#This Row],[L1]]-TblProd[[#This Row],[Bank Lumber]] + Military!$CL$25*TblMili[[#This Row],[Sec. rec. Cost]]</f>
        <v>297</v>
      </c>
      <c r="AW14" s="69" t="n">
        <f aca="false">TblMagic[[#This Row],[Mana cost]] + Military!$CL$26*TblMili[[#This Row],[Sec. rec. Cost]]</f>
        <v>1250</v>
      </c>
      <c r="AX14" s="69" t="n">
        <f aca="false">Military!$CL$24*TblMili[[#This Row],[Sec. rec. Cost]]+TblImps[[#This Row],[O1]]-TblProd[[#This Row],[Bank Ore]]</f>
        <v>0</v>
      </c>
      <c r="AY14" s="69" t="n">
        <f aca="false">TblImps[[#This Row],[G1]]-TblProd[[#This Row],[Bank Gems]]</f>
        <v>0</v>
      </c>
      <c r="AZ14" s="132"/>
      <c r="BA14" s="33" t="n">
        <f aca="false">IF(TblProd[[#This Row],[Set Guard]]&lt;&gt;"",TblProd[[#This Row],[Set Guard]],OFFSET(TblProd[[#This Row],[Guard]],-1,0))</f>
        <v>0</v>
      </c>
      <c r="BB14" s="145"/>
      <c r="BC14" s="151" t="n">
        <f aca="false">TblProd[[#This Row],[Hour]]</f>
        <v>11</v>
      </c>
      <c r="BD14" s="152" t="n">
        <f aca="false">-TblProd[[#This Row],[Bank Lumber]] / 2 + -TblProd[[#This Row],[Bank Gems]] * 2 + -TblProd[[#This Row],[Bank Ore]] / 2</f>
        <v>148.5</v>
      </c>
      <c r="BE14" s="152" t="n">
        <v>-297</v>
      </c>
      <c r="BF14" s="152"/>
      <c r="BG14" s="152"/>
      <c r="BH14" s="153" t="n">
        <f aca="false">TblProd[[#This Row],[Time]]</f>
        <v>45430.1666666667</v>
      </c>
      <c r="BI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Nope</v>
      </c>
      <c r="BJ14" s="69" t="n">
        <f aca="false">TblProd[[#This Row],[Platinum]]</f>
        <v>44502.5</v>
      </c>
      <c r="BK14" s="69" t="n">
        <f aca="false">TblProd[[#This Row],[Food]]</f>
        <v>35297</v>
      </c>
      <c r="BL14" s="69" t="n">
        <f aca="false">TblProd[[#This Row],[Lumber]]</f>
        <v>1291</v>
      </c>
      <c r="BM14" s="69" t="n">
        <f aca="false">TblProd[[#This Row],[Mana]]</f>
        <v>-11431</v>
      </c>
      <c r="BN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c r="H15" s="69" t="e">
        <f aca="false">TblMili[[#This Row],[Networth (2)]]</f>
        <v>#VALUE!</v>
      </c>
      <c r="I15" s="69" t="n">
        <f aca="false">OFFSET(TblProd[[#This Row],[Platinum]],-1,0)+OFFSET(TblProd[[#This Row],[Plat/hr]],-1,0) - TblProd[[#This Row],[Expenses Platinum]] + IF(TblProd[[#This Row],[Plat Bonus]],TblPop[[#This Row],[Peasants]]*4) + SUM(TblConstr[[#This Row],[Dest Hom]:[Dest Doc]])*TblConstr[[#This Row],[CPA Platinum -DB]]*tech_3_3_2*TblTech[[#This Row],[3-3]]</f>
        <v>53587</v>
      </c>
      <c r="J15" s="69" t="n">
        <f aca="false">OFFSET(TblProd[[#This Row],[Food]],-1,0)+OFFSET(TblProd[[#This Row],[Food/hr]],-1,0)+ROUNDUP((TblConstr[[#This Row],[Farms]]*80+TblConstr[[#This Row],[Docks]]*35)*(1+OFFSET(TblProd[[#This Row],[Bonus Food/hr]],-1,0)),0)</f>
        <v>37408</v>
      </c>
      <c r="K15" s="69" t="n">
        <f aca="false">OFFSET(TblProd[[#This Row],[Lumber]],-1,0)+OFFSET(TblProd[[#This Row],[Lumber/hr]],-1,0) - TblProd[[#This Row],[Expenses Lumber]] + SUM(TblConstr[[#This Row],[Dest Hom]:[Dest Doc]])*TblConstr[[#This Row],[CPA Lumber -DB]]*tech_3_3_2*TblTech[[#This Row],[3-3]]</f>
        <v>2278</v>
      </c>
      <c r="L15" s="69" t="n">
        <f aca="false">OFFSET(TblProd[[#This Row],[Mana]],-1,0)+OFFSET(TblProd[[#This Row],[Mana/hr]],-1,0)- TblProd[[#This Row],[Expenses Mana]]</f>
        <v>-11202</v>
      </c>
      <c r="M15" s="69" t="n">
        <f aca="false">OFFSET(TblProd[[#This Row],[Ore]],-1,0)+OFFSET(TblProd[[#This Row],[Ore/hr]],-1,0) -TblProd[[#This Row],[Expenses Ore]]</f>
        <v>-357</v>
      </c>
      <c r="N15" s="69" t="n">
        <f aca="false">OFFSET(TblProd[[#This Row],[Gems]],-1,0)+OFFSET(TblProd[[#This Row],[Gems/hr]],-1,0) - TblProd[[#This Row],[Expenses Gems]]</f>
        <v>-1000</v>
      </c>
      <c r="O15" s="69" t="n">
        <f aca="false">OFFSET(TblProd[[#This Row],[Boats]],-1,0)+OFFSET(TblProd[[#This Row],[Boats/hr]],-1,0)</f>
        <v>0</v>
      </c>
      <c r="P15" s="69" t="n">
        <f aca="false">OFFSET(TblProd[[#This Row],[Prestige]],-1,0)</f>
        <v>250</v>
      </c>
      <c r="Q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5" s="69" t="n">
        <f aca="false">MAX(3750,_xlfn.CEILING.MATH(TblProd[[#This Row],[Land]]*2.5+OFFSET(TblTech[[#This Row],[Sum of tech]],-1,0)*150))</f>
        <v>3750</v>
      </c>
      <c r="S15" s="132"/>
      <c r="T15" s="69" t="n">
        <f aca="false">ROUNDDOWN(TblProd[[#This Row],[Raw Plat/hr]]*(1+TblProd[[#This Row],[Bonus Plat/hr]]),0)</f>
        <v>9671</v>
      </c>
      <c r="U15" s="69" t="n">
        <f aca="false">ROUND(TblProd[[#This Row],[Raw Food/hr]]*(1+TblProd[[#This Row],[Bonus Food/hr]])-TblProd[[#This Row],[Food decay]]-TblProd[[#This Row],[Food eaten]],0)</f>
        <v>2078</v>
      </c>
      <c r="V15" s="69" t="n">
        <f aca="false">ROUND(TblProd[[#This Row],[Raw Lumber/hr]]*(1+TblProd[[#This Row],[Bonus Lumber/hr]])-TblProd[[#This Row],[Lumber rot]],0)</f>
        <v>977</v>
      </c>
      <c r="W15" s="69" t="n">
        <f aca="false">ROUND(TblProd[[#This Row],[Raw Mana/hr]]*(1+TblProd[[#This Row],[Bonus Mana/hr]])-TblProd[[#This Row],[Mana drain]],0)</f>
        <v>599</v>
      </c>
      <c r="X15" s="69" t="n">
        <f aca="false">ROUNDDOWN(TblProd[[#This Row],[Raw Ore/hr]]*(1+TblProd[[#This Row],[Bonux Ore/hr]]),0)</f>
        <v>0</v>
      </c>
      <c r="Y15" s="69" t="n">
        <f aca="false">ROUNDDOWN(TblProd[[#This Row],[Raw Gems/hr]]*(1+TblProd[[#This Row],[Bonus Gems/hr]]),0)</f>
        <v>0</v>
      </c>
      <c r="Z15" s="148" t="n">
        <f aca="false">OFFSET(TblConstr[[#This Row],[Tot Doc]],1,0)*dock_boats_hr * (1 + tech_4_1*TblTech[[#This Row],[4-1]])</f>
        <v>0</v>
      </c>
      <c r="AA15" s="146"/>
      <c r="AB15" s="69" t="n">
        <f aca="false">TblPop[[#This Row],[Peasants]]*tax*TblPop[[#This Row],[Employment]] + (Construction!AZ16+Construction!BX16)*(alch_plat+(Magic!AM15&gt;0)*alchemist_flame_bonus)</f>
        <v>8409.7</v>
      </c>
      <c r="AC15" s="69" t="n">
        <f aca="false">TblConstr[[#This Row],[Tot Farm]]*farm_food + TblConstr[[#This Row],[Tot Doc]]*dock_food</f>
        <v>2400</v>
      </c>
      <c r="AD15" s="69" t="n">
        <f aca="false">TblConstr[[#This Row],[Tot Ly]]*ly_lumber + TblConstr[[#This Row],[Tot Hav]]*fh_lumber</f>
        <v>1000</v>
      </c>
      <c r="AE15" s="69" t="n">
        <f aca="false">OFFSET(TblConstr[[#This Row],[Tot Tow]],1,0)*(tower_mana + tech_4_5*TblTech[[#This Row],[4-5]]) + OFFSET(TblConstr[[#This Row],[Tot WG]],1,0)*wg_mana_prod</f>
        <v>375</v>
      </c>
      <c r="AF15" s="69" t="n">
        <f aca="false">OFFSET(TblConstr[[#This Row],[Tot OM]],1,0)*om_ore+IF(race="Dwarf",ROUNDDOWN(TblMili[[#This Row],[Unit 2]]*0.4,0),)</f>
        <v>0</v>
      </c>
      <c r="AG15" s="69" t="n">
        <f aca="false">OFFSET(TblConstr[[#This Row],[Tot DM]],1,0)*dm_gems</f>
        <v>0</v>
      </c>
      <c r="AH15" s="132"/>
      <c r="AI15" s="149" t="n">
        <f aca="false">MIN(race_platinum_bonus + IF(TblMagic[[#This Row],[Active Alch Frost]]&gt;0,alch_frost_bonus,IF(Magic!AD15&gt;0,midas_bonus)) + TblImps[[#This Row],[Science]] - TblProd[[#This Row],[Guard]]*(0.02 + tech_5_7*TblTech[[#This Row],[5-7]]) + tech_1_5*TblTech[[#This Row],[1-5]] + tech_4_4*TblTech[[#This Row],[4-4]], 0.5)</f>
        <v>0.15</v>
      </c>
      <c r="AJ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5" s="149" t="n">
        <f aca="false">race_lumber_bonus+ IF(TblMagic[[#This Row],[Active Gaia''s Blessing]]&gt;0,gaias_blessing_lumber)+ tech_1_3*TblTech[[#This Row],[1-3]] + tech_1_6*TblTech[[#This Row],[1-6]] + tech_3_3*TblTech[[#This Row],[3-3]]</f>
        <v>0</v>
      </c>
      <c r="AL15" s="149" t="n">
        <f aca="false">race_mana_bonus+ 0 + TblImps[[#This Row],[Towers]] + tech_1_2*TblTech[[#This Row],[1-2]] + tech_3_4*TblTech[[#This Row],[3-4]]</f>
        <v>0</v>
      </c>
      <c r="AM15" s="149" t="n">
        <f aca="false">race_ore_bonus + IF(TblMagic[[#This Row],[Active Miner''s Sight]]&gt;0,miners_sight_bonus,IF(TblMagic[[#This Row],[Active Mining Strength]]&gt;0,mining_strength_bonus)) +  tech_1_6*TblTech[[#This Row],[1-6]]</f>
        <v>0.2</v>
      </c>
      <c r="AN15" s="149" t="n">
        <f aca="false">race_gem_bonus+ tech_3_2*TblTech[[#This Row],[3-2]] + tech_4_3*TblTech[[#This Row],[4-3]] + tech_6_2*TblTech[[#This Row],[6-2]]</f>
        <v>0.15</v>
      </c>
      <c r="AO15" s="132"/>
      <c r="AP15" s="69" t="n">
        <f aca="false">TblProd[[#This Row],[Food]]*food_decay * (1 + tech_2_1*TblTech[[#This Row],[2-1]] + tech_2_8*TblTech[[#This Row],[2-8]])</f>
        <v>374.08</v>
      </c>
      <c r="AQ15" s="69" t="n">
        <f aca="false">(1+race_food_consumption)*TblPop[[#This Row],[Total]]*food_per_person*(1+tech_1_10*TblTech[[#This Row],[1-10]]+tech_7_5*TblTech[[#This Row],[7-5]])</f>
        <v>488.25</v>
      </c>
      <c r="AR15" s="69" t="n">
        <f aca="false">TblProd[[#This Row],[Lumber]]*lumber_rot * (1 + tech_2_1*TblTech[[#This Row],[2-1]] + tech_2_8*TblTech[[#This Row],[2-8]] + tech_5_2*TblTech[[#This Row],[5-2]])</f>
        <v>22.78</v>
      </c>
      <c r="AS15" s="69" t="n">
        <f aca="false">TblProd[[#This Row],[Mana]]*mana_drain * (1 + tech_2_1*TblTech[[#This Row],[2-1]] + tech_2_8*TblTech[[#This Row],[2-8]])</f>
        <v>-224.04</v>
      </c>
      <c r="AT15" s="146"/>
      <c r="AU15" s="69" t="n">
        <f aca="false">TblExplore[[#This Row],[Platinum (2)]]+TblConstr[[#This Row],[Total Plat Cost]]+TblMili[[#This Row],[Plat Cost]]+TblRezone[[#This Row],[Platinum cost]]+TblImps[[#This Row],[P1]]-TblProd[[#This Row],[Bank Plat]]</f>
        <v>-2178.5</v>
      </c>
      <c r="AV15" s="69" t="n">
        <f aca="false">TblConstr[[#This Row],[Total Lum Cost]]+TblImps[[#This Row],[L1]]-TblProd[[#This Row],[Bank Lumber]] + Military!$CL$25*TblMili[[#This Row],[Sec. rec. Cost]]</f>
        <v>0</v>
      </c>
      <c r="AW15" s="69" t="n">
        <f aca="false">TblMagic[[#This Row],[Mana cost]] + Military!$CL$26*TblMili[[#This Row],[Sec. rec. Cost]]</f>
        <v>0</v>
      </c>
      <c r="AX15" s="69" t="n">
        <f aca="false">Military!$CL$24*TblMili[[#This Row],[Sec. rec. Cost]]+TblImps[[#This Row],[O1]]-TblProd[[#This Row],[Bank Ore]]</f>
        <v>357</v>
      </c>
      <c r="AY15" s="69" t="n">
        <f aca="false">TblImps[[#This Row],[G1]]-TblProd[[#This Row],[Bank Gems]]</f>
        <v>1000</v>
      </c>
      <c r="AZ15" s="132"/>
      <c r="BA15" s="33" t="n">
        <f aca="false">IF(TblProd[[#This Row],[Set Guard]]&lt;&gt;"",TblProd[[#This Row],[Set Guard]],OFFSET(TblProd[[#This Row],[Guard]],-1,0))</f>
        <v>0</v>
      </c>
      <c r="BB15" s="145"/>
      <c r="BC15" s="151" t="n">
        <f aca="false">TblProd[[#This Row],[Hour]]</f>
        <v>12</v>
      </c>
      <c r="BD15" s="152" t="n">
        <f aca="false">-TblProd[[#This Row],[Bank Lumber]] / 2 + -TblProd[[#This Row],[Bank Gems]] * 2 + -TblProd[[#This Row],[Bank Ore]] / 2</f>
        <v>2178.5</v>
      </c>
      <c r="BE15" s="152"/>
      <c r="BF15" s="152" t="n">
        <v>-357</v>
      </c>
      <c r="BG15" s="152" t="n">
        <v>-1000</v>
      </c>
      <c r="BH15" s="153" t="n">
        <f aca="false">TblProd[[#This Row],[Time]]</f>
        <v>45430.2083333333</v>
      </c>
      <c r="BI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Nope</v>
      </c>
      <c r="BJ15" s="69" t="n">
        <f aca="false">TblProd[[#This Row],[Platinum]]</f>
        <v>53587</v>
      </c>
      <c r="BK15" s="69" t="n">
        <f aca="false">TblProd[[#This Row],[Food]]</f>
        <v>37408</v>
      </c>
      <c r="BL15" s="69" t="n">
        <f aca="false">TblProd[[#This Row],[Lumber]]</f>
        <v>2278</v>
      </c>
      <c r="BM15" s="69" t="n">
        <f aca="false">TblProd[[#This Row],[Mana]]</f>
        <v>-11202</v>
      </c>
      <c r="BN15" s="69" t="n">
        <f aca="false">TblProd[[#This Row],[Ore]]</f>
        <v>-357</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c r="H16" s="69" t="e">
        <f aca="false">TblMili[[#This Row],[Networth (2)]]</f>
        <v>#VALUE!</v>
      </c>
      <c r="I16" s="69" t="n">
        <f aca="false">OFFSET(TblProd[[#This Row],[Platinum]],-1,0)+OFFSET(TblProd[[#This Row],[Plat/hr]],-1,0) - TblProd[[#This Row],[Expenses Platinum]] + IF(TblProd[[#This Row],[Plat Bonus]],TblPop[[#This Row],[Peasants]]*4) + SUM(TblConstr[[#This Row],[Dest Hom]:[Dest Doc]])*TblConstr[[#This Row],[CPA Platinum -DB]]*tech_3_3_2*TblTech[[#This Row],[3-3]]</f>
        <v>39408</v>
      </c>
      <c r="J16" s="69" t="n">
        <f aca="false">OFFSET(TblProd[[#This Row],[Food]],-1,0)+OFFSET(TblProd[[#This Row],[Food/hr]],-1,0)+ROUNDUP((TblConstr[[#This Row],[Farms]]*80+TblConstr[[#This Row],[Docks]]*35)*(1+OFFSET(TblProd[[#This Row],[Bonus Food/hr]],-1,0)),0)</f>
        <v>39486</v>
      </c>
      <c r="K16" s="69" t="n">
        <f aca="false">OFFSET(TblProd[[#This Row],[Lumber]],-1,0)+OFFSET(TblProd[[#This Row],[Lumber/hr]],-1,0) - TblProd[[#This Row],[Expenses Lumber]] + SUM(TblConstr[[#This Row],[Dest Hom]:[Dest Doc]])*TblConstr[[#This Row],[CPA Lumber -DB]]*tech_3_3_2*TblTech[[#This Row],[3-3]]</f>
        <v>395</v>
      </c>
      <c r="L16" s="69" t="n">
        <f aca="false">OFFSET(TblProd[[#This Row],[Mana]],-1,0)+OFFSET(TblProd[[#This Row],[Mana/hr]],-1,0)- TblProd[[#This Row],[Expenses Mana]]</f>
        <v>-10603</v>
      </c>
      <c r="M16" s="69" t="n">
        <f aca="false">OFFSET(TblProd[[#This Row],[Ore]],-1,0)+OFFSET(TblProd[[#This Row],[Ore/hr]],-1,0) -TblProd[[#This Row],[Expenses Ore]]</f>
        <v>-357</v>
      </c>
      <c r="N16" s="69" t="n">
        <f aca="false">OFFSET(TblProd[[#This Row],[Gems]],-1,0)+OFFSET(TblProd[[#This Row],[Gems/hr]],-1,0) - TblProd[[#This Row],[Expenses Gems]]</f>
        <v>-1000</v>
      </c>
      <c r="O16" s="69" t="n">
        <f aca="false">OFFSET(TblProd[[#This Row],[Boats]],-1,0)+OFFSET(TblProd[[#This Row],[Boats/hr]],-1,0)</f>
        <v>0</v>
      </c>
      <c r="P16" s="69" t="n">
        <f aca="false">OFFSET(TblProd[[#This Row],[Prestige]],-1,0)</f>
        <v>250</v>
      </c>
      <c r="Q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6" s="69" t="n">
        <f aca="false">MAX(3750,_xlfn.CEILING.MATH(TblProd[[#This Row],[Land]]*2.5+OFFSET(TblTech[[#This Row],[Sum of tech]],-1,0)*150))</f>
        <v>3750</v>
      </c>
      <c r="S16" s="132"/>
      <c r="T16" s="69" t="n">
        <f aca="false">ROUNDDOWN(TblProd[[#This Row],[Raw Plat/hr]]*(1+TblProd[[#This Row],[Bonus Plat/hr]]),0)</f>
        <v>9938</v>
      </c>
      <c r="U16" s="69" t="n">
        <f aca="false">ROUND(TblProd[[#This Row],[Raw Food/hr]]*(1+TblProd[[#This Row],[Bonus Food/hr]])-TblProd[[#This Row],[Food decay]]-TblProd[[#This Row],[Food eaten]],0)</f>
        <v>-419</v>
      </c>
      <c r="V16" s="69" t="n">
        <f aca="false">ROUND(TblProd[[#This Row],[Raw Lumber/hr]]*(1+TblProd[[#This Row],[Bonus Lumber/hr]])-TblProd[[#This Row],[Lumber rot]],0)</f>
        <v>996</v>
      </c>
      <c r="W16" s="69" t="n">
        <f aca="false">ROUND(TblProd[[#This Row],[Raw Mana/hr]]*(1+TblProd[[#This Row],[Bonus Mana/hr]])-TblProd[[#This Row],[Mana drain]],0)</f>
        <v>587</v>
      </c>
      <c r="X16" s="69" t="n">
        <f aca="false">ROUNDDOWN(TblProd[[#This Row],[Raw Ore/hr]]*(1+TblProd[[#This Row],[Bonux Ore/hr]]),0)</f>
        <v>0</v>
      </c>
      <c r="Y16" s="69" t="n">
        <f aca="false">ROUNDDOWN(TblProd[[#This Row],[Raw Gems/hr]]*(1+TblProd[[#This Row],[Bonus Gems/hr]]),0)</f>
        <v>0</v>
      </c>
      <c r="Z16" s="148" t="n">
        <f aca="false">OFFSET(TblConstr[[#This Row],[Tot Doc]],1,0)*dock_boats_hr * (1 + tech_4_1*TblTech[[#This Row],[4-1]])</f>
        <v>0</v>
      </c>
      <c r="AA16" s="146"/>
      <c r="AB16" s="69" t="n">
        <f aca="false">TblPop[[#This Row],[Peasants]]*tax*TblPop[[#This Row],[Employment]] + (Construction!AZ17+Construction!BX17)*(alch_plat+(Magic!AM16&gt;0)*alchemist_flame_bonus)</f>
        <v>8641.9</v>
      </c>
      <c r="AC16" s="69" t="n">
        <f aca="false">TblConstr[[#This Row],[Tot Farm]]*farm_food + TblConstr[[#This Row],[Tot Doc]]*dock_food</f>
        <v>400</v>
      </c>
      <c r="AD16" s="69" t="n">
        <f aca="false">TblConstr[[#This Row],[Tot Ly]]*ly_lumber + TblConstr[[#This Row],[Tot Hav]]*fh_lumber</f>
        <v>1000</v>
      </c>
      <c r="AE16" s="69" t="n">
        <f aca="false">OFFSET(TblConstr[[#This Row],[Tot Tow]],1,0)*(tower_mana + tech_4_5*TblTech[[#This Row],[4-5]]) + OFFSET(TblConstr[[#This Row],[Tot WG]],1,0)*wg_mana_prod</f>
        <v>375</v>
      </c>
      <c r="AF16" s="69" t="n">
        <f aca="false">OFFSET(TblConstr[[#This Row],[Tot OM]],1,0)*om_ore+IF(race="Dwarf",ROUNDDOWN(TblMili[[#This Row],[Unit 2]]*0.4,0),)</f>
        <v>0</v>
      </c>
      <c r="AG16" s="69" t="n">
        <f aca="false">OFFSET(TblConstr[[#This Row],[Tot DM]],1,0)*dm_gems</f>
        <v>0</v>
      </c>
      <c r="AH16" s="132"/>
      <c r="AI16" s="149" t="n">
        <f aca="false">MIN(race_platinum_bonus + IF(TblMagic[[#This Row],[Active Alch Frost]]&gt;0,alch_frost_bonus,IF(Magic!AD16&gt;0,midas_bonus)) + TblImps[[#This Row],[Science]] - TblProd[[#This Row],[Guard]]*(0.02 + tech_5_7*TblTech[[#This Row],[5-7]]) + tech_1_5*TblTech[[#This Row],[1-5]] + tech_4_4*TblTech[[#This Row],[4-4]], 0.5)</f>
        <v>0.15</v>
      </c>
      <c r="AJ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6" s="149" t="n">
        <f aca="false">race_lumber_bonus+ IF(TblMagic[[#This Row],[Active Gaia''s Blessing]]&gt;0,gaias_blessing_lumber)+ tech_1_3*TblTech[[#This Row],[1-3]] + tech_1_6*TblTech[[#This Row],[1-6]] + tech_3_3*TblTech[[#This Row],[3-3]]</f>
        <v>0</v>
      </c>
      <c r="AL16" s="149" t="n">
        <f aca="false">race_mana_bonus+ 0 + TblImps[[#This Row],[Towers]] + tech_1_2*TblTech[[#This Row],[1-2]] + tech_3_4*TblTech[[#This Row],[3-4]]</f>
        <v>0</v>
      </c>
      <c r="AM16" s="149" t="n">
        <f aca="false">race_ore_bonus + IF(TblMagic[[#This Row],[Active Miner''s Sight]]&gt;0,miners_sight_bonus,IF(TblMagic[[#This Row],[Active Mining Strength]]&gt;0,mining_strength_bonus)) +  tech_1_6*TblTech[[#This Row],[1-6]]</f>
        <v>0.2</v>
      </c>
      <c r="AN16" s="149" t="n">
        <f aca="false">race_gem_bonus+ tech_3_2*TblTech[[#This Row],[3-2]] + tech_4_3*TblTech[[#This Row],[4-3]] + tech_6_2*TblTech[[#This Row],[6-2]]</f>
        <v>0.15</v>
      </c>
      <c r="AO16" s="132"/>
      <c r="AP16" s="69" t="n">
        <f aca="false">TblProd[[#This Row],[Food]]*food_decay * (1 + tech_2_1*TblTech[[#This Row],[2-1]] + tech_2_8*TblTech[[#This Row],[2-8]])</f>
        <v>394.86</v>
      </c>
      <c r="AQ16" s="69" t="n">
        <f aca="false">(1+race_food_consumption)*TblPop[[#This Row],[Total]]*food_per_person*(1+tech_1_10*TblTech[[#This Row],[1-10]]+tech_7_5*TblTech[[#This Row],[7-5]])</f>
        <v>513.75</v>
      </c>
      <c r="AR16" s="69" t="n">
        <f aca="false">TblProd[[#This Row],[Lumber]]*lumber_rot * (1 + tech_2_1*TblTech[[#This Row],[2-1]] + tech_2_8*TblTech[[#This Row],[2-8]] + tech_5_2*TblTech[[#This Row],[5-2]])</f>
        <v>3.95</v>
      </c>
      <c r="AS16" s="69" t="n">
        <f aca="false">TblProd[[#This Row],[Mana]]*mana_drain * (1 + tech_2_1*TblTech[[#This Row],[2-1]] + tech_2_8*TblTech[[#This Row],[2-8]])</f>
        <v>-212.06</v>
      </c>
      <c r="AT16" s="146"/>
      <c r="AU16" s="69" t="n">
        <f aca="false">TblExplore[[#This Row],[Platinum (2)]]+TblConstr[[#This Row],[Total Plat Cost]]+TblMili[[#This Row],[Plat Cost]]+TblRezone[[#This Row],[Platinum cost]]+TblImps[[#This Row],[P1]]-TblProd[[#This Row],[Bank Plat]]</f>
        <v>23850</v>
      </c>
      <c r="AV16" s="69" t="n">
        <f aca="false">TblConstr[[#This Row],[Total Lum Cost]]+TblImps[[#This Row],[L1]]-TblProd[[#This Row],[Bank Lumber]] + Military!$CL$25*TblMili[[#This Row],[Sec. rec. Cost]]</f>
        <v>2860</v>
      </c>
      <c r="AW16" s="69" t="n">
        <f aca="false">TblMagic[[#This Row],[Mana cost]] + Military!$CL$26*TblMili[[#This Row],[Sec. rec. Cost]]</f>
        <v>0</v>
      </c>
      <c r="AX16" s="69" t="n">
        <f aca="false">Military!$CL$24*TblMili[[#This Row],[Sec. rec. Cost]]+TblImps[[#This Row],[O1]]-TblProd[[#This Row],[Bank Ore]]</f>
        <v>0</v>
      </c>
      <c r="AY16" s="69" t="n">
        <f aca="false">TblImps[[#This Row],[G1]]-TblProd[[#This Row],[Bank Gems]]</f>
        <v>0</v>
      </c>
      <c r="AZ16" s="132"/>
      <c r="BA16" s="33" t="n">
        <f aca="false">IF(TblProd[[#This Row],[Set Guard]]&lt;&gt;"",TblProd[[#This Row],[Set Guard]],OFFSET(TblProd[[#This Row],[Guard]],-1,0))</f>
        <v>0</v>
      </c>
      <c r="BB16" s="145"/>
      <c r="BC16" s="151" t="n">
        <f aca="false">TblProd[[#This Row],[Hour]]</f>
        <v>13</v>
      </c>
      <c r="BD16" s="152" t="n">
        <f aca="false">-TblProd[[#This Row],[Bank Lumber]] / 2 + -TblProd[[#This Row],[Bank Gems]] * 2 + -TblProd[[#This Row],[Bank Ore]] / 2</f>
        <v>0</v>
      </c>
      <c r="BE16" s="152"/>
      <c r="BF16" s="152"/>
      <c r="BG16" s="152"/>
      <c r="BH16" s="153" t="n">
        <f aca="false">TblProd[[#This Row],[Time]]</f>
        <v>45430.25</v>
      </c>
      <c r="BI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J16" s="69" t="n">
        <f aca="false">TblProd[[#This Row],[Platinum]]</f>
        <v>39408</v>
      </c>
      <c r="BK16" s="69" t="n">
        <f aca="false">TblProd[[#This Row],[Food]]</f>
        <v>39486</v>
      </c>
      <c r="BL16" s="69" t="n">
        <f aca="false">TblProd[[#This Row],[Lumber]]</f>
        <v>395</v>
      </c>
      <c r="BM16" s="69" t="n">
        <f aca="false">TblProd[[#This Row],[Mana]]</f>
        <v>-10603</v>
      </c>
      <c r="BN16" s="69" t="n">
        <f aca="false">TblProd[[#This Row],[Ore]]</f>
        <v>-357</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c r="H17" s="69" t="e">
        <f aca="false">TblMili[[#This Row],[Networth (2)]]</f>
        <v>#VALUE!</v>
      </c>
      <c r="I17" s="69" t="n">
        <f aca="false">OFFSET(TblProd[[#This Row],[Platinum]],-1,0)+OFFSET(TblProd[[#This Row],[Plat/hr]],-1,0) - TblProd[[#This Row],[Expenses Platinum]] + IF(TblProd[[#This Row],[Plat Bonus]],TblPop[[#This Row],[Peasants]]*4) + SUM(TblConstr[[#This Row],[Dest Hom]:[Dest Doc]])*TblConstr[[#This Row],[CPA Platinum -DB]]*tech_3_3_2*TblTech[[#This Row],[3-3]]</f>
        <v>49346</v>
      </c>
      <c r="J17" s="69" t="n">
        <f aca="false">OFFSET(TblProd[[#This Row],[Food]],-1,0)+OFFSET(TblProd[[#This Row],[Food/hr]],-1,0)+ROUNDUP((TblConstr[[#This Row],[Farms]]*80+TblConstr[[#This Row],[Docks]]*35)*(1+OFFSET(TblProd[[#This Row],[Bonus Food/hr]],-1,0)),0)</f>
        <v>39067</v>
      </c>
      <c r="K17" s="69" t="n">
        <f aca="false">OFFSET(TblProd[[#This Row],[Lumber]],-1,0)+OFFSET(TblProd[[#This Row],[Lumber/hr]],-1,0) - TblProd[[#This Row],[Expenses Lumber]] + SUM(TblConstr[[#This Row],[Dest Hom]:[Dest Doc]])*TblConstr[[#This Row],[CPA Lumber -DB]]*tech_3_3_2*TblTech[[#This Row],[3-3]]</f>
        <v>1391</v>
      </c>
      <c r="L17" s="69" t="n">
        <f aca="false">OFFSET(TblProd[[#This Row],[Mana]],-1,0)+OFFSET(TblProd[[#This Row],[Mana/hr]],-1,0)- TblProd[[#This Row],[Expenses Mana]]</f>
        <v>-10016</v>
      </c>
      <c r="M17" s="69" t="n">
        <f aca="false">OFFSET(TblProd[[#This Row],[Ore]],-1,0)+OFFSET(TblProd[[#This Row],[Ore/hr]],-1,0) -TblProd[[#This Row],[Expenses Ore]]</f>
        <v>-357</v>
      </c>
      <c r="N17" s="69" t="n">
        <f aca="false">OFFSET(TblProd[[#This Row],[Gems]],-1,0)+OFFSET(TblProd[[#This Row],[Gems/hr]],-1,0) - TblProd[[#This Row],[Expenses Gems]]</f>
        <v>-1000</v>
      </c>
      <c r="O17" s="69" t="n">
        <f aca="false">OFFSET(TblProd[[#This Row],[Boats]],-1,0)+OFFSET(TblProd[[#This Row],[Boats/hr]],-1,0)</f>
        <v>0</v>
      </c>
      <c r="P17" s="69" t="n">
        <f aca="false">OFFSET(TblProd[[#This Row],[Prestige]],-1,0)</f>
        <v>250</v>
      </c>
      <c r="Q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7" s="69" t="n">
        <f aca="false">MAX(3750,_xlfn.CEILING.MATH(TblProd[[#This Row],[Land]]*2.5+OFFSET(TblTech[[#This Row],[Sum of tech]],-1,0)*150))</f>
        <v>3750</v>
      </c>
      <c r="S17" s="132"/>
      <c r="T17" s="69" t="n">
        <f aca="false">ROUNDDOWN(TblProd[[#This Row],[Raw Plat/hr]]*(1+TblProd[[#This Row],[Bonus Plat/hr]]),0)</f>
        <v>10217</v>
      </c>
      <c r="U17" s="69" t="n">
        <f aca="false">ROUND(TblProd[[#This Row],[Raw Food/hr]]*(1+TblProd[[#This Row],[Bonus Food/hr]])-TblProd[[#This Row],[Food decay]]-TblProd[[#This Row],[Food eaten]],0)</f>
        <v>-441</v>
      </c>
      <c r="V17" s="69" t="n">
        <f aca="false">ROUND(TblProd[[#This Row],[Raw Lumber/hr]]*(1+TblProd[[#This Row],[Bonus Lumber/hr]])-TblProd[[#This Row],[Lumber rot]],0)</f>
        <v>986</v>
      </c>
      <c r="W17" s="69" t="n">
        <f aca="false">ROUND(TblProd[[#This Row],[Raw Mana/hr]]*(1+TblProd[[#This Row],[Bonus Mana/hr]])-TblProd[[#This Row],[Mana drain]],0)</f>
        <v>575</v>
      </c>
      <c r="X17" s="69" t="n">
        <f aca="false">ROUNDDOWN(TblProd[[#This Row],[Raw Ore/hr]]*(1+TblProd[[#This Row],[Bonux Ore/hr]]),0)</f>
        <v>0</v>
      </c>
      <c r="Y17" s="69" t="n">
        <f aca="false">ROUNDDOWN(TblProd[[#This Row],[Raw Gems/hr]]*(1+TblProd[[#This Row],[Bonus Gems/hr]]),0)</f>
        <v>0</v>
      </c>
      <c r="Z17" s="148" t="n">
        <f aca="false">OFFSET(TblConstr[[#This Row],[Tot Doc]],1,0)*dock_boats_hr * (1 + tech_4_1*TblTech[[#This Row],[4-1]])</f>
        <v>0</v>
      </c>
      <c r="AA17" s="146"/>
      <c r="AB17" s="69" t="n">
        <f aca="false">TblPop[[#This Row],[Peasants]]*tax*TblPop[[#This Row],[Employment]] + (Construction!AZ18+Construction!BX18)*(alch_plat+(Magic!AM17&gt;0)*alchemist_flame_bonus)</f>
        <v>8884.9</v>
      </c>
      <c r="AC17" s="69" t="n">
        <f aca="false">TblConstr[[#This Row],[Tot Farm]]*farm_food + TblConstr[[#This Row],[Tot Doc]]*dock_food</f>
        <v>400</v>
      </c>
      <c r="AD17" s="69" t="n">
        <f aca="false">TblConstr[[#This Row],[Tot Ly]]*ly_lumber + TblConstr[[#This Row],[Tot Hav]]*fh_lumber</f>
        <v>1000</v>
      </c>
      <c r="AE17" s="69" t="n">
        <f aca="false">OFFSET(TblConstr[[#This Row],[Tot Tow]],1,0)*(tower_mana + tech_4_5*TblTech[[#This Row],[4-5]]) + OFFSET(TblConstr[[#This Row],[Tot WG]],1,0)*wg_mana_prod</f>
        <v>375</v>
      </c>
      <c r="AF17" s="69" t="n">
        <f aca="false">OFFSET(TblConstr[[#This Row],[Tot OM]],1,0)*om_ore+IF(race="Dwarf",ROUNDDOWN(TblMili[[#This Row],[Unit 2]]*0.4,0),)</f>
        <v>0</v>
      </c>
      <c r="AG17" s="69" t="n">
        <f aca="false">OFFSET(TblConstr[[#This Row],[Tot DM]],1,0)*dm_gems</f>
        <v>0</v>
      </c>
      <c r="AH17" s="132"/>
      <c r="AI17" s="149" t="n">
        <f aca="false">MIN(race_platinum_bonus + IF(TblMagic[[#This Row],[Active Alch Frost]]&gt;0,alch_frost_bonus,IF(Magic!AD17&gt;0,midas_bonus)) + TblImps[[#This Row],[Science]] - TblProd[[#This Row],[Guard]]*(0.02 + tech_5_7*TblTech[[#This Row],[5-7]]) + tech_1_5*TblTech[[#This Row],[1-5]] + tech_4_4*TblTech[[#This Row],[4-4]], 0.5)</f>
        <v>0.15</v>
      </c>
      <c r="AJ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7" s="149" t="n">
        <f aca="false">race_lumber_bonus+ IF(TblMagic[[#This Row],[Active Gaia''s Blessing]]&gt;0,gaias_blessing_lumber)+ tech_1_3*TblTech[[#This Row],[1-3]] + tech_1_6*TblTech[[#This Row],[1-6]] + tech_3_3*TblTech[[#This Row],[3-3]]</f>
        <v>0</v>
      </c>
      <c r="AL17" s="149" t="n">
        <f aca="false">race_mana_bonus+ 0 + TblImps[[#This Row],[Towers]] + tech_1_2*TblTech[[#This Row],[1-2]] + tech_3_4*TblTech[[#This Row],[3-4]]</f>
        <v>0</v>
      </c>
      <c r="AM17" s="149" t="n">
        <f aca="false">race_ore_bonus + IF(TblMagic[[#This Row],[Active Miner''s Sight]]&gt;0,miners_sight_bonus,IF(TblMagic[[#This Row],[Active Mining Strength]]&gt;0,mining_strength_bonus)) +  tech_1_6*TblTech[[#This Row],[1-6]]</f>
        <v>0</v>
      </c>
      <c r="AN17" s="149" t="n">
        <f aca="false">race_gem_bonus+ tech_3_2*TblTech[[#This Row],[3-2]] + tech_4_3*TblTech[[#This Row],[4-3]] + tech_6_2*TblTech[[#This Row],[6-2]]</f>
        <v>0.15</v>
      </c>
      <c r="AO17" s="132"/>
      <c r="AP17" s="69" t="n">
        <f aca="false">TblProd[[#This Row],[Food]]*food_decay * (1 + tech_2_1*TblTech[[#This Row],[2-1]] + tech_2_8*TblTech[[#This Row],[2-8]])</f>
        <v>390.67</v>
      </c>
      <c r="AQ17" s="69" t="n">
        <f aca="false">(1+race_food_consumption)*TblPop[[#This Row],[Total]]*food_per_person*(1+tech_1_10*TblTech[[#This Row],[1-10]]+tech_7_5*TblTech[[#This Row],[7-5]])</f>
        <v>540.5</v>
      </c>
      <c r="AR17" s="69" t="n">
        <f aca="false">TblProd[[#This Row],[Lumber]]*lumber_rot * (1 + tech_2_1*TblTech[[#This Row],[2-1]] + tech_2_8*TblTech[[#This Row],[2-8]] + tech_5_2*TblTech[[#This Row],[5-2]])</f>
        <v>13.91</v>
      </c>
      <c r="AS17" s="69" t="n">
        <f aca="false">TblProd[[#This Row],[Mana]]*mana_drain * (1 + tech_2_1*TblTech[[#This Row],[2-1]] + tech_2_8*TblTech[[#This Row],[2-8]])</f>
        <v>-200.32</v>
      </c>
      <c r="AT17" s="146"/>
      <c r="AU17" s="69" t="n">
        <f aca="false">TblExplore[[#This Row],[Platinum (2)]]+TblConstr[[#This Row],[Total Plat Cost]]+TblMili[[#This Row],[Plat Cost]]+TblRezone[[#This Row],[Platinum cost]]+TblImps[[#This Row],[P1]]-TblProd[[#This Row],[Bank Plat]]</f>
        <v>0</v>
      </c>
      <c r="AV17" s="69" t="n">
        <f aca="false">TblConstr[[#This Row],[Total Lum Cost]]+TblImps[[#This Row],[L1]]-TblProd[[#This Row],[Bank Lumber]] + Military!$CL$25*TblMili[[#This Row],[Sec. rec. Cost]]</f>
        <v>0</v>
      </c>
      <c r="AW17" s="69" t="n">
        <f aca="false">TblMagic[[#This Row],[Mana cost]] + Military!$CL$26*TblMili[[#This Row],[Sec. rec. Cost]]</f>
        <v>0</v>
      </c>
      <c r="AX17" s="69" t="n">
        <f aca="false">Military!$CL$24*TblMili[[#This Row],[Sec. rec. Cost]]+TblImps[[#This Row],[O1]]-TblProd[[#This Row],[Bank Ore]]</f>
        <v>0</v>
      </c>
      <c r="AY17" s="69" t="n">
        <f aca="false">TblImps[[#This Row],[G1]]-TblProd[[#This Row],[Bank Gems]]</f>
        <v>0</v>
      </c>
      <c r="AZ17" s="132"/>
      <c r="BA17" s="33" t="n">
        <f aca="false">IF(TblProd[[#This Row],[Set Guard]]&lt;&gt;"",TblProd[[#This Row],[Set Guard]],OFFSET(TblProd[[#This Row],[Guard]],-1,0))</f>
        <v>0</v>
      </c>
      <c r="BB17" s="145"/>
      <c r="BC17" s="151" t="n">
        <f aca="false">TblProd[[#This Row],[Hour]]</f>
        <v>14</v>
      </c>
      <c r="BD17" s="152" t="n">
        <f aca="false">-TblProd[[#This Row],[Bank Lumber]] / 2 + -TblProd[[#This Row],[Bank Gems]] * 2 + -TblProd[[#This Row],[Bank Ore]] / 2</f>
        <v>0</v>
      </c>
      <c r="BE17" s="152"/>
      <c r="BF17" s="152"/>
      <c r="BG17" s="152"/>
      <c r="BH17" s="153" t="n">
        <f aca="false">TblProd[[#This Row],[Time]]</f>
        <v>45430.2916666667</v>
      </c>
      <c r="BI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J17" s="69" t="n">
        <f aca="false">TblProd[[#This Row],[Platinum]]</f>
        <v>49346</v>
      </c>
      <c r="BK17" s="69" t="n">
        <f aca="false">TblProd[[#This Row],[Food]]</f>
        <v>39067</v>
      </c>
      <c r="BL17" s="69" t="n">
        <f aca="false">TblProd[[#This Row],[Lumber]]</f>
        <v>1391</v>
      </c>
      <c r="BM17" s="69" t="n">
        <f aca="false">TblProd[[#This Row],[Mana]]</f>
        <v>-10016</v>
      </c>
      <c r="BN17" s="69" t="n">
        <f aca="false">TblProd[[#This Row],[Ore]]</f>
        <v>-357</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1882</v>
      </c>
      <c r="G18" s="69"/>
      <c r="H18" s="69" t="e">
        <f aca="false">TblMili[[#This Row],[Networth (2)]]</f>
        <v>#VALUE!</v>
      </c>
      <c r="I18" s="69" t="n">
        <f aca="false">OFFSET(TblProd[[#This Row],[Platinum]],-1,0)+OFFSET(TblProd[[#This Row],[Plat/hr]],-1,0) - TblProd[[#This Row],[Expenses Platinum]] + IF(TblProd[[#This Row],[Plat Bonus]],TblPop[[#This Row],[Peasants]]*4) + SUM(TblConstr[[#This Row],[Dest Hom]:[Dest Doc]])*TblConstr[[#This Row],[CPA Platinum -DB]]*tech_3_3_2*TblTech[[#This Row],[3-3]]</f>
        <v>59563</v>
      </c>
      <c r="J18" s="69" t="n">
        <f aca="false">OFFSET(TblProd[[#This Row],[Food]],-1,0)+OFFSET(TblProd[[#This Row],[Food/hr]],-1,0)+ROUNDUP((TblConstr[[#This Row],[Farms]]*80+TblConstr[[#This Row],[Docks]]*35)*(1+OFFSET(TblProd[[#This Row],[Bonus Food/hr]],-1,0)),0)</f>
        <v>38626</v>
      </c>
      <c r="K18" s="69" t="n">
        <f aca="false">OFFSET(TblProd[[#This Row],[Lumber]],-1,0)+OFFSET(TblProd[[#This Row],[Lumber/hr]],-1,0) - TblProd[[#This Row],[Expenses Lumber]] + SUM(TblConstr[[#This Row],[Dest Hom]:[Dest Doc]])*TblConstr[[#This Row],[CPA Lumber -DB]]*tech_3_3_2*TblTech[[#This Row],[3-3]]</f>
        <v>2377</v>
      </c>
      <c r="L18" s="69" t="n">
        <f aca="false">OFFSET(TblProd[[#This Row],[Mana]],-1,0)+OFFSET(TblProd[[#This Row],[Mana/hr]],-1,0)- TblProd[[#This Row],[Expenses Mana]]</f>
        <v>-9441</v>
      </c>
      <c r="M18" s="69" t="n">
        <f aca="false">OFFSET(TblProd[[#This Row],[Ore]],-1,0)+OFFSET(TblProd[[#This Row],[Ore/hr]],-1,0) -TblProd[[#This Row],[Expenses Ore]]</f>
        <v>-357</v>
      </c>
      <c r="N18" s="69" t="n">
        <f aca="false">OFFSET(TblProd[[#This Row],[Gems]],-1,0)+OFFSET(TblProd[[#This Row],[Gems/hr]],-1,0) - TblProd[[#This Row],[Expenses Gems]]</f>
        <v>-1000</v>
      </c>
      <c r="O18" s="69" t="n">
        <f aca="false">OFFSET(TblProd[[#This Row],[Boats]],-1,0)+OFFSET(TblProd[[#This Row],[Boats/hr]],-1,0)</f>
        <v>0</v>
      </c>
      <c r="P18" s="69" t="n">
        <f aca="false">OFFSET(TblProd[[#This Row],[Prestige]],-1,0)</f>
        <v>250</v>
      </c>
      <c r="Q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8" s="69" t="n">
        <f aca="false">MAX(3750,_xlfn.CEILING.MATH(TblProd[[#This Row],[Land]]*2.5+OFFSET(TblTech[[#This Row],[Sum of tech]],-1,0)*150))</f>
        <v>3750</v>
      </c>
      <c r="S18" s="132"/>
      <c r="T18" s="69" t="n">
        <f aca="false">ROUNDDOWN(TblProd[[#This Row],[Raw Plat/hr]]*(1+TblProd[[#This Row],[Bonus Plat/hr]]),0)</f>
        <v>10512</v>
      </c>
      <c r="U18" s="69" t="n">
        <f aca="false">ROUND(TblProd[[#This Row],[Raw Food/hr]]*(1+TblProd[[#This Row],[Bonus Food/hr]])-TblProd[[#This Row],[Food decay]]-TblProd[[#This Row],[Food eaten]],0)</f>
        <v>-465</v>
      </c>
      <c r="V18" s="69" t="n">
        <f aca="false">ROUND(TblProd[[#This Row],[Raw Lumber/hr]]*(1+TblProd[[#This Row],[Bonus Lumber/hr]])-TblProd[[#This Row],[Lumber rot]],0)</f>
        <v>976</v>
      </c>
      <c r="W18" s="69" t="n">
        <f aca="false">ROUND(TblProd[[#This Row],[Raw Mana/hr]]*(1+TblProd[[#This Row],[Bonus Mana/hr]])-TblProd[[#This Row],[Mana drain]],0)</f>
        <v>564</v>
      </c>
      <c r="X18" s="69" t="n">
        <f aca="false">ROUNDDOWN(TblProd[[#This Row],[Raw Ore/hr]]*(1+TblProd[[#This Row],[Bonux Ore/hr]]),0)</f>
        <v>0</v>
      </c>
      <c r="Y18" s="69" t="n">
        <f aca="false">ROUNDDOWN(TblProd[[#This Row],[Raw Gems/hr]]*(1+TblProd[[#This Row],[Bonus Gems/hr]]),0)</f>
        <v>0</v>
      </c>
      <c r="Z18" s="148" t="n">
        <f aca="false">OFFSET(TblConstr[[#This Row],[Tot Doc]],1,0)*dock_boats_hr * (1 + tech_4_1*TblTech[[#This Row],[4-1]])</f>
        <v>0</v>
      </c>
      <c r="AA18" s="146"/>
      <c r="AB18" s="69" t="n">
        <f aca="false">TblPop[[#This Row],[Peasants]]*tax*TblPop[[#This Row],[Employment]] + (Construction!AZ19+Construction!BX19)*(alch_plat+(Magic!AM18&gt;0)*alchemist_flame_bonus)</f>
        <v>9141.4</v>
      </c>
      <c r="AC18" s="69" t="n">
        <f aca="false">TblConstr[[#This Row],[Tot Farm]]*farm_food + TblConstr[[#This Row],[Tot Doc]]*dock_food</f>
        <v>400</v>
      </c>
      <c r="AD18" s="69" t="n">
        <f aca="false">TblConstr[[#This Row],[Tot Ly]]*ly_lumber + TblConstr[[#This Row],[Tot Hav]]*fh_lumber</f>
        <v>1000</v>
      </c>
      <c r="AE18" s="69" t="n">
        <f aca="false">OFFSET(TblConstr[[#This Row],[Tot Tow]],1,0)*(tower_mana + tech_4_5*TblTech[[#This Row],[4-5]]) + OFFSET(TblConstr[[#This Row],[Tot WG]],1,0)*wg_mana_prod</f>
        <v>375</v>
      </c>
      <c r="AF18" s="69" t="n">
        <f aca="false">OFFSET(TblConstr[[#This Row],[Tot OM]],1,0)*om_ore+IF(race="Dwarf",ROUNDDOWN(TblMili[[#This Row],[Unit 2]]*0.4,0),)</f>
        <v>0</v>
      </c>
      <c r="AG18" s="69" t="n">
        <f aca="false">OFFSET(TblConstr[[#This Row],[Tot DM]],1,0)*dm_gems</f>
        <v>0</v>
      </c>
      <c r="AH18" s="132"/>
      <c r="AI18" s="149" t="n">
        <f aca="false">MIN(race_platinum_bonus + IF(TblMagic[[#This Row],[Active Alch Frost]]&gt;0,alch_frost_bonus,IF(Magic!AD18&gt;0,midas_bonus)) + TblImps[[#This Row],[Science]] - TblProd[[#This Row],[Guard]]*(0.02 + tech_5_7*TblTech[[#This Row],[5-7]]) + tech_1_5*TblTech[[#This Row],[1-5]] + tech_4_4*TblTech[[#This Row],[4-4]], 0.5)</f>
        <v>0.15</v>
      </c>
      <c r="AJ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8" s="149" t="n">
        <f aca="false">race_lumber_bonus+ IF(TblMagic[[#This Row],[Active Gaia''s Blessing]]&gt;0,gaias_blessing_lumber)+ tech_1_3*TblTech[[#This Row],[1-3]] + tech_1_6*TblTech[[#This Row],[1-6]] + tech_3_3*TblTech[[#This Row],[3-3]]</f>
        <v>0</v>
      </c>
      <c r="AL18" s="149" t="n">
        <f aca="false">race_mana_bonus+ 0 + TblImps[[#This Row],[Towers]] + tech_1_2*TblTech[[#This Row],[1-2]] + tech_3_4*TblTech[[#This Row],[3-4]]</f>
        <v>0</v>
      </c>
      <c r="AM18" s="149" t="n">
        <f aca="false">race_ore_bonus + IF(TblMagic[[#This Row],[Active Miner''s Sight]]&gt;0,miners_sight_bonus,IF(TblMagic[[#This Row],[Active Mining Strength]]&gt;0,mining_strength_bonus)) +  tech_1_6*TblTech[[#This Row],[1-6]]</f>
        <v>0</v>
      </c>
      <c r="AN18" s="149" t="n">
        <f aca="false">race_gem_bonus+ tech_3_2*TblTech[[#This Row],[3-2]] + tech_4_3*TblTech[[#This Row],[4-3]] + tech_6_2*TblTech[[#This Row],[6-2]]</f>
        <v>0.15</v>
      </c>
      <c r="AO18" s="132"/>
      <c r="AP18" s="69" t="n">
        <f aca="false">TblProd[[#This Row],[Food]]*food_decay * (1 + tech_2_1*TblTech[[#This Row],[2-1]] + tech_2_8*TblTech[[#This Row],[2-8]])</f>
        <v>386.26</v>
      </c>
      <c r="AQ18" s="69" t="n">
        <f aca="false">(1+race_food_consumption)*TblPop[[#This Row],[Total]]*food_per_person*(1+tech_1_10*TblTech[[#This Row],[1-10]]+tech_7_5*TblTech[[#This Row],[7-5]])</f>
        <v>568.75</v>
      </c>
      <c r="AR18" s="69" t="n">
        <f aca="false">TblProd[[#This Row],[Lumber]]*lumber_rot * (1 + tech_2_1*TblTech[[#This Row],[2-1]] + tech_2_8*TblTech[[#This Row],[2-8]] + tech_5_2*TblTech[[#This Row],[5-2]])</f>
        <v>23.77</v>
      </c>
      <c r="AS18" s="69" t="n">
        <f aca="false">TblProd[[#This Row],[Mana]]*mana_drain * (1 + tech_2_1*TblTech[[#This Row],[2-1]] + tech_2_8*TblTech[[#This Row],[2-8]])</f>
        <v>-188.82</v>
      </c>
      <c r="AT18" s="146"/>
      <c r="AU18" s="69" t="n">
        <f aca="false">TblExplore[[#This Row],[Platinum (2)]]+TblConstr[[#This Row],[Total Plat Cost]]+TblMili[[#This Row],[Plat Cost]]+TblRezone[[#This Row],[Platinum cost]]+TblImps[[#This Row],[P1]]-TblProd[[#This Row],[Bank Plat]]</f>
        <v>0</v>
      </c>
      <c r="AV18" s="69" t="n">
        <f aca="false">TblConstr[[#This Row],[Total Lum Cost]]+TblImps[[#This Row],[L1]]-TblProd[[#This Row],[Bank Lumber]] + Military!$CL$25*TblMili[[#This Row],[Sec. rec. Cost]]</f>
        <v>0</v>
      </c>
      <c r="AW18" s="69" t="n">
        <f aca="false">TblMagic[[#This Row],[Mana cost]] + Military!$CL$26*TblMili[[#This Row],[Sec. rec. Cost]]</f>
        <v>0</v>
      </c>
      <c r="AX18" s="69" t="n">
        <f aca="false">Military!$CL$24*TblMili[[#This Row],[Sec. rec. Cost]]+TblImps[[#This Row],[O1]]-TblProd[[#This Row],[Bank Ore]]</f>
        <v>0</v>
      </c>
      <c r="AY18" s="69" t="n">
        <f aca="false">TblImps[[#This Row],[G1]]-TblProd[[#This Row],[Bank Gems]]</f>
        <v>0</v>
      </c>
      <c r="AZ18" s="132"/>
      <c r="BA18" s="33" t="n">
        <f aca="false">IF(TblProd[[#This Row],[Set Guard]]&lt;&gt;"",TblProd[[#This Row],[Set Guard]],OFFSET(TblProd[[#This Row],[Guard]],-1,0))</f>
        <v>0</v>
      </c>
      <c r="BB18" s="145"/>
      <c r="BC18" s="151" t="n">
        <f aca="false">TblProd[[#This Row],[Hour]]</f>
        <v>15</v>
      </c>
      <c r="BD18" s="152" t="n">
        <f aca="false">-TblProd[[#This Row],[Bank Lumber]] / 2 + -TblProd[[#This Row],[Bank Gems]] * 2 + -TblProd[[#This Row],[Bank Ore]] / 2</f>
        <v>0</v>
      </c>
      <c r="BE18" s="152"/>
      <c r="BF18" s="152"/>
      <c r="BG18" s="152"/>
      <c r="BH18" s="153" t="n">
        <f aca="false">TblProd[[#This Row],[Time]]</f>
        <v>45430.3333333333</v>
      </c>
      <c r="BI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J18" s="69" t="n">
        <f aca="false">TblProd[[#This Row],[Platinum]]</f>
        <v>59563</v>
      </c>
      <c r="BK18" s="69" t="n">
        <f aca="false">TblProd[[#This Row],[Food]]</f>
        <v>38626</v>
      </c>
      <c r="BL18" s="69" t="n">
        <f aca="false">TblProd[[#This Row],[Lumber]]</f>
        <v>2377</v>
      </c>
      <c r="BM18" s="69" t="n">
        <f aca="false">TblProd[[#This Row],[Mana]]</f>
        <v>-9441</v>
      </c>
      <c r="BN18" s="69" t="n">
        <f aca="false">TblProd[[#This Row],[Ore]]</f>
        <v>-357</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1982</v>
      </c>
      <c r="G19" s="69"/>
      <c r="H19" s="69" t="e">
        <f aca="false">TblMili[[#This Row],[Networth (2)]]</f>
        <v>#VALUE!</v>
      </c>
      <c r="I19" s="69" t="n">
        <f aca="false">OFFSET(TblProd[[#This Row],[Platinum]],-1,0)+OFFSET(TblProd[[#This Row],[Plat/hr]],-1,0) - TblProd[[#This Row],[Expenses Platinum]] + IF(TblProd[[#This Row],[Plat Bonus]],TblPop[[#This Row],[Peasants]]*4) + SUM(TblConstr[[#This Row],[Dest Hom]:[Dest Doc]])*TblConstr[[#This Row],[CPA Platinum -DB]]*tech_3_3_2*TblTech[[#This Row],[3-3]]</f>
        <v>70075</v>
      </c>
      <c r="J19" s="69" t="n">
        <f aca="false">OFFSET(TblProd[[#This Row],[Food]],-1,0)+OFFSET(TblProd[[#This Row],[Food/hr]],-1,0)+ROUNDUP((TblConstr[[#This Row],[Farms]]*80+TblConstr[[#This Row],[Docks]]*35)*(1+OFFSET(TblProd[[#This Row],[Bonus Food/hr]],-1,0)),0)</f>
        <v>38161</v>
      </c>
      <c r="K19" s="69" t="n">
        <f aca="false">OFFSET(TblProd[[#This Row],[Lumber]],-1,0)+OFFSET(TblProd[[#This Row],[Lumber/hr]],-1,0) - TblProd[[#This Row],[Expenses Lumber]] + SUM(TblConstr[[#This Row],[Dest Hom]:[Dest Doc]])*TblConstr[[#This Row],[CPA Lumber -DB]]*tech_3_3_2*TblTech[[#This Row],[3-3]]</f>
        <v>3353</v>
      </c>
      <c r="L19" s="69" t="n">
        <f aca="false">OFFSET(TblProd[[#This Row],[Mana]],-1,0)+OFFSET(TblProd[[#This Row],[Mana/hr]],-1,0)- TblProd[[#This Row],[Expenses Mana]]</f>
        <v>-8877</v>
      </c>
      <c r="M19" s="69" t="n">
        <f aca="false">OFFSET(TblProd[[#This Row],[Ore]],-1,0)+OFFSET(TblProd[[#This Row],[Ore/hr]],-1,0) -TblProd[[#This Row],[Expenses Ore]]</f>
        <v>-357</v>
      </c>
      <c r="N19" s="69" t="n">
        <f aca="false">OFFSET(TblProd[[#This Row],[Gems]],-1,0)+OFFSET(TblProd[[#This Row],[Gems/hr]],-1,0) - TblProd[[#This Row],[Expenses Gems]]</f>
        <v>-1000</v>
      </c>
      <c r="O19" s="69" t="n">
        <f aca="false">OFFSET(TblProd[[#This Row],[Boats]],-1,0)+OFFSET(TblProd[[#This Row],[Boats/hr]],-1,0)</f>
        <v>0</v>
      </c>
      <c r="P19" s="69" t="n">
        <f aca="false">OFFSET(TblProd[[#This Row],[Prestige]],-1,0)</f>
        <v>250</v>
      </c>
      <c r="Q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9" s="69" t="n">
        <f aca="false">MAX(3750,_xlfn.CEILING.MATH(TblProd[[#This Row],[Land]]*2.5+OFFSET(TblTech[[#This Row],[Sum of tech]],-1,0)*150))</f>
        <v>3750</v>
      </c>
      <c r="S19" s="132"/>
      <c r="T19" s="69" t="n">
        <f aca="false">ROUNDDOWN(TblProd[[#This Row],[Raw Plat/hr]]*(1+TblProd[[#This Row],[Bonus Plat/hr]]),0)</f>
        <v>10823</v>
      </c>
      <c r="U19" s="69" t="n">
        <f aca="false">ROUND(TblProd[[#This Row],[Raw Food/hr]]*(1+TblProd[[#This Row],[Bonus Food/hr]])-TblProd[[#This Row],[Food decay]]-TblProd[[#This Row],[Food eaten]],0)</f>
        <v>-490</v>
      </c>
      <c r="V19" s="69" t="n">
        <f aca="false">ROUND(TblProd[[#This Row],[Raw Lumber/hr]]*(1+TblProd[[#This Row],[Bonus Lumber/hr]])-TblProd[[#This Row],[Lumber rot]],0)</f>
        <v>966</v>
      </c>
      <c r="W19" s="69" t="n">
        <f aca="false">ROUND(TblProd[[#This Row],[Raw Mana/hr]]*(1+TblProd[[#This Row],[Bonus Mana/hr]])-TblProd[[#This Row],[Mana drain]],0)</f>
        <v>553</v>
      </c>
      <c r="X19" s="69" t="n">
        <f aca="false">ROUNDDOWN(TblProd[[#This Row],[Raw Ore/hr]]*(1+TblProd[[#This Row],[Bonux Ore/hr]]),0)</f>
        <v>0</v>
      </c>
      <c r="Y19" s="69" t="n">
        <f aca="false">ROUNDDOWN(TblProd[[#This Row],[Raw Gems/hr]]*(1+TblProd[[#This Row],[Bonus Gems/hr]]),0)</f>
        <v>0</v>
      </c>
      <c r="Z19" s="148" t="n">
        <f aca="false">OFFSET(TblConstr[[#This Row],[Tot Doc]],1,0)*dock_boats_hr * (1 + tech_4_1*TblTech[[#This Row],[4-1]])</f>
        <v>0</v>
      </c>
      <c r="AA19" s="146"/>
      <c r="AB19" s="69" t="n">
        <f aca="false">TblPop[[#This Row],[Peasants]]*tax*TblPop[[#This Row],[Employment]] + (Construction!AZ20+Construction!BX20)*(alch_plat+(Magic!AM19&gt;0)*alchemist_flame_bonus)</f>
        <v>9411.4</v>
      </c>
      <c r="AC19" s="69" t="n">
        <f aca="false">TblConstr[[#This Row],[Tot Farm]]*farm_food + TblConstr[[#This Row],[Tot Doc]]*dock_food</f>
        <v>400</v>
      </c>
      <c r="AD19" s="69" t="n">
        <f aca="false">TblConstr[[#This Row],[Tot Ly]]*ly_lumber + TblConstr[[#This Row],[Tot Hav]]*fh_lumber</f>
        <v>1000</v>
      </c>
      <c r="AE19" s="69" t="n">
        <f aca="false">OFFSET(TblConstr[[#This Row],[Tot Tow]],1,0)*(tower_mana + tech_4_5*TblTech[[#This Row],[4-5]]) + OFFSET(TblConstr[[#This Row],[Tot WG]],1,0)*wg_mana_prod</f>
        <v>375</v>
      </c>
      <c r="AF19" s="69" t="n">
        <f aca="false">OFFSET(TblConstr[[#This Row],[Tot OM]],1,0)*om_ore+IF(race="Dwarf",ROUNDDOWN(TblMili[[#This Row],[Unit 2]]*0.4,0),)</f>
        <v>0</v>
      </c>
      <c r="AG19" s="69" t="n">
        <f aca="false">OFFSET(TblConstr[[#This Row],[Tot DM]],1,0)*dm_gems</f>
        <v>0</v>
      </c>
      <c r="AH19" s="132"/>
      <c r="AI19" s="149" t="n">
        <f aca="false">MIN(race_platinum_bonus + IF(TblMagic[[#This Row],[Active Alch Frost]]&gt;0,alch_frost_bonus,IF(Magic!AD19&gt;0,midas_bonus)) + TblImps[[#This Row],[Science]] - TblProd[[#This Row],[Guard]]*(0.02 + tech_5_7*TblTech[[#This Row],[5-7]]) + tech_1_5*TblTech[[#This Row],[1-5]] + tech_4_4*TblTech[[#This Row],[4-4]], 0.5)</f>
        <v>0.15</v>
      </c>
      <c r="AJ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9" s="149" t="n">
        <f aca="false">race_lumber_bonus+ IF(TblMagic[[#This Row],[Active Gaia''s Blessing]]&gt;0,gaias_blessing_lumber)+ tech_1_3*TblTech[[#This Row],[1-3]] + tech_1_6*TblTech[[#This Row],[1-6]] + tech_3_3*TblTech[[#This Row],[3-3]]</f>
        <v>0</v>
      </c>
      <c r="AL19" s="149" t="n">
        <f aca="false">race_mana_bonus+ 0 + TblImps[[#This Row],[Towers]] + tech_1_2*TblTech[[#This Row],[1-2]] + tech_3_4*TblTech[[#This Row],[3-4]]</f>
        <v>0</v>
      </c>
      <c r="AM19" s="149" t="n">
        <f aca="false">race_ore_bonus + IF(TblMagic[[#This Row],[Active Miner''s Sight]]&gt;0,miners_sight_bonus,IF(TblMagic[[#This Row],[Active Mining Strength]]&gt;0,mining_strength_bonus)) +  tech_1_6*TblTech[[#This Row],[1-6]]</f>
        <v>0</v>
      </c>
      <c r="AN19" s="149" t="n">
        <f aca="false">race_gem_bonus+ tech_3_2*TblTech[[#This Row],[3-2]] + tech_4_3*TblTech[[#This Row],[4-3]] + tech_6_2*TblTech[[#This Row],[6-2]]</f>
        <v>0.15</v>
      </c>
      <c r="AO19" s="132"/>
      <c r="AP19" s="69" t="n">
        <f aca="false">TblProd[[#This Row],[Food]]*food_decay * (1 + tech_2_1*TblTech[[#This Row],[2-1]] + tech_2_8*TblTech[[#This Row],[2-8]])</f>
        <v>381.61</v>
      </c>
      <c r="AQ19" s="69" t="n">
        <f aca="false">(1+race_food_consumption)*TblPop[[#This Row],[Total]]*food_per_person*(1+tech_1_10*TblTech[[#This Row],[1-10]]+tech_7_5*TblTech[[#This Row],[7-5]])</f>
        <v>598.5</v>
      </c>
      <c r="AR19" s="69" t="n">
        <f aca="false">TblProd[[#This Row],[Lumber]]*lumber_rot * (1 + tech_2_1*TblTech[[#This Row],[2-1]] + tech_2_8*TblTech[[#This Row],[2-8]] + tech_5_2*TblTech[[#This Row],[5-2]])</f>
        <v>33.53</v>
      </c>
      <c r="AS19" s="69" t="n">
        <f aca="false">TblProd[[#This Row],[Mana]]*mana_drain * (1 + tech_2_1*TblTech[[#This Row],[2-1]] + tech_2_8*TblTech[[#This Row],[2-8]])</f>
        <v>-177.54</v>
      </c>
      <c r="AT19" s="146"/>
      <c r="AU19" s="69" t="n">
        <f aca="false">TblExplore[[#This Row],[Platinum (2)]]+TblConstr[[#This Row],[Total Plat Cost]]+TblMili[[#This Row],[Plat Cost]]+TblRezone[[#This Row],[Platinum cost]]+TblImps[[#This Row],[P1]]-TblProd[[#This Row],[Bank Plat]]</f>
        <v>0</v>
      </c>
      <c r="AV19" s="69" t="n">
        <f aca="false">TblConstr[[#This Row],[Total Lum Cost]]+TblImps[[#This Row],[L1]]-TblProd[[#This Row],[Bank Lumber]] + Military!$CL$25*TblMili[[#This Row],[Sec. rec. Cost]]</f>
        <v>0</v>
      </c>
      <c r="AW19" s="69" t="n">
        <f aca="false">TblMagic[[#This Row],[Mana cost]] + Military!$CL$26*TblMili[[#This Row],[Sec. rec. Cost]]</f>
        <v>0</v>
      </c>
      <c r="AX19" s="69" t="n">
        <f aca="false">Military!$CL$24*TblMili[[#This Row],[Sec. rec. Cost]]+TblImps[[#This Row],[O1]]-TblProd[[#This Row],[Bank Ore]]</f>
        <v>0</v>
      </c>
      <c r="AY19" s="69" t="n">
        <f aca="false">TblImps[[#This Row],[G1]]-TblProd[[#This Row],[Bank Gems]]</f>
        <v>0</v>
      </c>
      <c r="AZ19" s="132"/>
      <c r="BA19" s="33" t="n">
        <f aca="false">IF(TblProd[[#This Row],[Set Guard]]&lt;&gt;"",TblProd[[#This Row],[Set Guard]],OFFSET(TblProd[[#This Row],[Guard]],-1,0))</f>
        <v>0</v>
      </c>
      <c r="BB19" s="145"/>
      <c r="BC19" s="151" t="n">
        <f aca="false">TblProd[[#This Row],[Hour]]</f>
        <v>16</v>
      </c>
      <c r="BD19" s="152" t="n">
        <f aca="false">-TblProd[[#This Row],[Bank Lumber]] / 2 + -TblProd[[#This Row],[Bank Gems]] * 2 + -TblProd[[#This Row],[Bank Ore]] / 2</f>
        <v>0</v>
      </c>
      <c r="BE19" s="152"/>
      <c r="BF19" s="152"/>
      <c r="BG19" s="152"/>
      <c r="BH19" s="153" t="n">
        <f aca="false">TblProd[[#This Row],[Time]]</f>
        <v>45430.375</v>
      </c>
      <c r="BI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J19" s="69" t="n">
        <f aca="false">TblProd[[#This Row],[Platinum]]</f>
        <v>70075</v>
      </c>
      <c r="BK19" s="69" t="n">
        <f aca="false">TblProd[[#This Row],[Food]]</f>
        <v>38161</v>
      </c>
      <c r="BL19" s="69" t="n">
        <f aca="false">TblProd[[#This Row],[Lumber]]</f>
        <v>3353</v>
      </c>
      <c r="BM19" s="69" t="n">
        <f aca="false">TblProd[[#This Row],[Mana]]</f>
        <v>-8877</v>
      </c>
      <c r="BN19" s="69" t="n">
        <f aca="false">TblProd[[#This Row],[Ore]]</f>
        <v>-357</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2087</v>
      </c>
      <c r="G20" s="69"/>
      <c r="H20" s="69" t="e">
        <f aca="false">TblMili[[#This Row],[Networth (2)]]</f>
        <v>#VALUE!</v>
      </c>
      <c r="I20" s="69" t="n">
        <f aca="false">OFFSET(TblProd[[#This Row],[Platinum]],-1,0)+OFFSET(TblProd[[#This Row],[Plat/hr]],-1,0) - TblProd[[#This Row],[Expenses Platinum]] + IF(TblProd[[#This Row],[Plat Bonus]],TblPop[[#This Row],[Peasants]]*4) + SUM(TblConstr[[#This Row],[Dest Hom]:[Dest Doc]])*TblConstr[[#This Row],[CPA Platinum -DB]]*tech_3_3_2*TblTech[[#This Row],[3-3]]</f>
        <v>80898</v>
      </c>
      <c r="J20" s="69" t="n">
        <f aca="false">OFFSET(TblProd[[#This Row],[Food]],-1,0)+OFFSET(TblProd[[#This Row],[Food/hr]],-1,0)+ROUNDUP((TblConstr[[#This Row],[Farms]]*80+TblConstr[[#This Row],[Docks]]*35)*(1+OFFSET(TblProd[[#This Row],[Bonus Food/hr]],-1,0)),0)</f>
        <v>37671</v>
      </c>
      <c r="K20" s="69" t="n">
        <f aca="false">OFFSET(TblProd[[#This Row],[Lumber]],-1,0)+OFFSET(TblProd[[#This Row],[Lumber/hr]],-1,0) - TblProd[[#This Row],[Expenses Lumber]] + SUM(TblConstr[[#This Row],[Dest Hom]:[Dest Doc]])*TblConstr[[#This Row],[CPA Lumber -DB]]*tech_3_3_2*TblTech[[#This Row],[3-3]]</f>
        <v>4319</v>
      </c>
      <c r="L20" s="69" t="n">
        <f aca="false">OFFSET(TblProd[[#This Row],[Mana]],-1,0)+OFFSET(TblProd[[#This Row],[Mana/hr]],-1,0)- TblProd[[#This Row],[Expenses Mana]]</f>
        <v>-8324</v>
      </c>
      <c r="M20" s="69" t="n">
        <f aca="false">OFFSET(TblProd[[#This Row],[Ore]],-1,0)+OFFSET(TblProd[[#This Row],[Ore/hr]],-1,0) -TblProd[[#This Row],[Expenses Ore]]</f>
        <v>-357</v>
      </c>
      <c r="N20" s="69" t="n">
        <f aca="false">OFFSET(TblProd[[#This Row],[Gems]],-1,0)+OFFSET(TblProd[[#This Row],[Gems/hr]],-1,0) - TblProd[[#This Row],[Expenses Gems]]</f>
        <v>-1000</v>
      </c>
      <c r="O20" s="69" t="n">
        <f aca="false">OFFSET(TblProd[[#This Row],[Boats]],-1,0)+OFFSET(TblProd[[#This Row],[Boats/hr]],-1,0)</f>
        <v>0</v>
      </c>
      <c r="P20" s="69" t="n">
        <f aca="false">OFFSET(TblProd[[#This Row],[Prestige]],-1,0)</f>
        <v>250</v>
      </c>
      <c r="Q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0" s="69" t="n">
        <f aca="false">MAX(3750,_xlfn.CEILING.MATH(TblProd[[#This Row],[Land]]*2.5+OFFSET(TblTech[[#This Row],[Sum of tech]],-1,0)*150))</f>
        <v>3750</v>
      </c>
      <c r="S20" s="132"/>
      <c r="T20" s="69" t="n">
        <f aca="false">ROUNDDOWN(TblProd[[#This Row],[Raw Plat/hr]]*(1+TblProd[[#This Row],[Bonus Plat/hr]]),0)</f>
        <v>11149</v>
      </c>
      <c r="U20" s="69" t="n">
        <f aca="false">ROUND(TblProd[[#This Row],[Raw Food/hr]]*(1+TblProd[[#This Row],[Bonus Food/hr]])-TblProd[[#This Row],[Food decay]]-TblProd[[#This Row],[Food eaten]],0)</f>
        <v>-516</v>
      </c>
      <c r="V20" s="69" t="n">
        <f aca="false">ROUND(TblProd[[#This Row],[Raw Lumber/hr]]*(1+TblProd[[#This Row],[Bonus Lumber/hr]])-TblProd[[#This Row],[Lumber rot]],0)</f>
        <v>957</v>
      </c>
      <c r="W20" s="69" t="n">
        <f aca="false">ROUND(TblProd[[#This Row],[Raw Mana/hr]]*(1+TblProd[[#This Row],[Bonus Mana/hr]])-TblProd[[#This Row],[Mana drain]],0)</f>
        <v>541</v>
      </c>
      <c r="X20" s="69" t="n">
        <f aca="false">ROUNDDOWN(TblProd[[#This Row],[Raw Ore/hr]]*(1+TblProd[[#This Row],[Bonux Ore/hr]]),0)</f>
        <v>0</v>
      </c>
      <c r="Y20" s="69" t="n">
        <f aca="false">ROUNDDOWN(TblProd[[#This Row],[Raw Gems/hr]]*(1+TblProd[[#This Row],[Bonus Gems/hr]]),0)</f>
        <v>0</v>
      </c>
      <c r="Z20" s="148" t="n">
        <f aca="false">OFFSET(TblConstr[[#This Row],[Tot Doc]],1,0)*dock_boats_hr * (1 + tech_4_1*TblTech[[#This Row],[4-1]])</f>
        <v>0</v>
      </c>
      <c r="AA20" s="146"/>
      <c r="AB20" s="69" t="n">
        <f aca="false">TblPop[[#This Row],[Peasants]]*tax*TblPop[[#This Row],[Employment]] + (Construction!AZ21+Construction!BX21)*(alch_plat+(Magic!AM20&gt;0)*alchemist_flame_bonus)</f>
        <v>9694.9</v>
      </c>
      <c r="AC20" s="69" t="n">
        <f aca="false">TblConstr[[#This Row],[Tot Farm]]*farm_food + TblConstr[[#This Row],[Tot Doc]]*dock_food</f>
        <v>400</v>
      </c>
      <c r="AD20" s="69" t="n">
        <f aca="false">TblConstr[[#This Row],[Tot Ly]]*ly_lumber + TblConstr[[#This Row],[Tot Hav]]*fh_lumber</f>
        <v>1000</v>
      </c>
      <c r="AE20" s="69" t="n">
        <f aca="false">OFFSET(TblConstr[[#This Row],[Tot Tow]],1,0)*(tower_mana + tech_4_5*TblTech[[#This Row],[4-5]]) + OFFSET(TblConstr[[#This Row],[Tot WG]],1,0)*wg_mana_prod</f>
        <v>375</v>
      </c>
      <c r="AF20" s="69" t="n">
        <f aca="false">OFFSET(TblConstr[[#This Row],[Tot OM]],1,0)*om_ore+IF(race="Dwarf",ROUNDDOWN(TblMili[[#This Row],[Unit 2]]*0.4,0),)</f>
        <v>0</v>
      </c>
      <c r="AG20" s="69" t="n">
        <f aca="false">OFFSET(TblConstr[[#This Row],[Tot DM]],1,0)*dm_gems</f>
        <v>0</v>
      </c>
      <c r="AH20" s="132"/>
      <c r="AI20" s="149" t="n">
        <f aca="false">MIN(race_platinum_bonus + IF(TblMagic[[#This Row],[Active Alch Frost]]&gt;0,alch_frost_bonus,IF(Magic!AD20&gt;0,midas_bonus)) + TblImps[[#This Row],[Science]] - TblProd[[#This Row],[Guard]]*(0.02 + tech_5_7*TblTech[[#This Row],[5-7]]) + tech_1_5*TblTech[[#This Row],[1-5]] + tech_4_4*TblTech[[#This Row],[4-4]], 0.5)</f>
        <v>0.15</v>
      </c>
      <c r="AJ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20" s="149" t="n">
        <f aca="false">race_lumber_bonus+ IF(TblMagic[[#This Row],[Active Gaia''s Blessing]]&gt;0,gaias_blessing_lumber)+ tech_1_3*TblTech[[#This Row],[1-3]] + tech_1_6*TblTech[[#This Row],[1-6]] + tech_3_3*TblTech[[#This Row],[3-3]]</f>
        <v>0</v>
      </c>
      <c r="AL20" s="149" t="n">
        <f aca="false">race_mana_bonus+ 0 + TblImps[[#This Row],[Towers]] + tech_1_2*TblTech[[#This Row],[1-2]] + tech_3_4*TblTech[[#This Row],[3-4]]</f>
        <v>0</v>
      </c>
      <c r="AM20" s="149" t="n">
        <f aca="false">race_ore_bonus + IF(TblMagic[[#This Row],[Active Miner''s Sight]]&gt;0,miners_sight_bonus,IF(TblMagic[[#This Row],[Active Mining Strength]]&gt;0,mining_strength_bonus)) +  tech_1_6*TblTech[[#This Row],[1-6]]</f>
        <v>0</v>
      </c>
      <c r="AN20" s="149" t="n">
        <f aca="false">race_gem_bonus+ tech_3_2*TblTech[[#This Row],[3-2]] + tech_4_3*TblTech[[#This Row],[4-3]] + tech_6_2*TblTech[[#This Row],[6-2]]</f>
        <v>0.15</v>
      </c>
      <c r="AO20" s="132"/>
      <c r="AP20" s="69" t="n">
        <f aca="false">TblProd[[#This Row],[Food]]*food_decay * (1 + tech_2_1*TblTech[[#This Row],[2-1]] + tech_2_8*TblTech[[#This Row],[2-8]])</f>
        <v>376.71</v>
      </c>
      <c r="AQ20" s="69" t="n">
        <f aca="false">(1+race_food_consumption)*TblPop[[#This Row],[Total]]*food_per_person*(1+tech_1_10*TblTech[[#This Row],[1-10]]+tech_7_5*TblTech[[#This Row],[7-5]])</f>
        <v>629.75</v>
      </c>
      <c r="AR20" s="69" t="n">
        <f aca="false">TblProd[[#This Row],[Lumber]]*lumber_rot * (1 + tech_2_1*TblTech[[#This Row],[2-1]] + tech_2_8*TblTech[[#This Row],[2-8]] + tech_5_2*TblTech[[#This Row],[5-2]])</f>
        <v>43.19</v>
      </c>
      <c r="AS20" s="69" t="n">
        <f aca="false">TblProd[[#This Row],[Mana]]*mana_drain * (1 + tech_2_1*TblTech[[#This Row],[2-1]] + tech_2_8*TblTech[[#This Row],[2-8]])</f>
        <v>-166.48</v>
      </c>
      <c r="AT20" s="146"/>
      <c r="AU20" s="69" t="n">
        <f aca="false">TblExplore[[#This Row],[Platinum (2)]]+TblConstr[[#This Row],[Total Plat Cost]]+TblMili[[#This Row],[Plat Cost]]+TblRezone[[#This Row],[Platinum cost]]+TblImps[[#This Row],[P1]]-TblProd[[#This Row],[Bank Plat]]</f>
        <v>0</v>
      </c>
      <c r="AV20" s="69" t="n">
        <f aca="false">TblConstr[[#This Row],[Total Lum Cost]]+TblImps[[#This Row],[L1]]-TblProd[[#This Row],[Bank Lumber]] + Military!$CL$25*TblMili[[#This Row],[Sec. rec. Cost]]</f>
        <v>0</v>
      </c>
      <c r="AW20" s="69" t="n">
        <f aca="false">TblMagic[[#This Row],[Mana cost]] + Military!$CL$26*TblMili[[#This Row],[Sec. rec. Cost]]</f>
        <v>0</v>
      </c>
      <c r="AX20" s="69" t="n">
        <f aca="false">Military!$CL$24*TblMili[[#This Row],[Sec. rec. Cost]]+TblImps[[#This Row],[O1]]-TblProd[[#This Row],[Bank Ore]]</f>
        <v>0</v>
      </c>
      <c r="AY20" s="69" t="n">
        <f aca="false">TblImps[[#This Row],[G1]]-TblProd[[#This Row],[Bank Gems]]</f>
        <v>0</v>
      </c>
      <c r="AZ20" s="132"/>
      <c r="BA20" s="33" t="n">
        <f aca="false">IF(TblProd[[#This Row],[Set Guard]]&lt;&gt;"",TblProd[[#This Row],[Set Guard]],OFFSET(TblProd[[#This Row],[Guard]],-1,0))</f>
        <v>0</v>
      </c>
      <c r="BB20" s="145"/>
      <c r="BC20" s="151" t="n">
        <f aca="false">TblProd[[#This Row],[Hour]]</f>
        <v>17</v>
      </c>
      <c r="BD20" s="152" t="n">
        <f aca="false">-TblProd[[#This Row],[Bank Lumber]] / 2 + -TblProd[[#This Row],[Bank Gems]] * 2 + -TblProd[[#This Row],[Bank Ore]] / 2</f>
        <v>-0</v>
      </c>
      <c r="BE20" s="152"/>
      <c r="BF20" s="152"/>
      <c r="BG20" s="152"/>
      <c r="BH20" s="153" t="n">
        <f aca="false">TblProd[[#This Row],[Time]]</f>
        <v>45430.4166666667</v>
      </c>
      <c r="BI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J20" s="69" t="n">
        <f aca="false">TblProd[[#This Row],[Platinum]]</f>
        <v>80898</v>
      </c>
      <c r="BK20" s="69" t="n">
        <f aca="false">TblProd[[#This Row],[Food]]</f>
        <v>37671</v>
      </c>
      <c r="BL20" s="69" t="n">
        <f aca="false">TblProd[[#This Row],[Lumber]]</f>
        <v>4319</v>
      </c>
      <c r="BM20" s="69" t="n">
        <f aca="false">TblProd[[#This Row],[Mana]]</f>
        <v>-8324</v>
      </c>
      <c r="BN20" s="69" t="n">
        <f aca="false">TblProd[[#This Row],[Ore]]</f>
        <v>-357</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2192</v>
      </c>
      <c r="G21" s="69"/>
      <c r="H21" s="69" t="e">
        <f aca="false">TblMili[[#This Row],[Networth (2)]]</f>
        <v>#VALUE!</v>
      </c>
      <c r="I21" s="69" t="n">
        <f aca="false">OFFSET(TblProd[[#This Row],[Platinum]],-1,0)+OFFSET(TblProd[[#This Row],[Plat/hr]],-1,0) - TblProd[[#This Row],[Expenses Platinum]] + IF(TblProd[[#This Row],[Plat Bonus]],TblPop[[#This Row],[Peasants]]*4) + SUM(TblConstr[[#This Row],[Dest Hom]:[Dest Doc]])*TblConstr[[#This Row],[CPA Platinum -DB]]*tech_3_3_2*TblTech[[#This Row],[3-3]]</f>
        <v>21929</v>
      </c>
      <c r="J21" s="69" t="n">
        <f aca="false">OFFSET(TblProd[[#This Row],[Food]],-1,0)+OFFSET(TblProd[[#This Row],[Food/hr]],-1,0)+ROUNDUP((TblConstr[[#This Row],[Farms]]*80+TblConstr[[#This Row],[Docks]]*35)*(1+OFFSET(TblProd[[#This Row],[Bonus Food/hr]],-1,0)),0)</f>
        <v>37155</v>
      </c>
      <c r="K21" s="69" t="n">
        <f aca="false">OFFSET(TblProd[[#This Row],[Lumber]],-1,0)+OFFSET(TblProd[[#This Row],[Lumber/hr]],-1,0) - TblProd[[#This Row],[Expenses Lumber]] + SUM(TblConstr[[#This Row],[Dest Hom]:[Dest Doc]])*TblConstr[[#This Row],[CPA Lumber -DB]]*tech_3_3_2*TblTech[[#This Row],[3-3]]</f>
        <v>4148</v>
      </c>
      <c r="L21" s="69" t="n">
        <f aca="false">OFFSET(TblProd[[#This Row],[Mana]],-1,0)+OFFSET(TblProd[[#This Row],[Mana/hr]],-1,0)- TblProd[[#This Row],[Expenses Mana]]</f>
        <v>-7783</v>
      </c>
      <c r="M21" s="69" t="n">
        <f aca="false">OFFSET(TblProd[[#This Row],[Ore]],-1,0)+OFFSET(TblProd[[#This Row],[Ore/hr]],-1,0) -TblProd[[#This Row],[Expenses Ore]]</f>
        <v>-357</v>
      </c>
      <c r="N21" s="69" t="n">
        <f aca="false">OFFSET(TblProd[[#This Row],[Gems]],-1,0)+OFFSET(TblProd[[#This Row],[Gems/hr]],-1,0) - TblProd[[#This Row],[Expenses Gems]]</f>
        <v>-1000</v>
      </c>
      <c r="O21" s="69" t="n">
        <f aca="false">OFFSET(TblProd[[#This Row],[Boats]],-1,0)+OFFSET(TblProd[[#This Row],[Boats/hr]],-1,0)</f>
        <v>0</v>
      </c>
      <c r="P21" s="69" t="n">
        <f aca="false">OFFSET(TblProd[[#This Row],[Prestige]],-1,0)</f>
        <v>250</v>
      </c>
      <c r="Q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1" s="69" t="n">
        <f aca="false">MAX(3750,_xlfn.CEILING.MATH(TblProd[[#This Row],[Land]]*2.5+OFFSET(TblTech[[#This Row],[Sum of tech]],-1,0)*150))</f>
        <v>3750</v>
      </c>
      <c r="S21" s="132"/>
      <c r="T21" s="69" t="n">
        <f aca="false">ROUNDDOWN(TblProd[[#This Row],[Raw Plat/hr]]*(1+TblProd[[#This Row],[Bonus Plat/hr]]),0)</f>
        <v>11475</v>
      </c>
      <c r="U21" s="69" t="n">
        <f aca="false">ROUND(TblProd[[#This Row],[Raw Food/hr]]*(1+TblProd[[#This Row],[Bonus Food/hr]])-TblProd[[#This Row],[Food decay]]-TblProd[[#This Row],[Food eaten]],0)</f>
        <v>-553</v>
      </c>
      <c r="V21" s="69" t="n">
        <f aca="false">ROUND(TblProd[[#This Row],[Raw Lumber/hr]]*(1+TblProd[[#This Row],[Bonus Lumber/hr]])-TblProd[[#This Row],[Lumber rot]],0)</f>
        <v>859</v>
      </c>
      <c r="W21" s="69" t="n">
        <f aca="false">ROUND(TblProd[[#This Row],[Raw Mana/hr]]*(1+TblProd[[#This Row],[Bonus Mana/hr]])-TblProd[[#This Row],[Mana drain]],0)</f>
        <v>531</v>
      </c>
      <c r="X21" s="69" t="n">
        <f aca="false">ROUNDDOWN(TblProd[[#This Row],[Raw Ore/hr]]*(1+TblProd[[#This Row],[Bonux Ore/hr]]),0)</f>
        <v>0</v>
      </c>
      <c r="Y21" s="69" t="n">
        <f aca="false">ROUNDDOWN(TblProd[[#This Row],[Raw Gems/hr]]*(1+TblProd[[#This Row],[Bonus Gems/hr]]),0)</f>
        <v>0</v>
      </c>
      <c r="Z21" s="148" t="n">
        <f aca="false">OFFSET(TblConstr[[#This Row],[Tot Doc]],1,0)*dock_boats_hr * (1 + tech_4_1*TblTech[[#This Row],[4-1]])</f>
        <v>0</v>
      </c>
      <c r="AA21" s="146"/>
      <c r="AB21" s="69" t="n">
        <f aca="false">TblPop[[#This Row],[Peasants]]*tax*TblPop[[#This Row],[Employment]] + (Construction!AZ22+Construction!BX22)*(alch_plat+(Magic!AM21&gt;0)*alchemist_flame_bonus)</f>
        <v>9978.4</v>
      </c>
      <c r="AC21" s="69" t="n">
        <f aca="false">TblConstr[[#This Row],[Tot Farm]]*farm_food + TblConstr[[#This Row],[Tot Doc]]*dock_food</f>
        <v>400</v>
      </c>
      <c r="AD21" s="69" t="n">
        <f aca="false">TblConstr[[#This Row],[Tot Ly]]*ly_lumber + TblConstr[[#This Row],[Tot Hav]]*fh_lumber</f>
        <v>1000</v>
      </c>
      <c r="AE21" s="69" t="n">
        <f aca="false">OFFSET(TblConstr[[#This Row],[Tot Tow]],1,0)*(tower_mana + tech_4_5*TblTech[[#This Row],[4-5]]) + OFFSET(TblConstr[[#This Row],[Tot WG]],1,0)*wg_mana_prod</f>
        <v>375</v>
      </c>
      <c r="AF21" s="69" t="n">
        <f aca="false">OFFSET(TblConstr[[#This Row],[Tot OM]],1,0)*om_ore+IF(race="Dwarf",ROUNDDOWN(TblMili[[#This Row],[Unit 2]]*0.4,0),)</f>
        <v>0</v>
      </c>
      <c r="AG21" s="69" t="n">
        <f aca="false">OFFSET(TblConstr[[#This Row],[Tot DM]],1,0)*dm_gems</f>
        <v>0</v>
      </c>
      <c r="AH21" s="132"/>
      <c r="AI21" s="149" t="n">
        <f aca="false">MIN(race_platinum_bonus + IF(TblMagic[[#This Row],[Active Alch Frost]]&gt;0,alch_frost_bonus,IF(Magic!AD21&gt;0,midas_bonus)) + TblImps[[#This Row],[Science]] - TblProd[[#This Row],[Guard]]*(0.02 + tech_5_7*TblTech[[#This Row],[5-7]]) + tech_1_5*TblTech[[#This Row],[1-5]] + tech_4_4*TblTech[[#This Row],[4-4]], 0.5)</f>
        <v>0.15</v>
      </c>
      <c r="AJ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1" s="149" t="n">
        <f aca="false">race_lumber_bonus+ IF(TblMagic[[#This Row],[Active Gaia''s Blessing]]&gt;0,gaias_blessing_lumber)+ tech_1_3*TblTech[[#This Row],[1-3]] + tech_1_6*TblTech[[#This Row],[1-6]] + tech_3_3*TblTech[[#This Row],[3-3]]</f>
        <v>-0.1</v>
      </c>
      <c r="AL21" s="149" t="n">
        <f aca="false">race_mana_bonus+ 0 + TblImps[[#This Row],[Towers]] + tech_1_2*TblTech[[#This Row],[1-2]] + tech_3_4*TblTech[[#This Row],[3-4]]</f>
        <v>0</v>
      </c>
      <c r="AM21" s="149" t="n">
        <f aca="false">race_ore_bonus + IF(TblMagic[[#This Row],[Active Miner''s Sight]]&gt;0,miners_sight_bonus,IF(TblMagic[[#This Row],[Active Mining Strength]]&gt;0,mining_strength_bonus)) +  tech_1_6*TblTech[[#This Row],[1-6]]</f>
        <v>0</v>
      </c>
      <c r="AN21" s="149" t="n">
        <f aca="false">race_gem_bonus+ tech_3_2*TblTech[[#This Row],[3-2]] + tech_4_3*TblTech[[#This Row],[4-3]] + tech_6_2*TblTech[[#This Row],[6-2]]</f>
        <v>0.15</v>
      </c>
      <c r="AO21" s="132"/>
      <c r="AP21" s="69" t="n">
        <f aca="false">TblProd[[#This Row],[Food]]*food_decay * (1 + tech_2_1*TblTech[[#This Row],[2-1]] + tech_2_8*TblTech[[#This Row],[2-8]])</f>
        <v>371.55</v>
      </c>
      <c r="AQ21" s="69" t="n">
        <f aca="false">(1+race_food_consumption)*TblPop[[#This Row],[Total]]*food_per_person*(1+tech_1_10*TblTech[[#This Row],[1-10]]+tech_7_5*TblTech[[#This Row],[7-5]])</f>
        <v>591.25</v>
      </c>
      <c r="AR21" s="69" t="n">
        <f aca="false">TblProd[[#This Row],[Lumber]]*lumber_rot * (1 + tech_2_1*TblTech[[#This Row],[2-1]] + tech_2_8*TblTech[[#This Row],[2-8]] + tech_5_2*TblTech[[#This Row],[5-2]])</f>
        <v>41.48</v>
      </c>
      <c r="AS21" s="69" t="n">
        <f aca="false">TblProd[[#This Row],[Mana]]*mana_drain * (1 + tech_2_1*TblTech[[#This Row],[2-1]] + tech_2_8*TblTech[[#This Row],[2-8]])</f>
        <v>-155.66</v>
      </c>
      <c r="AT21" s="146"/>
      <c r="AU21" s="69" t="n">
        <f aca="false">TblExplore[[#This Row],[Platinum (2)]]+TblConstr[[#This Row],[Total Plat Cost]]+TblMili[[#This Row],[Plat Cost]]+TblRezone[[#This Row],[Platinum cost]]+TblImps[[#This Row],[P1]]-TblProd[[#This Row],[Bank Plat]]</f>
        <v>70118</v>
      </c>
      <c r="AV21" s="69" t="n">
        <f aca="false">TblConstr[[#This Row],[Total Lum Cost]]+TblImps[[#This Row],[L1]]-TblProd[[#This Row],[Bank Lumber]] + Military!$CL$25*TblMili[[#This Row],[Sec. rec. Cost]]</f>
        <v>1128</v>
      </c>
      <c r="AW21" s="69" t="n">
        <f aca="false">TblMagic[[#This Row],[Mana cost]] + Military!$CL$26*TblMili[[#This Row],[Sec. rec. Cost]]</f>
        <v>0</v>
      </c>
      <c r="AX21" s="69" t="n">
        <f aca="false">Military!$CL$24*TblMili[[#This Row],[Sec. rec. Cost]]+TblImps[[#This Row],[O1]]-TblProd[[#This Row],[Bank Ore]]</f>
        <v>0</v>
      </c>
      <c r="AY21" s="69" t="n">
        <f aca="false">TblImps[[#This Row],[G1]]-TblProd[[#This Row],[Bank Gems]]</f>
        <v>0</v>
      </c>
      <c r="AZ21" s="132"/>
      <c r="BA21" s="33" t="n">
        <f aca="false">IF(TblProd[[#This Row],[Set Guard]]&lt;&gt;"",TblProd[[#This Row],[Set Guard]],OFFSET(TblProd[[#This Row],[Guard]],-1,0))</f>
        <v>0</v>
      </c>
      <c r="BB21" s="145"/>
      <c r="BC21" s="151" t="n">
        <f aca="false">TblProd[[#This Row],[Hour]]</f>
        <v>18</v>
      </c>
      <c r="BD21" s="152" t="n">
        <f aca="false">-TblProd[[#This Row],[Bank Lumber]] / 2 + -TblProd[[#This Row],[Bank Gems]] * 2 + -TblProd[[#This Row],[Bank Ore]] / 2</f>
        <v>0</v>
      </c>
      <c r="BE21" s="152"/>
      <c r="BF21" s="152"/>
      <c r="BG21" s="152"/>
      <c r="BH21" s="153" t="n">
        <f aca="false">TblProd[[#This Row],[Time]]</f>
        <v>45430.4583333333</v>
      </c>
      <c r="BI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J21" s="69" t="n">
        <f aca="false">TblProd[[#This Row],[Platinum]]</f>
        <v>21929</v>
      </c>
      <c r="BK21" s="69" t="n">
        <f aca="false">TblProd[[#This Row],[Food]]</f>
        <v>37155</v>
      </c>
      <c r="BL21" s="69" t="n">
        <f aca="false">TblProd[[#This Row],[Lumber]]</f>
        <v>4148</v>
      </c>
      <c r="BM21" s="69" t="n">
        <f aca="false">TblProd[[#This Row],[Mana]]</f>
        <v>-7783</v>
      </c>
      <c r="BN21" s="69" t="n">
        <f aca="false">TblProd[[#This Row],[Ore]]</f>
        <v>-357</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2302</v>
      </c>
      <c r="G22" s="69"/>
      <c r="H22" s="69" t="e">
        <f aca="false">TblMili[[#This Row],[Networth (2)]]</f>
        <v>#VALUE!</v>
      </c>
      <c r="I22" s="69" t="n">
        <f aca="false">OFFSET(TblProd[[#This Row],[Platinum]],-1,0)+OFFSET(TblProd[[#This Row],[Plat/hr]],-1,0) - TblProd[[#This Row],[Expenses Platinum]] + IF(TblProd[[#This Row],[Plat Bonus]],TblPop[[#This Row],[Peasants]]*4) + SUM(TblConstr[[#This Row],[Dest Hom]:[Dest Doc]])*TblConstr[[#This Row],[CPA Platinum -DB]]*tech_3_3_2*TblTech[[#This Row],[3-3]]</f>
        <v>23317</v>
      </c>
      <c r="J22" s="69" t="n">
        <f aca="false">OFFSET(TblProd[[#This Row],[Food]],-1,0)+OFFSET(TblProd[[#This Row],[Food/hr]],-1,0)+ROUNDUP((TblConstr[[#This Row],[Farms]]*80+TblConstr[[#This Row],[Docks]]*35)*(1+OFFSET(TblProd[[#This Row],[Bonus Food/hr]],-1,0)),0)</f>
        <v>36602</v>
      </c>
      <c r="K22" s="69" t="n">
        <f aca="false">OFFSET(TblProd[[#This Row],[Lumber]],-1,0)+OFFSET(TblProd[[#This Row],[Lumber/hr]],-1,0) - TblProd[[#This Row],[Expenses Lumber]] + SUM(TblConstr[[#This Row],[Dest Hom]:[Dest Doc]])*TblConstr[[#This Row],[CPA Lumber -DB]]*tech_3_3_2*TblTech[[#This Row],[3-3]]</f>
        <v>4960</v>
      </c>
      <c r="L22" s="69" t="n">
        <f aca="false">OFFSET(TblProd[[#This Row],[Mana]],-1,0)+OFFSET(TblProd[[#This Row],[Mana/hr]],-1,0)- TblProd[[#This Row],[Expenses Mana]]</f>
        <v>-7252</v>
      </c>
      <c r="M22" s="69" t="n">
        <f aca="false">OFFSET(TblProd[[#This Row],[Ore]],-1,0)+OFFSET(TblProd[[#This Row],[Ore/hr]],-1,0) -TblProd[[#This Row],[Expenses Ore]]</f>
        <v>-357</v>
      </c>
      <c r="N22" s="69" t="n">
        <f aca="false">OFFSET(TblProd[[#This Row],[Gems]],-1,0)+OFFSET(TblProd[[#This Row],[Gems/hr]],-1,0) - TblProd[[#This Row],[Expenses Gems]]</f>
        <v>-1000</v>
      </c>
      <c r="O22" s="69" t="n">
        <f aca="false">OFFSET(TblProd[[#This Row],[Boats]],-1,0)+OFFSET(TblProd[[#This Row],[Boats/hr]],-1,0)</f>
        <v>0</v>
      </c>
      <c r="P22" s="69" t="n">
        <f aca="false">OFFSET(TblProd[[#This Row],[Prestige]],-1,0)</f>
        <v>250</v>
      </c>
      <c r="Q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2" s="69" t="n">
        <f aca="false">MAX(3750,_xlfn.CEILING.MATH(TblProd[[#This Row],[Land]]*2.5+OFFSET(TblTech[[#This Row],[Sum of tech]],-1,0)*150))</f>
        <v>3750</v>
      </c>
      <c r="S22" s="132"/>
      <c r="T22" s="69" t="n">
        <f aca="false">ROUNDDOWN(TblProd[[#This Row],[Raw Plat/hr]]*(1+TblProd[[#This Row],[Bonus Plat/hr]]),0)</f>
        <v>11816</v>
      </c>
      <c r="U22" s="69" t="n">
        <f aca="false">ROUND(TblProd[[#This Row],[Raw Food/hr]]*(1+TblProd[[#This Row],[Bonus Food/hr]])-TblProd[[#This Row],[Food decay]]-TblProd[[#This Row],[Food eaten]],0)</f>
        <v>-569</v>
      </c>
      <c r="V22" s="69" t="n">
        <f aca="false">ROUND(TblProd[[#This Row],[Raw Lumber/hr]]*(1+TblProd[[#This Row],[Bonus Lumber/hr]])-TblProd[[#This Row],[Lumber rot]],0)</f>
        <v>850</v>
      </c>
      <c r="W22" s="69" t="n">
        <f aca="false">ROUND(TblProd[[#This Row],[Raw Mana/hr]]*(1+TblProd[[#This Row],[Bonus Mana/hr]])-TblProd[[#This Row],[Mana drain]],0)</f>
        <v>520</v>
      </c>
      <c r="X22" s="69" t="n">
        <f aca="false">ROUNDDOWN(TblProd[[#This Row],[Raw Ore/hr]]*(1+TblProd[[#This Row],[Bonux Ore/hr]]),0)</f>
        <v>0</v>
      </c>
      <c r="Y22" s="69" t="n">
        <f aca="false">ROUNDDOWN(TblProd[[#This Row],[Raw Gems/hr]]*(1+TblProd[[#This Row],[Bonus Gems/hr]]),0)</f>
        <v>0</v>
      </c>
      <c r="Z22" s="148" t="n">
        <f aca="false">OFFSET(TblConstr[[#This Row],[Tot Doc]],1,0)*dock_boats_hr * (1 + tech_4_1*TblTech[[#This Row],[4-1]])</f>
        <v>0</v>
      </c>
      <c r="AA22" s="146"/>
      <c r="AB22" s="69" t="n">
        <f aca="false">TblPop[[#This Row],[Peasants]]*tax*TblPop[[#This Row],[Employment]] + (Construction!AZ23+Construction!BX23)*(alch_plat+(Magic!AM22&gt;0)*alchemist_flame_bonus)</f>
        <v>10275.4</v>
      </c>
      <c r="AC22" s="69" t="n">
        <f aca="false">TblConstr[[#This Row],[Tot Farm]]*farm_food + TblConstr[[#This Row],[Tot Doc]]*dock_food</f>
        <v>400</v>
      </c>
      <c r="AD22" s="69" t="n">
        <f aca="false">TblConstr[[#This Row],[Tot Ly]]*ly_lumber + TblConstr[[#This Row],[Tot Hav]]*fh_lumber</f>
        <v>1000</v>
      </c>
      <c r="AE22" s="69" t="n">
        <f aca="false">OFFSET(TblConstr[[#This Row],[Tot Tow]],1,0)*(tower_mana + tech_4_5*TblTech[[#This Row],[4-5]]) + OFFSET(TblConstr[[#This Row],[Tot WG]],1,0)*wg_mana_prod</f>
        <v>375</v>
      </c>
      <c r="AF22" s="69" t="n">
        <f aca="false">OFFSET(TblConstr[[#This Row],[Tot OM]],1,0)*om_ore+IF(race="Dwarf",ROUNDDOWN(TblMili[[#This Row],[Unit 2]]*0.4,0),)</f>
        <v>0</v>
      </c>
      <c r="AG22" s="69" t="n">
        <f aca="false">OFFSET(TblConstr[[#This Row],[Tot DM]],1,0)*dm_gems</f>
        <v>0</v>
      </c>
      <c r="AH22" s="132"/>
      <c r="AI22" s="149" t="n">
        <f aca="false">MIN(race_platinum_bonus + IF(TblMagic[[#This Row],[Active Alch Frost]]&gt;0,alch_frost_bonus,IF(Magic!AD22&gt;0,midas_bonus)) + TblImps[[#This Row],[Science]] - TblProd[[#This Row],[Guard]]*(0.02 + tech_5_7*TblTech[[#This Row],[5-7]]) + tech_1_5*TblTech[[#This Row],[1-5]] + tech_4_4*TblTech[[#This Row],[4-4]], 0.5)</f>
        <v>0.15</v>
      </c>
      <c r="AJ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2" s="149" t="n">
        <f aca="false">race_lumber_bonus+ IF(TblMagic[[#This Row],[Active Gaia''s Blessing]]&gt;0,gaias_blessing_lumber)+ tech_1_3*TblTech[[#This Row],[1-3]] + tech_1_6*TblTech[[#This Row],[1-6]] + tech_3_3*TblTech[[#This Row],[3-3]]</f>
        <v>-0.1</v>
      </c>
      <c r="AL22" s="149" t="n">
        <f aca="false">race_mana_bonus+ 0 + TblImps[[#This Row],[Towers]] + tech_1_2*TblTech[[#This Row],[1-2]] + tech_3_4*TblTech[[#This Row],[3-4]]</f>
        <v>0</v>
      </c>
      <c r="AM22" s="149" t="n">
        <f aca="false">race_ore_bonus + IF(TblMagic[[#This Row],[Active Miner''s Sight]]&gt;0,miners_sight_bonus,IF(TblMagic[[#This Row],[Active Mining Strength]]&gt;0,mining_strength_bonus)) +  tech_1_6*TblTech[[#This Row],[1-6]]</f>
        <v>0</v>
      </c>
      <c r="AN22" s="149" t="n">
        <f aca="false">race_gem_bonus+ tech_3_2*TblTech[[#This Row],[3-2]] + tech_4_3*TblTech[[#This Row],[4-3]] + tech_6_2*TblTech[[#This Row],[6-2]]</f>
        <v>0.15</v>
      </c>
      <c r="AO22" s="132"/>
      <c r="AP22" s="69" t="n">
        <f aca="false">TblProd[[#This Row],[Food]]*food_decay * (1 + tech_2_1*TblTech[[#This Row],[2-1]] + tech_2_8*TblTech[[#This Row],[2-8]])</f>
        <v>366.02</v>
      </c>
      <c r="AQ22" s="69" t="n">
        <f aca="false">(1+race_food_consumption)*TblPop[[#This Row],[Total]]*food_per_person*(1+tech_1_10*TblTech[[#This Row],[1-10]]+tech_7_5*TblTech[[#This Row],[7-5]])</f>
        <v>613.25</v>
      </c>
      <c r="AR22" s="69" t="n">
        <f aca="false">TblProd[[#This Row],[Lumber]]*lumber_rot * (1 + tech_2_1*TblTech[[#This Row],[2-1]] + tech_2_8*TblTech[[#This Row],[2-8]] + tech_5_2*TblTech[[#This Row],[5-2]])</f>
        <v>49.6</v>
      </c>
      <c r="AS22" s="69" t="n">
        <f aca="false">TblProd[[#This Row],[Mana]]*mana_drain * (1 + tech_2_1*TblTech[[#This Row],[2-1]] + tech_2_8*TblTech[[#This Row],[2-8]])</f>
        <v>-145.04</v>
      </c>
      <c r="AT22" s="146"/>
      <c r="AU22" s="69" t="n">
        <f aca="false">TblExplore[[#This Row],[Platinum (2)]]+TblConstr[[#This Row],[Total Plat Cost]]+TblMili[[#This Row],[Plat Cost]]+TblRezone[[#This Row],[Platinum cost]]+TblImps[[#This Row],[P1]]-TblProd[[#This Row],[Bank Plat]]</f>
        <v>10087</v>
      </c>
      <c r="AV22" s="69" t="n">
        <f aca="false">TblConstr[[#This Row],[Total Lum Cost]]+TblImps[[#This Row],[L1]]-TblProd[[#This Row],[Bank Lumber]] + Military!$CL$25*TblMili[[#This Row],[Sec. rec. Cost]]</f>
        <v>47</v>
      </c>
      <c r="AW22" s="69" t="n">
        <f aca="false">TblMagic[[#This Row],[Mana cost]] + Military!$CL$26*TblMili[[#This Row],[Sec. rec. Cost]]</f>
        <v>0</v>
      </c>
      <c r="AX22" s="69" t="n">
        <f aca="false">Military!$CL$24*TblMili[[#This Row],[Sec. rec. Cost]]+TblImps[[#This Row],[O1]]-TblProd[[#This Row],[Bank Ore]]</f>
        <v>0</v>
      </c>
      <c r="AY22" s="69" t="n">
        <f aca="false">TblImps[[#This Row],[G1]]-TblProd[[#This Row],[Bank Gems]]</f>
        <v>0</v>
      </c>
      <c r="AZ22" s="132"/>
      <c r="BA22" s="33" t="n">
        <f aca="false">IF(TblProd[[#This Row],[Set Guard]]&lt;&gt;"",TblProd[[#This Row],[Set Guard]],OFFSET(TblProd[[#This Row],[Guard]],-1,0))</f>
        <v>0</v>
      </c>
      <c r="BB22" s="145"/>
      <c r="BC22" s="151" t="n">
        <f aca="false">TblProd[[#This Row],[Hour]]</f>
        <v>19</v>
      </c>
      <c r="BD22" s="152" t="n">
        <f aca="false">-TblProd[[#This Row],[Bank Lumber]] / 2 + -TblProd[[#This Row],[Bank Gems]] * 2 + -TblProd[[#This Row],[Bank Ore]] / 2</f>
        <v>0</v>
      </c>
      <c r="BE22" s="152"/>
      <c r="BF22" s="152"/>
      <c r="BG22" s="152"/>
      <c r="BH22" s="153" t="n">
        <f aca="false">TblProd[[#This Row],[Time]]</f>
        <v>45430.5</v>
      </c>
      <c r="BI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J22" s="69" t="n">
        <f aca="false">TblProd[[#This Row],[Platinum]]</f>
        <v>23317</v>
      </c>
      <c r="BK22" s="69" t="n">
        <f aca="false">TblProd[[#This Row],[Food]]</f>
        <v>36602</v>
      </c>
      <c r="BL22" s="69" t="n">
        <f aca="false">TblProd[[#This Row],[Lumber]]</f>
        <v>4960</v>
      </c>
      <c r="BM22" s="69" t="n">
        <f aca="false">TblProd[[#This Row],[Mana]]</f>
        <v>-7252</v>
      </c>
      <c r="BN22" s="69" t="n">
        <f aca="false">TblProd[[#This Row],[Ore]]</f>
        <v>-357</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2417</v>
      </c>
      <c r="G23" s="69"/>
      <c r="H23" s="69" t="e">
        <f aca="false">TblMili[[#This Row],[Networth (2)]]</f>
        <v>#VALUE!</v>
      </c>
      <c r="I23" s="69" t="n">
        <f aca="false">OFFSET(TblProd[[#This Row],[Platinum]],-1,0)+OFFSET(TblProd[[#This Row],[Plat/hr]],-1,0) - TblProd[[#This Row],[Expenses Platinum]] + IF(TblProd[[#This Row],[Plat Bonus]],TblPop[[#This Row],[Peasants]]*4) + SUM(TblConstr[[#This Row],[Dest Hom]:[Dest Doc]])*TblConstr[[#This Row],[CPA Platinum -DB]]*tech_3_3_2*TblTech[[#This Row],[3-3]]</f>
        <v>24112</v>
      </c>
      <c r="J23" s="69" t="n">
        <f aca="false">OFFSET(TblProd[[#This Row],[Food]],-1,0)+OFFSET(TblProd[[#This Row],[Food/hr]],-1,0)+ROUNDUP((TblConstr[[#This Row],[Farms]]*80+TblConstr[[#This Row],[Docks]]*35)*(1+OFFSET(TblProd[[#This Row],[Bonus Food/hr]],-1,0)),0)</f>
        <v>36033</v>
      </c>
      <c r="K23" s="69" t="n">
        <f aca="false">OFFSET(TblProd[[#This Row],[Lumber]],-1,0)+OFFSET(TblProd[[#This Row],[Lumber/hr]],-1,0) - TblProd[[#This Row],[Expenses Lumber]] + SUM(TblConstr[[#This Row],[Dest Hom]:[Dest Doc]])*TblConstr[[#This Row],[CPA Lumber -DB]]*tech_3_3_2*TblTech[[#This Row],[3-3]]</f>
        <v>5763</v>
      </c>
      <c r="L23" s="69" t="n">
        <f aca="false">OFFSET(TblProd[[#This Row],[Mana]],-1,0)+OFFSET(TblProd[[#This Row],[Mana/hr]],-1,0)- TblProd[[#This Row],[Expenses Mana]]</f>
        <v>-6732</v>
      </c>
      <c r="M23" s="69" t="n">
        <f aca="false">OFFSET(TblProd[[#This Row],[Ore]],-1,0)+OFFSET(TblProd[[#This Row],[Ore/hr]],-1,0) -TblProd[[#This Row],[Expenses Ore]]</f>
        <v>-357</v>
      </c>
      <c r="N23" s="69" t="n">
        <f aca="false">OFFSET(TblProd[[#This Row],[Gems]],-1,0)+OFFSET(TblProd[[#This Row],[Gems/hr]],-1,0) - TblProd[[#This Row],[Expenses Gems]]</f>
        <v>-1000</v>
      </c>
      <c r="O23" s="69" t="n">
        <f aca="false">OFFSET(TblProd[[#This Row],[Boats]],-1,0)+OFFSET(TblProd[[#This Row],[Boats/hr]],-1,0)</f>
        <v>0</v>
      </c>
      <c r="P23" s="69" t="n">
        <f aca="false">OFFSET(TblProd[[#This Row],[Prestige]],-1,0)</f>
        <v>250</v>
      </c>
      <c r="Q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3" s="69" t="n">
        <f aca="false">MAX(3750,_xlfn.CEILING.MATH(TblProd[[#This Row],[Land]]*2.5+OFFSET(TblTech[[#This Row],[Sum of tech]],-1,0)*150))</f>
        <v>3750</v>
      </c>
      <c r="S23" s="132"/>
      <c r="T23" s="69" t="n">
        <f aca="false">ROUNDDOWN(TblProd[[#This Row],[Raw Plat/hr]]*(1+TblProd[[#This Row],[Bonus Plat/hr]]),0)</f>
        <v>10585</v>
      </c>
      <c r="U23" s="69" t="n">
        <f aca="false">ROUND(TblProd[[#This Row],[Raw Food/hr]]*(1+TblProd[[#This Row],[Bonus Food/hr]])-TblProd[[#This Row],[Food decay]]-TblProd[[#This Row],[Food eaten]],0)</f>
        <v>-586</v>
      </c>
      <c r="V23" s="69" t="n">
        <f aca="false">ROUND(TblProd[[#This Row],[Raw Lumber/hr]]*(1+TblProd[[#This Row],[Bonus Lumber/hr]])-TblProd[[#This Row],[Lumber rot]],0)</f>
        <v>842</v>
      </c>
      <c r="W23" s="69" t="n">
        <f aca="false">ROUND(TblProd[[#This Row],[Raw Mana/hr]]*(1+TblProd[[#This Row],[Bonus Mana/hr]])-TblProd[[#This Row],[Mana drain]],0)</f>
        <v>510</v>
      </c>
      <c r="X23" s="69" t="n">
        <f aca="false">ROUNDDOWN(TblProd[[#This Row],[Raw Ore/hr]]*(1+TblProd[[#This Row],[Bonux Ore/hr]]),0)</f>
        <v>0</v>
      </c>
      <c r="Y23" s="69" t="n">
        <f aca="false">ROUNDDOWN(TblProd[[#This Row],[Raw Gems/hr]]*(1+TblProd[[#This Row],[Bonus Gems/hr]]),0)</f>
        <v>0</v>
      </c>
      <c r="Z23" s="148" t="n">
        <f aca="false">OFFSET(TblConstr[[#This Row],[Tot Doc]],1,0)*dock_boats_hr * (1 + tech_4_1*TblTech[[#This Row],[4-1]])</f>
        <v>0</v>
      </c>
      <c r="AA23" s="146"/>
      <c r="AB23" s="69" t="n">
        <f aca="false">TblPop[[#This Row],[Peasants]]*tax*TblPop[[#This Row],[Employment]] + (Construction!AZ24+Construction!BX24)*(alch_plat+(Magic!AM23&gt;0)*alchemist_flame_bonus)</f>
        <v>10585.9</v>
      </c>
      <c r="AC23" s="69" t="n">
        <f aca="false">TblConstr[[#This Row],[Tot Farm]]*farm_food + TblConstr[[#This Row],[Tot Doc]]*dock_food</f>
        <v>400</v>
      </c>
      <c r="AD23" s="69" t="n">
        <f aca="false">TblConstr[[#This Row],[Tot Ly]]*ly_lumber + TblConstr[[#This Row],[Tot Hav]]*fh_lumber</f>
        <v>1000</v>
      </c>
      <c r="AE23" s="69" t="n">
        <f aca="false">OFFSET(TblConstr[[#This Row],[Tot Tow]],1,0)*(tower_mana + tech_4_5*TblTech[[#This Row],[4-5]]) + OFFSET(TblConstr[[#This Row],[Tot WG]],1,0)*wg_mana_prod</f>
        <v>375</v>
      </c>
      <c r="AF23" s="69" t="n">
        <f aca="false">OFFSET(TblConstr[[#This Row],[Tot OM]],1,0)*om_ore+IF(race="Dwarf",ROUNDDOWN(TblMili[[#This Row],[Unit 2]]*0.4,0),)</f>
        <v>0</v>
      </c>
      <c r="AG23" s="69" t="n">
        <f aca="false">OFFSET(TblConstr[[#This Row],[Tot DM]],1,0)*dm_gems</f>
        <v>0</v>
      </c>
      <c r="AH23" s="132"/>
      <c r="AI23" s="149" t="n">
        <f aca="false">MIN(race_platinum_bonus + IF(TblMagic[[#This Row],[Active Alch Frost]]&gt;0,alch_frost_bonus,IF(Magic!AD23&gt;0,midas_bonus)) + TblImps[[#This Row],[Science]] - TblProd[[#This Row],[Guard]]*(0.02 + tech_5_7*TblTech[[#This Row],[5-7]]) + tech_1_5*TblTech[[#This Row],[1-5]] + tech_4_4*TblTech[[#This Row],[4-4]], 0.5)</f>
        <v>0</v>
      </c>
      <c r="AJ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3" s="149" t="n">
        <f aca="false">race_lumber_bonus+ IF(TblMagic[[#This Row],[Active Gaia''s Blessing]]&gt;0,gaias_blessing_lumber)+ tech_1_3*TblTech[[#This Row],[1-3]] + tech_1_6*TblTech[[#This Row],[1-6]] + tech_3_3*TblTech[[#This Row],[3-3]]</f>
        <v>-0.1</v>
      </c>
      <c r="AL23" s="149" t="n">
        <f aca="false">race_mana_bonus+ 0 + TblImps[[#This Row],[Towers]] + tech_1_2*TblTech[[#This Row],[1-2]] + tech_3_4*TblTech[[#This Row],[3-4]]</f>
        <v>0</v>
      </c>
      <c r="AM23" s="149" t="n">
        <f aca="false">race_ore_bonus + IF(TblMagic[[#This Row],[Active Miner''s Sight]]&gt;0,miners_sight_bonus,IF(TblMagic[[#This Row],[Active Mining Strength]]&gt;0,mining_strength_bonus)) +  tech_1_6*TblTech[[#This Row],[1-6]]</f>
        <v>0</v>
      </c>
      <c r="AN23" s="149" t="n">
        <f aca="false">race_gem_bonus+ tech_3_2*TblTech[[#This Row],[3-2]] + tech_4_3*TblTech[[#This Row],[4-3]] + tech_6_2*TblTech[[#This Row],[6-2]]</f>
        <v>0.15</v>
      </c>
      <c r="AO23" s="132"/>
      <c r="AP23" s="69" t="n">
        <f aca="false">TblProd[[#This Row],[Food]]*food_decay * (1 + tech_2_1*TblTech[[#This Row],[2-1]] + tech_2_8*TblTech[[#This Row],[2-8]])</f>
        <v>360.33</v>
      </c>
      <c r="AQ23" s="69" t="n">
        <f aca="false">(1+race_food_consumption)*TblPop[[#This Row],[Total]]*food_per_person*(1+tech_1_10*TblTech[[#This Row],[1-10]]+tech_7_5*TblTech[[#This Row],[7-5]])</f>
        <v>635.75</v>
      </c>
      <c r="AR23" s="69" t="n">
        <f aca="false">TblProd[[#This Row],[Lumber]]*lumber_rot * (1 + tech_2_1*TblTech[[#This Row],[2-1]] + tech_2_8*TblTech[[#This Row],[2-8]] + tech_5_2*TblTech[[#This Row],[5-2]])</f>
        <v>57.63</v>
      </c>
      <c r="AS23" s="69" t="n">
        <f aca="false">TblProd[[#This Row],[Mana]]*mana_drain * (1 + tech_2_1*TblTech[[#This Row],[2-1]] + tech_2_8*TblTech[[#This Row],[2-8]])</f>
        <v>-134.64</v>
      </c>
      <c r="AT23" s="146"/>
      <c r="AU23" s="69" t="n">
        <f aca="false">TblExplore[[#This Row],[Platinum (2)]]+TblConstr[[#This Row],[Total Plat Cost]]+TblMili[[#This Row],[Plat Cost]]+TblRezone[[#This Row],[Platinum cost]]+TblImps[[#This Row],[P1]]-TblProd[[#This Row],[Bank Plat]]</f>
        <v>11021</v>
      </c>
      <c r="AV23" s="69" t="n">
        <f aca="false">TblConstr[[#This Row],[Total Lum Cost]]+TblImps[[#This Row],[L1]]-TblProd[[#This Row],[Bank Lumber]] + Military!$CL$25*TblMili[[#This Row],[Sec. rec. Cost]]</f>
        <v>47</v>
      </c>
      <c r="AW23" s="69" t="n">
        <f aca="false">TblMagic[[#This Row],[Mana cost]] + Military!$CL$26*TblMili[[#This Row],[Sec. rec. Cost]]</f>
        <v>0</v>
      </c>
      <c r="AX23" s="69" t="n">
        <f aca="false">Military!$CL$24*TblMili[[#This Row],[Sec. rec. Cost]]+TblImps[[#This Row],[O1]]-TblProd[[#This Row],[Bank Ore]]</f>
        <v>0</v>
      </c>
      <c r="AY23" s="69" t="n">
        <f aca="false">TblImps[[#This Row],[G1]]-TblProd[[#This Row],[Bank Gems]]</f>
        <v>0</v>
      </c>
      <c r="AZ23" s="132"/>
      <c r="BA23" s="33" t="n">
        <f aca="false">IF(TblProd[[#This Row],[Set Guard]]&lt;&gt;"",TblProd[[#This Row],[Set Guard]],OFFSET(TblProd[[#This Row],[Guard]],-1,0))</f>
        <v>0</v>
      </c>
      <c r="BB23" s="145"/>
      <c r="BC23" s="151" t="n">
        <f aca="false">TblProd[[#This Row],[Hour]]</f>
        <v>20</v>
      </c>
      <c r="BD23" s="152" t="n">
        <f aca="false">-TblProd[[#This Row],[Bank Lumber]] / 2 + -TblProd[[#This Row],[Bank Gems]] * 2 + -TblProd[[#This Row],[Bank Ore]] / 2</f>
        <v>0</v>
      </c>
      <c r="BE23" s="152"/>
      <c r="BF23" s="152"/>
      <c r="BG23" s="152"/>
      <c r="BH23" s="153" t="n">
        <f aca="false">TblProd[[#This Row],[Time]]</f>
        <v>45430.5416666667</v>
      </c>
      <c r="BI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J23" s="69" t="n">
        <f aca="false">TblProd[[#This Row],[Platinum]]</f>
        <v>24112</v>
      </c>
      <c r="BK23" s="69" t="n">
        <f aca="false">TblProd[[#This Row],[Food]]</f>
        <v>36033</v>
      </c>
      <c r="BL23" s="69" t="n">
        <f aca="false">TblProd[[#This Row],[Lumber]]</f>
        <v>5763</v>
      </c>
      <c r="BM23" s="69" t="n">
        <f aca="false">TblProd[[#This Row],[Mana]]</f>
        <v>-6732</v>
      </c>
      <c r="BN23" s="69" t="n">
        <f aca="false">TblProd[[#This Row],[Ore]]</f>
        <v>-357</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2538</v>
      </c>
      <c r="G24" s="69"/>
      <c r="H24" s="69" t="e">
        <f aca="false">TblMili[[#This Row],[Networth (2)]]</f>
        <v>#VALUE!</v>
      </c>
      <c r="I24" s="69" t="n">
        <f aca="false">OFFSET(TblProd[[#This Row],[Platinum]],-1,0)+OFFSET(TblProd[[#This Row],[Plat/hr]],-1,0) - TblProd[[#This Row],[Expenses Platinum]] + IF(TblProd[[#This Row],[Plat Bonus]],TblPop[[#This Row],[Peasants]]*4) + SUM(TblConstr[[#This Row],[Dest Hom]:[Dest Doc]])*TblConstr[[#This Row],[CPA Platinum -DB]]*tech_3_3_2*TblTech[[#This Row],[3-3]]</f>
        <v>23628</v>
      </c>
      <c r="J24" s="69" t="n">
        <f aca="false">OFFSET(TblProd[[#This Row],[Food]],-1,0)+OFFSET(TblProd[[#This Row],[Food/hr]],-1,0)+ROUNDUP((TblConstr[[#This Row],[Farms]]*80+TblConstr[[#This Row],[Docks]]*35)*(1+OFFSET(TblProd[[#This Row],[Bonus Food/hr]],-1,0)),0)</f>
        <v>35447</v>
      </c>
      <c r="K24" s="69" t="n">
        <f aca="false">OFFSET(TblProd[[#This Row],[Lumber]],-1,0)+OFFSET(TblProd[[#This Row],[Lumber/hr]],-1,0) - TblProd[[#This Row],[Expenses Lumber]] + SUM(TblConstr[[#This Row],[Dest Hom]:[Dest Doc]])*TblConstr[[#This Row],[CPA Lumber -DB]]*tech_3_3_2*TblTech[[#This Row],[3-3]]</f>
        <v>6558</v>
      </c>
      <c r="L24" s="69" t="n">
        <f aca="false">OFFSET(TblProd[[#This Row],[Mana]],-1,0)+OFFSET(TblProd[[#This Row],[Mana/hr]],-1,0)- TblProd[[#This Row],[Expenses Mana]]</f>
        <v>-6222</v>
      </c>
      <c r="M24" s="69" t="n">
        <f aca="false">OFFSET(TblProd[[#This Row],[Ore]],-1,0)+OFFSET(TblProd[[#This Row],[Ore/hr]],-1,0) -TblProd[[#This Row],[Expenses Ore]]</f>
        <v>-357</v>
      </c>
      <c r="N24" s="69" t="n">
        <f aca="false">OFFSET(TblProd[[#This Row],[Gems]],-1,0)+OFFSET(TblProd[[#This Row],[Gems/hr]],-1,0) - TblProd[[#This Row],[Expenses Gems]]</f>
        <v>-1000</v>
      </c>
      <c r="O24" s="69" t="n">
        <f aca="false">OFFSET(TblProd[[#This Row],[Boats]],-1,0)+OFFSET(TblProd[[#This Row],[Boats/hr]],-1,0)</f>
        <v>0</v>
      </c>
      <c r="P24" s="69" t="n">
        <f aca="false">OFFSET(TblProd[[#This Row],[Prestige]],-1,0)</f>
        <v>250</v>
      </c>
      <c r="Q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4" s="69" t="n">
        <f aca="false">MAX(3750,_xlfn.CEILING.MATH(TblProd[[#This Row],[Land]]*2.5+OFFSET(TblTech[[#This Row],[Sum of tech]],-1,0)*150))</f>
        <v>3750</v>
      </c>
      <c r="S24" s="132"/>
      <c r="T24" s="69" t="n">
        <f aca="false">ROUNDDOWN(TblProd[[#This Row],[Raw Plat/hr]]*(1+TblProd[[#This Row],[Bonus Plat/hr]]),0)</f>
        <v>10002</v>
      </c>
      <c r="U24" s="69" t="n">
        <f aca="false">ROUND(TblProd[[#This Row],[Raw Food/hr]]*(1+TblProd[[#This Row],[Bonus Food/hr]])-TblProd[[#This Row],[Food decay]]-TblProd[[#This Row],[Food eaten]],0)</f>
        <v>-604</v>
      </c>
      <c r="V24" s="69" t="n">
        <f aca="false">ROUND(TblProd[[#This Row],[Raw Lumber/hr]]*(1+TblProd[[#This Row],[Bonus Lumber/hr]])-TblProd[[#This Row],[Lumber rot]],0)</f>
        <v>834</v>
      </c>
      <c r="W24" s="69" t="n">
        <f aca="false">ROUND(TblProd[[#This Row],[Raw Mana/hr]]*(1+TblProd[[#This Row],[Bonus Mana/hr]])-TblProd[[#This Row],[Mana drain]],0)</f>
        <v>499</v>
      </c>
      <c r="X24" s="69" t="n">
        <f aca="false">ROUNDDOWN(TblProd[[#This Row],[Raw Ore/hr]]*(1+TblProd[[#This Row],[Bonux Ore/hr]]),0)</f>
        <v>0</v>
      </c>
      <c r="Y24" s="69" t="n">
        <f aca="false">ROUNDDOWN(TblProd[[#This Row],[Raw Gems/hr]]*(1+TblProd[[#This Row],[Bonus Gems/hr]]),0)</f>
        <v>0</v>
      </c>
      <c r="Z24" s="148" t="n">
        <f aca="false">OFFSET(TblConstr[[#This Row],[Tot Doc]],1,0)*dock_boats_hr * (1 + tech_4_1*TblTech[[#This Row],[4-1]])</f>
        <v>0</v>
      </c>
      <c r="AA24" s="146"/>
      <c r="AB24" s="69" t="n">
        <f aca="false">TblPop[[#This Row],[Peasants]]*tax*TblPop[[#This Row],[Employment]] + (Construction!AZ25+Construction!BX25)*(alch_plat+(Magic!AM24&gt;0)*alchemist_flame_bonus)</f>
        <v>10002.6</v>
      </c>
      <c r="AC24" s="69" t="n">
        <f aca="false">TblConstr[[#This Row],[Tot Farm]]*farm_food + TblConstr[[#This Row],[Tot Doc]]*dock_food</f>
        <v>400</v>
      </c>
      <c r="AD24" s="69" t="n">
        <f aca="false">TblConstr[[#This Row],[Tot Ly]]*ly_lumber + TblConstr[[#This Row],[Tot Hav]]*fh_lumber</f>
        <v>1000</v>
      </c>
      <c r="AE24" s="69" t="n">
        <f aca="false">OFFSET(TblConstr[[#This Row],[Tot Tow]],1,0)*(tower_mana + tech_4_5*TblTech[[#This Row],[4-5]]) + OFFSET(TblConstr[[#This Row],[Tot WG]],1,0)*wg_mana_prod</f>
        <v>375</v>
      </c>
      <c r="AF24" s="69" t="n">
        <f aca="false">OFFSET(TblConstr[[#This Row],[Tot OM]],1,0)*om_ore+IF(race="Dwarf",ROUNDDOWN(TblMili[[#This Row],[Unit 2]]*0.4,0),)</f>
        <v>0</v>
      </c>
      <c r="AG24" s="69" t="n">
        <f aca="false">OFFSET(TblConstr[[#This Row],[Tot DM]],1,0)*dm_gems</f>
        <v>0</v>
      </c>
      <c r="AH24" s="132"/>
      <c r="AI24" s="149" t="n">
        <f aca="false">MIN(race_platinum_bonus + IF(TblMagic[[#This Row],[Active Alch Frost]]&gt;0,alch_frost_bonus,IF(Magic!AD24&gt;0,midas_bonus)) + TblImps[[#This Row],[Science]] - TblProd[[#This Row],[Guard]]*(0.02 + tech_5_7*TblTech[[#This Row],[5-7]]) + tech_1_5*TblTech[[#This Row],[1-5]] + tech_4_4*TblTech[[#This Row],[4-4]], 0.5)</f>
        <v>0</v>
      </c>
      <c r="AJ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4" s="149" t="n">
        <f aca="false">race_lumber_bonus+ IF(TblMagic[[#This Row],[Active Gaia''s Blessing]]&gt;0,gaias_blessing_lumber)+ tech_1_3*TblTech[[#This Row],[1-3]] + tech_1_6*TblTech[[#This Row],[1-6]] + tech_3_3*TblTech[[#This Row],[3-3]]</f>
        <v>-0.1</v>
      </c>
      <c r="AL24" s="149" t="n">
        <f aca="false">race_mana_bonus+ 0 + TblImps[[#This Row],[Towers]] + tech_1_2*TblTech[[#This Row],[1-2]] + tech_3_4*TblTech[[#This Row],[3-4]]</f>
        <v>0</v>
      </c>
      <c r="AM24" s="149" t="n">
        <f aca="false">race_ore_bonus + IF(TblMagic[[#This Row],[Active Miner''s Sight]]&gt;0,miners_sight_bonus,IF(TblMagic[[#This Row],[Active Mining Strength]]&gt;0,mining_strength_bonus)) +  tech_1_6*TblTech[[#This Row],[1-6]]</f>
        <v>0</v>
      </c>
      <c r="AN24" s="149" t="n">
        <f aca="false">race_gem_bonus+ tech_3_2*TblTech[[#This Row],[3-2]] + tech_4_3*TblTech[[#This Row],[4-3]] + tech_6_2*TblTech[[#This Row],[6-2]]</f>
        <v>0.15</v>
      </c>
      <c r="AO24" s="132"/>
      <c r="AP24" s="69" t="n">
        <f aca="false">TblProd[[#This Row],[Food]]*food_decay * (1 + tech_2_1*TblTech[[#This Row],[2-1]] + tech_2_8*TblTech[[#This Row],[2-8]])</f>
        <v>354.47</v>
      </c>
      <c r="AQ24" s="69" t="n">
        <f aca="false">(1+race_food_consumption)*TblPop[[#This Row],[Total]]*food_per_person*(1+tech_1_10*TblTech[[#This Row],[1-10]]+tech_7_5*TblTech[[#This Row],[7-5]])</f>
        <v>660</v>
      </c>
      <c r="AR24" s="69" t="n">
        <f aca="false">TblProd[[#This Row],[Lumber]]*lumber_rot * (1 + tech_2_1*TblTech[[#This Row],[2-1]] + tech_2_8*TblTech[[#This Row],[2-8]] + tech_5_2*TblTech[[#This Row],[5-2]])</f>
        <v>65.58</v>
      </c>
      <c r="AS24" s="69" t="n">
        <f aca="false">TblProd[[#This Row],[Mana]]*mana_drain * (1 + tech_2_1*TblTech[[#This Row],[2-1]] + tech_2_8*TblTech[[#This Row],[2-8]])</f>
        <v>-124.44</v>
      </c>
      <c r="AT24" s="146"/>
      <c r="AU24" s="69" t="n">
        <f aca="false">TblExplore[[#This Row],[Platinum (2)]]+TblConstr[[#This Row],[Total Plat Cost]]+TblMili[[#This Row],[Plat Cost]]+TblRezone[[#This Row],[Platinum cost]]+TblImps[[#This Row],[P1]]-TblProd[[#This Row],[Bank Plat]]</f>
        <v>11069</v>
      </c>
      <c r="AV24" s="69" t="n">
        <f aca="false">TblConstr[[#This Row],[Total Lum Cost]]+TblImps[[#This Row],[L1]]-TblProd[[#This Row],[Bank Lumber]] + Military!$CL$25*TblMili[[#This Row],[Sec. rec. Cost]]</f>
        <v>47</v>
      </c>
      <c r="AW24" s="69" t="n">
        <f aca="false">TblMagic[[#This Row],[Mana cost]] + Military!$CL$26*TblMili[[#This Row],[Sec. rec. Cost]]</f>
        <v>0</v>
      </c>
      <c r="AX24" s="69" t="n">
        <f aca="false">Military!$CL$24*TblMili[[#This Row],[Sec. rec. Cost]]+TblImps[[#This Row],[O1]]-TblProd[[#This Row],[Bank Ore]]</f>
        <v>0</v>
      </c>
      <c r="AY24" s="69" t="n">
        <f aca="false">TblImps[[#This Row],[G1]]-TblProd[[#This Row],[Bank Gems]]</f>
        <v>0</v>
      </c>
      <c r="AZ24" s="132"/>
      <c r="BA24" s="33" t="n">
        <f aca="false">IF(TblProd[[#This Row],[Set Guard]]&lt;&gt;"",TblProd[[#This Row],[Set Guard]],OFFSET(TblProd[[#This Row],[Guard]],-1,0))</f>
        <v>0</v>
      </c>
      <c r="BB24" s="145"/>
      <c r="BC24" s="151" t="n">
        <f aca="false">TblProd[[#This Row],[Hour]]</f>
        <v>21</v>
      </c>
      <c r="BD24" s="152" t="n">
        <f aca="false">-TblProd[[#This Row],[Bank Lumber]] / 2 + -TblProd[[#This Row],[Bank Gems]] * 2 + -TblProd[[#This Row],[Bank Ore]] / 2</f>
        <v>0</v>
      </c>
      <c r="BE24" s="152"/>
      <c r="BF24" s="152"/>
      <c r="BG24" s="152"/>
      <c r="BH24" s="153" t="n">
        <f aca="false">TblProd[[#This Row],[Time]]</f>
        <v>45430.5833333333</v>
      </c>
      <c r="BI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J24" s="69" t="n">
        <f aca="false">TblProd[[#This Row],[Platinum]]</f>
        <v>23628</v>
      </c>
      <c r="BK24" s="69" t="n">
        <f aca="false">TblProd[[#This Row],[Food]]</f>
        <v>35447</v>
      </c>
      <c r="BL24" s="69" t="n">
        <f aca="false">TblProd[[#This Row],[Lumber]]</f>
        <v>6558</v>
      </c>
      <c r="BM24" s="69" t="n">
        <f aca="false">TblProd[[#This Row],[Mana]]</f>
        <v>-6222</v>
      </c>
      <c r="BN24" s="69" t="n">
        <f aca="false">TblProd[[#This Row],[Ore]]</f>
        <v>-357</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2665</v>
      </c>
      <c r="G25" s="69"/>
      <c r="H25" s="69" t="e">
        <f aca="false">TblMili[[#This Row],[Networth (2)]]</f>
        <v>#VALUE!</v>
      </c>
      <c r="I25" s="69" t="n">
        <f aca="false">OFFSET(TblProd[[#This Row],[Platinum]],-1,0)+OFFSET(TblProd[[#This Row],[Plat/hr]],-1,0) - TblProd[[#This Row],[Expenses Platinum]] + IF(TblProd[[#This Row],[Plat Bonus]],TblPop[[#This Row],[Peasants]]*4) + SUM(TblConstr[[#This Row],[Dest Hom]:[Dest Doc]])*TblConstr[[#This Row],[CPA Platinum -DB]]*tech_3_3_2*TblTech[[#This Row],[3-3]]</f>
        <v>30585</v>
      </c>
      <c r="J25" s="69" t="n">
        <f aca="false">OFFSET(TblProd[[#This Row],[Food]],-1,0)+OFFSET(TblProd[[#This Row],[Food/hr]],-1,0)+ROUNDUP((TblConstr[[#This Row],[Farms]]*80+TblConstr[[#This Row],[Docks]]*35)*(1+OFFSET(TblProd[[#This Row],[Bonus Food/hr]],-1,0)),0)</f>
        <v>34843</v>
      </c>
      <c r="K25" s="69" t="n">
        <f aca="false">OFFSET(TblProd[[#This Row],[Lumber]],-1,0)+OFFSET(TblProd[[#This Row],[Lumber/hr]],-1,0) - TblProd[[#This Row],[Expenses Lumber]] + SUM(TblConstr[[#This Row],[Dest Hom]:[Dest Doc]])*TblConstr[[#This Row],[CPA Lumber -DB]]*tech_3_3_2*TblTech[[#This Row],[3-3]]</f>
        <v>7345</v>
      </c>
      <c r="L25" s="69" t="n">
        <f aca="false">OFFSET(TblProd[[#This Row],[Mana]],-1,0)+OFFSET(TblProd[[#This Row],[Mana/hr]],-1,0)- TblProd[[#This Row],[Expenses Mana]]</f>
        <v>-5723</v>
      </c>
      <c r="M25" s="69" t="n">
        <f aca="false">OFFSET(TblProd[[#This Row],[Ore]],-1,0)+OFFSET(TblProd[[#This Row],[Ore/hr]],-1,0) -TblProd[[#This Row],[Expenses Ore]]</f>
        <v>-357</v>
      </c>
      <c r="N25" s="69" t="n">
        <f aca="false">OFFSET(TblProd[[#This Row],[Gems]],-1,0)+OFFSET(TblProd[[#This Row],[Gems/hr]],-1,0) - TblProd[[#This Row],[Expenses Gems]]</f>
        <v>-1000</v>
      </c>
      <c r="O25" s="69" t="n">
        <f aca="false">OFFSET(TblProd[[#This Row],[Boats]],-1,0)+OFFSET(TblProd[[#This Row],[Boats/hr]],-1,0)</f>
        <v>0</v>
      </c>
      <c r="P25" s="69" t="n">
        <f aca="false">OFFSET(TblProd[[#This Row],[Prestige]],-1,0)</f>
        <v>250</v>
      </c>
      <c r="Q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5" s="69" t="n">
        <f aca="false">MAX(3750,_xlfn.CEILING.MATH(TblProd[[#This Row],[Land]]*2.5+OFFSET(TblTech[[#This Row],[Sum of tech]],-1,0)*150))</f>
        <v>3750</v>
      </c>
      <c r="S25" s="132"/>
      <c r="T25" s="69" t="n">
        <f aca="false">ROUNDDOWN(TblProd[[#This Row],[Raw Plat/hr]]*(1+TblProd[[#This Row],[Bonus Plat/hr]]),0)</f>
        <v>10345</v>
      </c>
      <c r="U25" s="69" t="n">
        <f aca="false">ROUND(TblProd[[#This Row],[Raw Food/hr]]*(1+TblProd[[#This Row],[Bonus Food/hr]])-TblProd[[#This Row],[Food decay]]-TblProd[[#This Row],[Food eaten]],0)</f>
        <v>-633</v>
      </c>
      <c r="V25" s="69" t="n">
        <f aca="false">ROUND(TblProd[[#This Row],[Raw Lumber/hr]]*(1+TblProd[[#This Row],[Bonus Lumber/hr]])-TblProd[[#This Row],[Lumber rot]],0)</f>
        <v>827</v>
      </c>
      <c r="W25" s="69" t="n">
        <f aca="false">ROUND(TblProd[[#This Row],[Raw Mana/hr]]*(1+TblProd[[#This Row],[Bonus Mana/hr]])-TblProd[[#This Row],[Mana drain]],0)</f>
        <v>489</v>
      </c>
      <c r="X25" s="69" t="n">
        <f aca="false">ROUNDDOWN(TblProd[[#This Row],[Raw Ore/hr]]*(1+TblProd[[#This Row],[Bonux Ore/hr]]),0)</f>
        <v>0</v>
      </c>
      <c r="Y25" s="69" t="n">
        <f aca="false">ROUNDDOWN(TblProd[[#This Row],[Raw Gems/hr]]*(1+TblProd[[#This Row],[Bonus Gems/hr]]),0)</f>
        <v>0</v>
      </c>
      <c r="Z25" s="148" t="n">
        <f aca="false">OFFSET(TblConstr[[#This Row],[Tot Doc]],1,0)*dock_boats_hr * (1 + tech_4_1*TblTech[[#This Row],[4-1]])</f>
        <v>0</v>
      </c>
      <c r="AA25" s="146"/>
      <c r="AB25" s="69" t="n">
        <f aca="false">TblPop[[#This Row],[Peasants]]*tax*TblPop[[#This Row],[Employment]] + (Construction!AZ26+Construction!BX26)*(alch_plat+(Magic!AM25&gt;0)*alchemist_flame_bonus)</f>
        <v>10345.5</v>
      </c>
      <c r="AC25" s="69" t="n">
        <f aca="false">TblConstr[[#This Row],[Tot Farm]]*farm_food + TblConstr[[#This Row],[Tot Doc]]*dock_food</f>
        <v>400</v>
      </c>
      <c r="AD25" s="69" t="n">
        <f aca="false">TblConstr[[#This Row],[Tot Ly]]*ly_lumber + TblConstr[[#This Row],[Tot Hav]]*fh_lumber</f>
        <v>1000</v>
      </c>
      <c r="AE25" s="69" t="n">
        <f aca="false">OFFSET(TblConstr[[#This Row],[Tot Tow]],1,0)*(tower_mana + tech_4_5*TblTech[[#This Row],[4-5]]) + OFFSET(TblConstr[[#This Row],[Tot WG]],1,0)*wg_mana_prod</f>
        <v>375</v>
      </c>
      <c r="AF25" s="69" t="n">
        <f aca="false">OFFSET(TblConstr[[#This Row],[Tot OM]],1,0)*om_ore+IF(race="Dwarf",ROUNDDOWN(TblMili[[#This Row],[Unit 2]]*0.4,0),)</f>
        <v>0</v>
      </c>
      <c r="AG25" s="69" t="n">
        <f aca="false">OFFSET(TblConstr[[#This Row],[Tot DM]],1,0)*dm_gems</f>
        <v>0</v>
      </c>
      <c r="AH25" s="132"/>
      <c r="AI25" s="149" t="n">
        <f aca="false">MIN(race_platinum_bonus + IF(TblMagic[[#This Row],[Active Alch Frost]]&gt;0,alch_frost_bonus,IF(Magic!AD25&gt;0,midas_bonus)) + TblImps[[#This Row],[Science]] - TblProd[[#This Row],[Guard]]*(0.02 + tech_5_7*TblTech[[#This Row],[5-7]]) + tech_1_5*TblTech[[#This Row],[1-5]] + tech_4_4*TblTech[[#This Row],[4-4]], 0.5)</f>
        <v>0</v>
      </c>
      <c r="AJ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5" s="149" t="n">
        <f aca="false">race_lumber_bonus+ IF(TblMagic[[#This Row],[Active Gaia''s Blessing]]&gt;0,gaias_blessing_lumber)+ tech_1_3*TblTech[[#This Row],[1-3]] + tech_1_6*TblTech[[#This Row],[1-6]] + tech_3_3*TblTech[[#This Row],[3-3]]</f>
        <v>-0.1</v>
      </c>
      <c r="AL25" s="149" t="n">
        <f aca="false">race_mana_bonus+ 0 + TblImps[[#This Row],[Towers]] + tech_1_2*TblTech[[#This Row],[1-2]] + tech_3_4*TblTech[[#This Row],[3-4]]</f>
        <v>0</v>
      </c>
      <c r="AM25" s="149" t="n">
        <f aca="false">race_ore_bonus + IF(TblMagic[[#This Row],[Active Miner''s Sight]]&gt;0,miners_sight_bonus,IF(TblMagic[[#This Row],[Active Mining Strength]]&gt;0,mining_strength_bonus)) +  tech_1_6*TblTech[[#This Row],[1-6]]</f>
        <v>0</v>
      </c>
      <c r="AN25" s="149" t="n">
        <f aca="false">race_gem_bonus+ tech_3_2*TblTech[[#This Row],[3-2]] + tech_4_3*TblTech[[#This Row],[4-3]] + tech_6_2*TblTech[[#This Row],[6-2]]</f>
        <v>0.15</v>
      </c>
      <c r="AO25" s="132"/>
      <c r="AP25" s="69" t="n">
        <f aca="false">TblProd[[#This Row],[Food]]*food_decay * (1 + tech_2_1*TblTech[[#This Row],[2-1]] + tech_2_8*TblTech[[#This Row],[2-8]])</f>
        <v>348.43</v>
      </c>
      <c r="AQ25" s="69" t="n">
        <f aca="false">(1+race_food_consumption)*TblPop[[#This Row],[Total]]*food_per_person*(1+tech_1_10*TblTech[[#This Row],[1-10]]+tech_7_5*TblTech[[#This Row],[7-5]])</f>
        <v>695</v>
      </c>
      <c r="AR25" s="69" t="n">
        <f aca="false">TblProd[[#This Row],[Lumber]]*lumber_rot * (1 + tech_2_1*TblTech[[#This Row],[2-1]] + tech_2_8*TblTech[[#This Row],[2-8]] + tech_5_2*TblTech[[#This Row],[5-2]])</f>
        <v>73.45</v>
      </c>
      <c r="AS25" s="69" t="n">
        <f aca="false">TblProd[[#This Row],[Mana]]*mana_drain * (1 + tech_2_1*TblTech[[#This Row],[2-1]] + tech_2_8*TblTech[[#This Row],[2-8]])</f>
        <v>-114.46</v>
      </c>
      <c r="AT25" s="146"/>
      <c r="AU25" s="69" t="n">
        <f aca="false">TblExplore[[#This Row],[Platinum (2)]]+TblConstr[[#This Row],[Total Plat Cost]]+TblMili[[#This Row],[Plat Cost]]+TblRezone[[#This Row],[Platinum cost]]+TblImps[[#This Row],[P1]]-TblProd[[#This Row],[Bank Plat]]</f>
        <v>3045</v>
      </c>
      <c r="AV25" s="69" t="n">
        <f aca="false">TblConstr[[#This Row],[Total Lum Cost]]+TblImps[[#This Row],[L1]]-TblProd[[#This Row],[Bank Lumber]] + Military!$CL$25*TblMili[[#This Row],[Sec. rec. Cost]]</f>
        <v>47</v>
      </c>
      <c r="AW25" s="69" t="n">
        <f aca="false">TblMagic[[#This Row],[Mana cost]] + Military!$CL$26*TblMili[[#This Row],[Sec. rec. Cost]]</f>
        <v>0</v>
      </c>
      <c r="AX25" s="69" t="n">
        <f aca="false">Military!$CL$24*TblMili[[#This Row],[Sec. rec. Cost]]+TblImps[[#This Row],[O1]]-TblProd[[#This Row],[Bank Ore]]</f>
        <v>0</v>
      </c>
      <c r="AY25" s="69" t="n">
        <f aca="false">TblImps[[#This Row],[G1]]-TblProd[[#This Row],[Bank Gems]]</f>
        <v>0</v>
      </c>
      <c r="AZ25" s="132"/>
      <c r="BA25" s="33" t="n">
        <f aca="false">IF(TblProd[[#This Row],[Set Guard]]&lt;&gt;"",TblProd[[#This Row],[Set Guard]],OFFSET(TblProd[[#This Row],[Guard]],-1,0))</f>
        <v>0</v>
      </c>
      <c r="BB25" s="145"/>
      <c r="BC25" s="151" t="n">
        <f aca="false">TblProd[[#This Row],[Hour]]</f>
        <v>22</v>
      </c>
      <c r="BD25" s="152" t="n">
        <f aca="false">-TblProd[[#This Row],[Bank Lumber]] / 2 + -TblProd[[#This Row],[Bank Gems]] * 2 + -TblProd[[#This Row],[Bank Ore]] / 2</f>
        <v>0</v>
      </c>
      <c r="BE25" s="152"/>
      <c r="BF25" s="152"/>
      <c r="BG25" s="152"/>
      <c r="BH25" s="153" t="n">
        <f aca="false">TblProd[[#This Row],[Time]]</f>
        <v>45430.625</v>
      </c>
      <c r="BI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J25" s="69" t="n">
        <f aca="false">TblProd[[#This Row],[Platinum]]</f>
        <v>30585</v>
      </c>
      <c r="BK25" s="69" t="n">
        <f aca="false">TblProd[[#This Row],[Food]]</f>
        <v>34843</v>
      </c>
      <c r="BL25" s="69" t="n">
        <f aca="false">TblProd[[#This Row],[Lumber]]</f>
        <v>7345</v>
      </c>
      <c r="BM25" s="69" t="n">
        <f aca="false">TblProd[[#This Row],[Mana]]</f>
        <v>-5723</v>
      </c>
      <c r="BN25" s="69" t="n">
        <f aca="false">TblProd[[#This Row],[Ore]]</f>
        <v>-357</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2797</v>
      </c>
      <c r="G26" s="69"/>
      <c r="H26" s="69" t="e">
        <f aca="false">TblMili[[#This Row],[Networth (2)]]</f>
        <v>#VALUE!</v>
      </c>
      <c r="I26" s="69" t="n">
        <f aca="false">OFFSET(TblProd[[#This Row],[Platinum]],-1,0)+OFFSET(TblProd[[#This Row],[Plat/hr]],-1,0) - TblProd[[#This Row],[Expenses Platinum]] + IF(TblProd[[#This Row],[Plat Bonus]],TblPop[[#This Row],[Peasants]]*4) + SUM(TblConstr[[#This Row],[Dest Hom]:[Dest Doc]])*TblConstr[[#This Row],[CPA Platinum -DB]]*tech_3_3_2*TblTech[[#This Row],[3-3]]</f>
        <v>38772</v>
      </c>
      <c r="J26" s="69" t="n">
        <f aca="false">OFFSET(TblProd[[#This Row],[Food]],-1,0)+OFFSET(TblProd[[#This Row],[Food/hr]],-1,0)+ROUNDUP((TblConstr[[#This Row],[Farms]]*80+TblConstr[[#This Row],[Docks]]*35)*(1+OFFSET(TblProd[[#This Row],[Bonus Food/hr]],-1,0)),0)</f>
        <v>34210</v>
      </c>
      <c r="K26" s="69" t="n">
        <f aca="false">OFFSET(TblProd[[#This Row],[Lumber]],-1,0)+OFFSET(TblProd[[#This Row],[Lumber/hr]],-1,0) - TblProd[[#This Row],[Expenses Lumber]] + SUM(TblConstr[[#This Row],[Dest Hom]:[Dest Doc]])*TblConstr[[#This Row],[CPA Lumber -DB]]*tech_3_3_2*TblTech[[#This Row],[3-3]]</f>
        <v>8124</v>
      </c>
      <c r="L26" s="69" t="n">
        <f aca="false">OFFSET(TblProd[[#This Row],[Mana]],-1,0)+OFFSET(TblProd[[#This Row],[Mana/hr]],-1,0)- TblProd[[#This Row],[Expenses Mana]]</f>
        <v>-5234</v>
      </c>
      <c r="M26" s="69" t="n">
        <f aca="false">OFFSET(TblProd[[#This Row],[Ore]],-1,0)+OFFSET(TblProd[[#This Row],[Ore/hr]],-1,0) -TblProd[[#This Row],[Expenses Ore]]</f>
        <v>-357</v>
      </c>
      <c r="N26" s="69" t="n">
        <f aca="false">OFFSET(TblProd[[#This Row],[Gems]],-1,0)+OFFSET(TblProd[[#This Row],[Gems/hr]],-1,0) - TblProd[[#This Row],[Expenses Gems]]</f>
        <v>-1000</v>
      </c>
      <c r="O26" s="69" t="n">
        <f aca="false">OFFSET(TblProd[[#This Row],[Boats]],-1,0)+OFFSET(TblProd[[#This Row],[Boats/hr]],-1,0)</f>
        <v>0</v>
      </c>
      <c r="P26" s="69" t="n">
        <f aca="false">OFFSET(TblProd[[#This Row],[Prestige]],-1,0)</f>
        <v>250</v>
      </c>
      <c r="Q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6" s="69" t="n">
        <f aca="false">MAX(3750,_xlfn.CEILING.MATH(TblProd[[#This Row],[Land]]*2.5+OFFSET(TblTech[[#This Row],[Sum of tech]],-1,0)*150))</f>
        <v>3750</v>
      </c>
      <c r="S26" s="132"/>
      <c r="T26" s="69" t="n">
        <f aca="false">ROUNDDOWN(TblProd[[#This Row],[Raw Plat/hr]]*(1+TblProd[[#This Row],[Bonus Plat/hr]]),0)</f>
        <v>10701</v>
      </c>
      <c r="U26" s="69" t="n">
        <f aca="false">ROUND(TblProd[[#This Row],[Raw Food/hr]]*(1+TblProd[[#This Row],[Bonus Food/hr]])-TblProd[[#This Row],[Food decay]]-TblProd[[#This Row],[Food eaten]],0)</f>
        <v>-665</v>
      </c>
      <c r="V26" s="69" t="n">
        <f aca="false">ROUND(TblProd[[#This Row],[Raw Lumber/hr]]*(1+TblProd[[#This Row],[Bonus Lumber/hr]])-TblProd[[#This Row],[Lumber rot]],0)</f>
        <v>819</v>
      </c>
      <c r="W26" s="69" t="n">
        <f aca="false">ROUND(TblProd[[#This Row],[Raw Mana/hr]]*(1+TblProd[[#This Row],[Bonus Mana/hr]])-TblProd[[#This Row],[Mana drain]],0)</f>
        <v>480</v>
      </c>
      <c r="X26" s="69" t="n">
        <f aca="false">ROUNDDOWN(TblProd[[#This Row],[Raw Ore/hr]]*(1+TblProd[[#This Row],[Bonux Ore/hr]]),0)</f>
        <v>0</v>
      </c>
      <c r="Y26" s="69" t="n">
        <f aca="false">ROUNDDOWN(TblProd[[#This Row],[Raw Gems/hr]]*(1+TblProd[[#This Row],[Bonus Gems/hr]]),0)</f>
        <v>0</v>
      </c>
      <c r="Z26" s="148" t="n">
        <f aca="false">OFFSET(TblConstr[[#This Row],[Tot Doc]],1,0)*dock_boats_hr * (1 + tech_4_1*TblTech[[#This Row],[4-1]])</f>
        <v>0</v>
      </c>
      <c r="AA26" s="146"/>
      <c r="AB26" s="69" t="n">
        <f aca="false">TblPop[[#This Row],[Peasants]]*tax*TblPop[[#This Row],[Employment]] + (Construction!AZ27+Construction!BX27)*(alch_plat+(Magic!AM26&gt;0)*alchemist_flame_bonus)</f>
        <v>10701.9</v>
      </c>
      <c r="AC26" s="69" t="n">
        <f aca="false">TblConstr[[#This Row],[Tot Farm]]*farm_food + TblConstr[[#This Row],[Tot Doc]]*dock_food</f>
        <v>400</v>
      </c>
      <c r="AD26" s="69" t="n">
        <f aca="false">TblConstr[[#This Row],[Tot Ly]]*ly_lumber + TblConstr[[#This Row],[Tot Hav]]*fh_lumber</f>
        <v>1000</v>
      </c>
      <c r="AE26" s="69" t="n">
        <f aca="false">OFFSET(TblConstr[[#This Row],[Tot Tow]],1,0)*(tower_mana + tech_4_5*TblTech[[#This Row],[4-5]]) + OFFSET(TblConstr[[#This Row],[Tot WG]],1,0)*wg_mana_prod</f>
        <v>375</v>
      </c>
      <c r="AF26" s="69" t="n">
        <f aca="false">OFFSET(TblConstr[[#This Row],[Tot OM]],1,0)*om_ore+IF(race="Dwarf",ROUNDDOWN(TblMili[[#This Row],[Unit 2]]*0.4,0),)</f>
        <v>0</v>
      </c>
      <c r="AG26" s="69" t="n">
        <f aca="false">OFFSET(TblConstr[[#This Row],[Tot DM]],1,0)*dm_gems</f>
        <v>0</v>
      </c>
      <c r="AH26" s="132"/>
      <c r="AI26" s="149" t="n">
        <f aca="false">MIN(race_platinum_bonus + IF(TblMagic[[#This Row],[Active Alch Frost]]&gt;0,alch_frost_bonus,IF(Magic!AD26&gt;0,midas_bonus)) + TblImps[[#This Row],[Science]] - TblProd[[#This Row],[Guard]]*(0.02 + tech_5_7*TblTech[[#This Row],[5-7]]) + tech_1_5*TblTech[[#This Row],[1-5]] + tech_4_4*TblTech[[#This Row],[4-4]], 0.5)</f>
        <v>0</v>
      </c>
      <c r="AJ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6" s="149" t="n">
        <f aca="false">race_lumber_bonus+ IF(TblMagic[[#This Row],[Active Gaia''s Blessing]]&gt;0,gaias_blessing_lumber)+ tech_1_3*TblTech[[#This Row],[1-3]] + tech_1_6*TblTech[[#This Row],[1-6]] + tech_3_3*TblTech[[#This Row],[3-3]]</f>
        <v>-0.1</v>
      </c>
      <c r="AL26" s="149" t="n">
        <f aca="false">race_mana_bonus+ 0 + TblImps[[#This Row],[Towers]] + tech_1_2*TblTech[[#This Row],[1-2]] + tech_3_4*TblTech[[#This Row],[3-4]]</f>
        <v>0</v>
      </c>
      <c r="AM26" s="149" t="n">
        <f aca="false">race_ore_bonus + IF(TblMagic[[#This Row],[Active Miner''s Sight]]&gt;0,miners_sight_bonus,IF(TblMagic[[#This Row],[Active Mining Strength]]&gt;0,mining_strength_bonus)) +  tech_1_6*TblTech[[#This Row],[1-6]]</f>
        <v>0</v>
      </c>
      <c r="AN26" s="149" t="n">
        <f aca="false">race_gem_bonus+ tech_3_2*TblTech[[#This Row],[3-2]] + tech_4_3*TblTech[[#This Row],[4-3]] + tech_6_2*TblTech[[#This Row],[6-2]]</f>
        <v>0.15</v>
      </c>
      <c r="AO26" s="132"/>
      <c r="AP26" s="69" t="n">
        <f aca="false">TblProd[[#This Row],[Food]]*food_decay * (1 + tech_2_1*TblTech[[#This Row],[2-1]] + tech_2_8*TblTech[[#This Row],[2-8]])</f>
        <v>342.1</v>
      </c>
      <c r="AQ26" s="69" t="n">
        <f aca="false">(1+race_food_consumption)*TblPop[[#This Row],[Total]]*food_per_person*(1+tech_1_10*TblTech[[#This Row],[1-10]]+tech_7_5*TblTech[[#This Row],[7-5]])</f>
        <v>732.75</v>
      </c>
      <c r="AR26" s="69" t="n">
        <f aca="false">TblProd[[#This Row],[Lumber]]*lumber_rot * (1 + tech_2_1*TblTech[[#This Row],[2-1]] + tech_2_8*TblTech[[#This Row],[2-8]] + tech_5_2*TblTech[[#This Row],[5-2]])</f>
        <v>81.24</v>
      </c>
      <c r="AS26" s="69" t="n">
        <f aca="false">TblProd[[#This Row],[Mana]]*mana_drain * (1 + tech_2_1*TblTech[[#This Row],[2-1]] + tech_2_8*TblTech[[#This Row],[2-8]])</f>
        <v>-104.68</v>
      </c>
      <c r="AT26" s="146"/>
      <c r="AU26" s="69" t="n">
        <f aca="false">TblExplore[[#This Row],[Platinum (2)]]+TblConstr[[#This Row],[Total Plat Cost]]+TblMili[[#This Row],[Plat Cost]]+TblRezone[[#This Row],[Platinum cost]]+TblImps[[#This Row],[P1]]-TblProd[[#This Row],[Bank Plat]]</f>
        <v>2158</v>
      </c>
      <c r="AV26" s="69" t="n">
        <f aca="false">TblConstr[[#This Row],[Total Lum Cost]]+TblImps[[#This Row],[L1]]-TblProd[[#This Row],[Bank Lumber]] + Military!$CL$25*TblMili[[#This Row],[Sec. rec. Cost]]</f>
        <v>48</v>
      </c>
      <c r="AW26" s="69" t="n">
        <f aca="false">TblMagic[[#This Row],[Mana cost]] + Military!$CL$26*TblMili[[#This Row],[Sec. rec. Cost]]</f>
        <v>0</v>
      </c>
      <c r="AX26" s="69" t="n">
        <f aca="false">Military!$CL$24*TblMili[[#This Row],[Sec. rec. Cost]]+TblImps[[#This Row],[O1]]-TblProd[[#This Row],[Bank Ore]]</f>
        <v>0</v>
      </c>
      <c r="AY26" s="69" t="n">
        <f aca="false">TblImps[[#This Row],[G1]]-TblProd[[#This Row],[Bank Gems]]</f>
        <v>0</v>
      </c>
      <c r="AZ26" s="132"/>
      <c r="BA26" s="33" t="n">
        <f aca="false">IF(TblProd[[#This Row],[Set Guard]]&lt;&gt;"",TblProd[[#This Row],[Set Guard]],OFFSET(TblProd[[#This Row],[Guard]],-1,0))</f>
        <v>0</v>
      </c>
      <c r="BB26" s="145"/>
      <c r="BC26" s="151" t="n">
        <f aca="false">TblProd[[#This Row],[Hour]]</f>
        <v>23</v>
      </c>
      <c r="BD26" s="152" t="n">
        <f aca="false">-TblProd[[#This Row],[Bank Lumber]] / 2 + -TblProd[[#This Row],[Bank Gems]] * 2 + -TblProd[[#This Row],[Bank Ore]] / 2</f>
        <v>0</v>
      </c>
      <c r="BE26" s="152"/>
      <c r="BF26" s="152"/>
      <c r="BG26" s="152"/>
      <c r="BH26" s="153" t="n">
        <f aca="false">TblProd[[#This Row],[Time]]</f>
        <v>45430.6666666667</v>
      </c>
      <c r="BI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J26" s="69" t="n">
        <f aca="false">TblProd[[#This Row],[Platinum]]</f>
        <v>38772</v>
      </c>
      <c r="BK26" s="69" t="n">
        <f aca="false">TblProd[[#This Row],[Food]]</f>
        <v>34210</v>
      </c>
      <c r="BL26" s="69" t="n">
        <f aca="false">TblProd[[#This Row],[Lumber]]</f>
        <v>8124</v>
      </c>
      <c r="BM26" s="69" t="n">
        <f aca="false">TblProd[[#This Row],[Mana]]</f>
        <v>-5234</v>
      </c>
      <c r="BN26" s="69" t="n">
        <f aca="false">TblProd[[#This Row],[Ore]]</f>
        <v>-357</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2936</v>
      </c>
      <c r="G27" s="69" t="n">
        <f aca="false">F27-1</f>
        <v>2935</v>
      </c>
      <c r="H27" s="69" t="e">
        <f aca="false">TblMili[[#This Row],[Networth (2)]]</f>
        <v>#VALUE!</v>
      </c>
      <c r="I27" s="69" t="n">
        <f aca="false">OFFSET(TblProd[[#This Row],[Platinum]],-1,0)+OFFSET(TblProd[[#This Row],[Plat/hr]],-1,0) - TblProd[[#This Row],[Expenses Platinum]] + IF(TblProd[[#This Row],[Plat Bonus]],TblPop[[#This Row],[Peasants]]*4) + SUM(TblConstr[[#This Row],[Dest Hom]:[Dest Doc]])*TblConstr[[#This Row],[CPA Platinum -DB]]*tech_3_3_2*TblTech[[#This Row],[3-3]]</f>
        <v>41357</v>
      </c>
      <c r="J27" s="69" t="n">
        <f aca="false">OFFSET(TblProd[[#This Row],[Food]],-1,0)+OFFSET(TblProd[[#This Row],[Food/hr]],-1,0)+ROUNDUP((TblConstr[[#This Row],[Farms]]*80+TblConstr[[#This Row],[Docks]]*35)*(1+OFFSET(TblProd[[#This Row],[Bonus Food/hr]],-1,0)),0)</f>
        <v>33545</v>
      </c>
      <c r="K27" s="69" t="n">
        <f aca="false">OFFSET(TblProd[[#This Row],[Lumber]],-1,0)+OFFSET(TblProd[[#This Row],[Lumber/hr]],-1,0) - TblProd[[#This Row],[Expenses Lumber]] + SUM(TblConstr[[#This Row],[Dest Hom]:[Dest Doc]])*TblConstr[[#This Row],[CPA Lumber -DB]]*tech_3_3_2*TblTech[[#This Row],[3-3]]</f>
        <v>7883</v>
      </c>
      <c r="L27" s="69" t="n">
        <f aca="false">OFFSET(TblProd[[#This Row],[Mana]],-1,0)+OFFSET(TblProd[[#This Row],[Mana/hr]],-1,0)- TblProd[[#This Row],[Expenses Mana]]</f>
        <v>-5451.5</v>
      </c>
      <c r="M27" s="69" t="n">
        <f aca="false">OFFSET(TblProd[[#This Row],[Ore]],-1,0)+OFFSET(TblProd[[#This Row],[Ore/hr]],-1,0) -TblProd[[#This Row],[Expenses Ore]]</f>
        <v>-357</v>
      </c>
      <c r="N27" s="69" t="n">
        <f aca="false">OFFSET(TblProd[[#This Row],[Gems]],-1,0)+OFFSET(TblProd[[#This Row],[Gems/hr]],-1,0) - TblProd[[#This Row],[Expenses Gems]]</f>
        <v>-1000</v>
      </c>
      <c r="O27" s="69" t="n">
        <f aca="false">OFFSET(TblProd[[#This Row],[Boats]],-1,0)+OFFSET(TblProd[[#This Row],[Boats/hr]],-1,0)</f>
        <v>0</v>
      </c>
      <c r="P27" s="69" t="n">
        <f aca="false">OFFSET(TblProd[[#This Row],[Prestige]],-1,0)</f>
        <v>250</v>
      </c>
      <c r="Q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7" s="69" t="n">
        <f aca="false">MAX(3750,_xlfn.CEILING.MATH(TblProd[[#This Row],[Land]]*2.5+OFFSET(TblTech[[#This Row],[Sum of tech]],-1,0)*150))</f>
        <v>3750</v>
      </c>
      <c r="S27" s="132"/>
      <c r="T27" s="69" t="n">
        <f aca="false">ROUNDDOWN(TblProd[[#This Row],[Raw Plat/hr]]*(1+TblProd[[#This Row],[Bonus Plat/hr]]),0)</f>
        <v>13552</v>
      </c>
      <c r="U27" s="69" t="n">
        <f aca="false">ROUND(TblProd[[#This Row],[Raw Food/hr]]*(1+TblProd[[#This Row],[Bonus Food/hr]])-TblProd[[#This Row],[Food decay]]-TblProd[[#This Row],[Food eaten]],0)</f>
        <v>-690</v>
      </c>
      <c r="V27" s="69" t="n">
        <f aca="false">ROUND(TblProd[[#This Row],[Raw Lumber/hr]]*(1+TblProd[[#This Row],[Bonus Lumber/hr]])-TblProd[[#This Row],[Lumber rot]],0)</f>
        <v>821</v>
      </c>
      <c r="W27" s="69" t="n">
        <f aca="false">ROUND(TblProd[[#This Row],[Raw Mana/hr]]*(1+TblProd[[#This Row],[Bonus Mana/hr]])-TblProd[[#This Row],[Mana drain]],0)</f>
        <v>559</v>
      </c>
      <c r="X27" s="69" t="n">
        <f aca="false">ROUNDDOWN(TblProd[[#This Row],[Raw Ore/hr]]*(1+TblProd[[#This Row],[Bonux Ore/hr]]),0)</f>
        <v>0</v>
      </c>
      <c r="Y27" s="69" t="n">
        <f aca="false">ROUNDDOWN(TblProd[[#This Row],[Raw Gems/hr]]*(1+TblProd[[#This Row],[Bonus Gems/hr]]),0)</f>
        <v>0</v>
      </c>
      <c r="Z27" s="148" t="n">
        <f aca="false">OFFSET(TblConstr[[#This Row],[Tot Doc]],1,0)*dock_boats_hr * (1 + tech_4_1*TblTech[[#This Row],[4-1]])</f>
        <v>0.25</v>
      </c>
      <c r="AA27" s="146"/>
      <c r="AB27" s="69" t="n">
        <f aca="false">TblPop[[#This Row],[Peasants]]*tax*TblPop[[#This Row],[Employment]] + (Construction!AZ28+Construction!BX28)*(alch_plat+(Magic!AM27&gt;0)*alchemist_flame_bonus)</f>
        <v>13552.2</v>
      </c>
      <c r="AC27" s="69" t="n">
        <f aca="false">TblConstr[[#This Row],[Tot Farm]]*farm_food + TblConstr[[#This Row],[Tot Doc]]*dock_food</f>
        <v>400</v>
      </c>
      <c r="AD27" s="69" t="n">
        <f aca="false">TblConstr[[#This Row],[Tot Ly]]*ly_lumber + TblConstr[[#This Row],[Tot Hav]]*fh_lumber</f>
        <v>1000</v>
      </c>
      <c r="AE27" s="69" t="n">
        <f aca="false">OFFSET(TblConstr[[#This Row],[Tot Tow]],1,0)*(tower_mana + tech_4_5*TblTech[[#This Row],[4-5]]) + OFFSET(TblConstr[[#This Row],[Tot WG]],1,0)*wg_mana_prod</f>
        <v>450</v>
      </c>
      <c r="AF27" s="69" t="n">
        <f aca="false">OFFSET(TblConstr[[#This Row],[Tot OM]],1,0)*om_ore+IF(race="Dwarf",ROUNDDOWN(TblMili[[#This Row],[Unit 2]]*0.4,0),)</f>
        <v>0</v>
      </c>
      <c r="AG27" s="69" t="n">
        <f aca="false">OFFSET(TblConstr[[#This Row],[Tot DM]],1,0)*dm_gems</f>
        <v>0</v>
      </c>
      <c r="AH27" s="132"/>
      <c r="AI27" s="149" t="n">
        <f aca="false">MIN(race_platinum_bonus + IF(TblMagic[[#This Row],[Active Alch Frost]]&gt;0,alch_frost_bonus,IF(Magic!AD27&gt;0,midas_bonus)) + TblImps[[#This Row],[Science]] - TblProd[[#This Row],[Guard]]*(0.02 + tech_5_7*TblTech[[#This Row],[5-7]]) + tech_1_5*TblTech[[#This Row],[1-5]] + tech_4_4*TblTech[[#This Row],[4-4]], 0.5)</f>
        <v>0</v>
      </c>
      <c r="AJ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7" s="149" t="n">
        <f aca="false">race_lumber_bonus+ IF(TblMagic[[#This Row],[Active Gaia''s Blessing]]&gt;0,gaias_blessing_lumber)+ tech_1_3*TblTech[[#This Row],[1-3]] + tech_1_6*TblTech[[#This Row],[1-6]] + tech_3_3*TblTech[[#This Row],[3-3]]</f>
        <v>-0.1</v>
      </c>
      <c r="AL27" s="149" t="n">
        <f aca="false">race_mana_bonus+ 0 + TblImps[[#This Row],[Towers]] + tech_1_2*TblTech[[#This Row],[1-2]] + tech_3_4*TblTech[[#This Row],[3-4]]</f>
        <v>0</v>
      </c>
      <c r="AM27" s="149" t="n">
        <f aca="false">race_ore_bonus + IF(TblMagic[[#This Row],[Active Miner''s Sight]]&gt;0,miners_sight_bonus,IF(TblMagic[[#This Row],[Active Mining Strength]]&gt;0,mining_strength_bonus)) +  tech_1_6*TblTech[[#This Row],[1-6]]</f>
        <v>0</v>
      </c>
      <c r="AN27" s="149" t="n">
        <f aca="false">race_gem_bonus+ tech_3_2*TblTech[[#This Row],[3-2]] + tech_4_3*TblTech[[#This Row],[4-3]] + tech_6_2*TblTech[[#This Row],[6-2]]</f>
        <v>0.15</v>
      </c>
      <c r="AO27" s="132"/>
      <c r="AP27" s="69" t="n">
        <f aca="false">TblProd[[#This Row],[Food]]*food_decay * (1 + tech_2_1*TblTech[[#This Row],[2-1]] + tech_2_8*TblTech[[#This Row],[2-8]])</f>
        <v>335.45</v>
      </c>
      <c r="AQ27" s="69" t="n">
        <f aca="false">(1+race_food_consumption)*TblPop[[#This Row],[Total]]*food_per_person*(1+tech_1_10*TblTech[[#This Row],[1-10]]+tech_7_5*TblTech[[#This Row],[7-5]])</f>
        <v>764.5</v>
      </c>
      <c r="AR27" s="69" t="n">
        <f aca="false">TblProd[[#This Row],[Lumber]]*lumber_rot * (1 + tech_2_1*TblTech[[#This Row],[2-1]] + tech_2_8*TblTech[[#This Row],[2-8]] + tech_5_2*TblTech[[#This Row],[5-2]])</f>
        <v>78.83</v>
      </c>
      <c r="AS27" s="69" t="n">
        <f aca="false">TblProd[[#This Row],[Mana]]*mana_drain * (1 + tech_2_1*TblTech[[#This Row],[2-1]] + tech_2_8*TblTech[[#This Row],[2-8]])</f>
        <v>-109.03</v>
      </c>
      <c r="AT27" s="146"/>
      <c r="AU27" s="69" t="n">
        <f aca="false">TblExplore[[#This Row],[Platinum (2)]]+TblConstr[[#This Row],[Total Plat Cost]]+TblMili[[#This Row],[Plat Cost]]+TblRezone[[#This Row],[Platinum cost]]+TblImps[[#This Row],[P1]]-TblProd[[#This Row],[Bank Plat]]</f>
        <v>19860</v>
      </c>
      <c r="AV27" s="69" t="n">
        <f aca="false">TblConstr[[#This Row],[Total Lum Cost]]+TblImps[[#This Row],[L1]]-TblProd[[#This Row],[Bank Lumber]] + Military!$CL$25*TblMili[[#This Row],[Sec. rec. Cost]]</f>
        <v>1060</v>
      </c>
      <c r="AW27" s="69" t="n">
        <f aca="false">TblMagic[[#This Row],[Mana cost]] + Military!$CL$26*TblMili[[#This Row],[Sec. rec. Cost]]</f>
        <v>697.5</v>
      </c>
      <c r="AX27" s="69" t="n">
        <f aca="false">Military!$CL$24*TblMili[[#This Row],[Sec. rec. Cost]]+TblImps[[#This Row],[O1]]-TblProd[[#This Row],[Bank Ore]]</f>
        <v>0</v>
      </c>
      <c r="AY27" s="69" t="n">
        <f aca="false">TblImps[[#This Row],[G1]]-TblProd[[#This Row],[Bank Gems]]</f>
        <v>0</v>
      </c>
      <c r="AZ27" s="132"/>
      <c r="BA27" s="33" t="n">
        <f aca="false">IF(TblProd[[#This Row],[Set Guard]]&lt;&gt;"",TblProd[[#This Row],[Set Guard]],OFFSET(TblProd[[#This Row],[Guard]],-1,0))</f>
        <v>0</v>
      </c>
      <c r="BB27" s="145"/>
      <c r="BC27" s="151" t="n">
        <f aca="false">TblProd[[#This Row],[Hour]]</f>
        <v>24</v>
      </c>
      <c r="BD27" s="152" t="n">
        <f aca="false">-TblProd[[#This Row],[Bank Lumber]] / 2 + -TblProd[[#This Row],[Bank Gems]] * 2 + -TblProd[[#This Row],[Bank Ore]] / 2</f>
        <v>0</v>
      </c>
      <c r="BE27" s="152"/>
      <c r="BF27" s="152"/>
      <c r="BG27" s="152"/>
      <c r="BH27" s="153" t="n">
        <f aca="false">TblProd[[#This Row],[Time]]</f>
        <v>45430.7083333333</v>
      </c>
      <c r="BI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J27" s="69" t="n">
        <f aca="false">TblProd[[#This Row],[Platinum]]</f>
        <v>41357</v>
      </c>
      <c r="BK27" s="69" t="n">
        <f aca="false">TblProd[[#This Row],[Food]]</f>
        <v>33545</v>
      </c>
      <c r="BL27" s="69" t="n">
        <f aca="false">TblProd[[#This Row],[Lumber]]</f>
        <v>7883</v>
      </c>
      <c r="BM27" s="69" t="n">
        <f aca="false">TblProd[[#This Row],[Mana]]</f>
        <v>-5451.5</v>
      </c>
      <c r="BN27" s="69" t="n">
        <f aca="false">TblProd[[#This Row],[Ore]]</f>
        <v>-357</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3120</v>
      </c>
      <c r="G28" s="69"/>
      <c r="H28" s="69" t="e">
        <f aca="false">TblMili[[#This Row],[Networth (2)]]</f>
        <v>#VALUE!</v>
      </c>
      <c r="I28" s="69" t="n">
        <f aca="false">OFFSET(TblProd[[#This Row],[Platinum]],-1,0)+OFFSET(TblProd[[#This Row],[Plat/hr]],-1,0) - TblProd[[#This Row],[Expenses Platinum]] + IF(TblProd[[#This Row],[Plat Bonus]],TblPop[[#This Row],[Peasants]]*4) + SUM(TblConstr[[#This Row],[Dest Hom]:[Dest Doc]])*TblConstr[[#This Row],[CPA Platinum -DB]]*tech_3_3_2*TblTech[[#This Row],[3-3]]</f>
        <v>54909</v>
      </c>
      <c r="J28" s="69" t="n">
        <f aca="false">OFFSET(TblProd[[#This Row],[Food]],-1,0)+OFFSET(TblProd[[#This Row],[Food/hr]],-1,0)+ROUNDUP((TblConstr[[#This Row],[Farms]]*80+TblConstr[[#This Row],[Docks]]*35)*(1+OFFSET(TblProd[[#This Row],[Bonus Food/hr]],-1,0)),0)</f>
        <v>33035</v>
      </c>
      <c r="K28" s="69" t="n">
        <f aca="false">OFFSET(TblProd[[#This Row],[Lumber]],-1,0)+OFFSET(TblProd[[#This Row],[Lumber/hr]],-1,0) - TblProd[[#This Row],[Expenses Lumber]] + SUM(TblConstr[[#This Row],[Dest Hom]:[Dest Doc]])*TblConstr[[#This Row],[CPA Lumber -DB]]*tech_3_3_2*TblTech[[#This Row],[3-3]]</f>
        <v>8704</v>
      </c>
      <c r="L28" s="69" t="n">
        <f aca="false">OFFSET(TblProd[[#This Row],[Mana]],-1,0)+OFFSET(TblProd[[#This Row],[Mana/hr]],-1,0)- TblProd[[#This Row],[Expenses Mana]]</f>
        <v>-4892.5</v>
      </c>
      <c r="M28" s="69" t="n">
        <f aca="false">OFFSET(TblProd[[#This Row],[Ore]],-1,0)+OFFSET(TblProd[[#This Row],[Ore/hr]],-1,0) -TblProd[[#This Row],[Expenses Ore]]</f>
        <v>-357</v>
      </c>
      <c r="N28" s="69" t="n">
        <f aca="false">OFFSET(TblProd[[#This Row],[Gems]],-1,0)+OFFSET(TblProd[[#This Row],[Gems/hr]],-1,0) - TblProd[[#This Row],[Expenses Gems]]</f>
        <v>-1000</v>
      </c>
      <c r="O28" s="69" t="n">
        <f aca="false">OFFSET(TblProd[[#This Row],[Boats]],-1,0)+OFFSET(TblProd[[#This Row],[Boats/hr]],-1,0)</f>
        <v>0.25</v>
      </c>
      <c r="P28" s="69" t="n">
        <f aca="false">OFFSET(TblProd[[#This Row],[Prestige]],-1,0)</f>
        <v>250</v>
      </c>
      <c r="Q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8" s="69" t="n">
        <f aca="false">MAX(3750,_xlfn.CEILING.MATH(TblProd[[#This Row],[Land]]*2.5+OFFSET(TblTech[[#This Row],[Sum of tech]],-1,0)*150))</f>
        <v>3750</v>
      </c>
      <c r="S28" s="132"/>
      <c r="T28" s="69" t="n">
        <f aca="false">ROUNDDOWN(TblProd[[#This Row],[Raw Plat/hr]]*(1+TblProd[[#This Row],[Bonus Plat/hr]]),0)</f>
        <v>14049</v>
      </c>
      <c r="U28" s="69" t="n">
        <f aca="false">ROUND(TblProd[[#This Row],[Raw Food/hr]]*(1+TblProd[[#This Row],[Bonus Food/hr]])-TblProd[[#This Row],[Food decay]]-TblProd[[#This Row],[Food eaten]],0)</f>
        <v>-533</v>
      </c>
      <c r="V28" s="69" t="n">
        <f aca="false">ROUND(TblProd[[#This Row],[Raw Lumber/hr]]*(1+TblProd[[#This Row],[Bonus Lumber/hr]])-TblProd[[#This Row],[Lumber rot]],0)</f>
        <v>813</v>
      </c>
      <c r="W28" s="69" t="n">
        <f aca="false">ROUND(TblProd[[#This Row],[Raw Mana/hr]]*(1+TblProd[[#This Row],[Bonus Mana/hr]])-TblProd[[#This Row],[Mana drain]],0)</f>
        <v>548</v>
      </c>
      <c r="X28" s="69" t="n">
        <f aca="false">ROUNDDOWN(TblProd[[#This Row],[Raw Ore/hr]]*(1+TblProd[[#This Row],[Bonux Ore/hr]]),0)</f>
        <v>0</v>
      </c>
      <c r="Y28" s="69" t="n">
        <f aca="false">ROUNDDOWN(TblProd[[#This Row],[Raw Gems/hr]]*(1+TblProd[[#This Row],[Bonus Gems/hr]]),0)</f>
        <v>0</v>
      </c>
      <c r="Z28" s="148" t="n">
        <f aca="false">OFFSET(TblConstr[[#This Row],[Tot Doc]],1,0)*dock_boats_hr * (1 + tech_4_1*TblTech[[#This Row],[4-1]])</f>
        <v>0.25</v>
      </c>
      <c r="AA28" s="146"/>
      <c r="AB28" s="69" t="n">
        <f aca="false">TblPop[[#This Row],[Peasants]]*tax*TblPop[[#This Row],[Employment]] + (Construction!AZ29+Construction!BX29)*(alch_plat+(Magic!AM28&gt;0)*alchemist_flame_bonus)</f>
        <v>14049</v>
      </c>
      <c r="AC28" s="69" t="n">
        <f aca="false">TblConstr[[#This Row],[Tot Farm]]*farm_food + TblConstr[[#This Row],[Tot Doc]]*dock_food</f>
        <v>600</v>
      </c>
      <c r="AD28" s="69" t="n">
        <f aca="false">TblConstr[[#This Row],[Tot Ly]]*ly_lumber + TblConstr[[#This Row],[Tot Hav]]*fh_lumber</f>
        <v>1000</v>
      </c>
      <c r="AE28" s="69" t="n">
        <f aca="false">OFFSET(TblConstr[[#This Row],[Tot Tow]],1,0)*(tower_mana + tech_4_5*TblTech[[#This Row],[4-5]]) + OFFSET(TblConstr[[#This Row],[Tot WG]],1,0)*wg_mana_prod</f>
        <v>450</v>
      </c>
      <c r="AF28" s="69" t="n">
        <f aca="false">OFFSET(TblConstr[[#This Row],[Tot OM]],1,0)*om_ore+IF(race="Dwarf",ROUNDDOWN(TblMili[[#This Row],[Unit 2]]*0.4,0),)</f>
        <v>0</v>
      </c>
      <c r="AG28" s="69" t="n">
        <f aca="false">OFFSET(TblConstr[[#This Row],[Tot DM]],1,0)*dm_gems</f>
        <v>0</v>
      </c>
      <c r="AH28" s="132"/>
      <c r="AI28" s="149" t="n">
        <f aca="false">MIN(race_platinum_bonus + IF(TblMagic[[#This Row],[Active Alch Frost]]&gt;0,alch_frost_bonus,IF(Magic!AD28&gt;0,midas_bonus)) + TblImps[[#This Row],[Science]] - TblProd[[#This Row],[Guard]]*(0.02 + tech_5_7*TblTech[[#This Row],[5-7]]) + tech_1_5*TblTech[[#This Row],[1-5]] + tech_4_4*TblTech[[#This Row],[4-4]], 0.5)</f>
        <v>0</v>
      </c>
      <c r="AJ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8" s="149" t="n">
        <f aca="false">race_lumber_bonus+ IF(TblMagic[[#This Row],[Active Gaia''s Blessing]]&gt;0,gaias_blessing_lumber)+ tech_1_3*TblTech[[#This Row],[1-3]] + tech_1_6*TblTech[[#This Row],[1-6]] + tech_3_3*TblTech[[#This Row],[3-3]]</f>
        <v>-0.1</v>
      </c>
      <c r="AL28" s="149" t="n">
        <f aca="false">race_mana_bonus+ 0 + TblImps[[#This Row],[Towers]] + tech_1_2*TblTech[[#This Row],[1-2]] + tech_3_4*TblTech[[#This Row],[3-4]]</f>
        <v>0</v>
      </c>
      <c r="AM28" s="149" t="n">
        <f aca="false">race_ore_bonus + IF(TblMagic[[#This Row],[Active Miner''s Sight]]&gt;0,miners_sight_bonus,IF(TblMagic[[#This Row],[Active Mining Strength]]&gt;0,mining_strength_bonus)) +  tech_1_6*TblTech[[#This Row],[1-6]]</f>
        <v>0</v>
      </c>
      <c r="AN28" s="149" t="n">
        <f aca="false">race_gem_bonus+ tech_3_2*TblTech[[#This Row],[3-2]] + tech_4_3*TblTech[[#This Row],[4-3]] + tech_6_2*TblTech[[#This Row],[6-2]]</f>
        <v>0.15</v>
      </c>
      <c r="AO28" s="132"/>
      <c r="AP28" s="69" t="n">
        <f aca="false">TblProd[[#This Row],[Food]]*food_decay * (1 + tech_2_1*TblTech[[#This Row],[2-1]] + tech_2_8*TblTech[[#This Row],[2-8]])</f>
        <v>330.35</v>
      </c>
      <c r="AQ28" s="69" t="n">
        <f aca="false">(1+race_food_consumption)*TblPop[[#This Row],[Total]]*food_per_person*(1+tech_1_10*TblTech[[#This Row],[1-10]]+tech_7_5*TblTech[[#This Row],[7-5]])</f>
        <v>817.75</v>
      </c>
      <c r="AR28" s="69" t="n">
        <f aca="false">TblProd[[#This Row],[Lumber]]*lumber_rot * (1 + tech_2_1*TblTech[[#This Row],[2-1]] + tech_2_8*TblTech[[#This Row],[2-8]] + tech_5_2*TblTech[[#This Row],[5-2]])</f>
        <v>87.04</v>
      </c>
      <c r="AS28" s="69" t="n">
        <f aca="false">TblProd[[#This Row],[Mana]]*mana_drain * (1 + tech_2_1*TblTech[[#This Row],[2-1]] + tech_2_8*TblTech[[#This Row],[2-8]])</f>
        <v>-97.85</v>
      </c>
      <c r="AT28" s="146"/>
      <c r="AU28" s="69" t="n">
        <f aca="false">TblExplore[[#This Row],[Platinum (2)]]+TblConstr[[#This Row],[Total Plat Cost]]+TblMili[[#This Row],[Plat Cost]]+TblRezone[[#This Row],[Platinum cost]]+TblImps[[#This Row],[P1]]-TblProd[[#This Row],[Bank Plat]]</f>
        <v>0</v>
      </c>
      <c r="AV28" s="69" t="n">
        <f aca="false">TblConstr[[#This Row],[Total Lum Cost]]+TblImps[[#This Row],[L1]]-TblProd[[#This Row],[Bank Lumber]] + Military!$CL$25*TblMili[[#This Row],[Sec. rec. Cost]]</f>
        <v>0</v>
      </c>
      <c r="AW28" s="69" t="n">
        <f aca="false">TblMagic[[#This Row],[Mana cost]] + Military!$CL$26*TblMili[[#This Row],[Sec. rec. Cost]]</f>
        <v>0</v>
      </c>
      <c r="AX28" s="69" t="n">
        <f aca="false">Military!$CL$24*TblMili[[#This Row],[Sec. rec. Cost]]+TblImps[[#This Row],[O1]]-TblProd[[#This Row],[Bank Ore]]</f>
        <v>0</v>
      </c>
      <c r="AY28" s="69" t="n">
        <f aca="false">TblImps[[#This Row],[G1]]-TblProd[[#This Row],[Bank Gems]]</f>
        <v>0</v>
      </c>
      <c r="AZ28" s="132"/>
      <c r="BA28" s="33" t="n">
        <f aca="false">IF(TblProd[[#This Row],[Set Guard]]&lt;&gt;"",TblProd[[#This Row],[Set Guard]],OFFSET(TblProd[[#This Row],[Guard]],-1,0))</f>
        <v>0</v>
      </c>
      <c r="BB28" s="145"/>
      <c r="BC28" s="151" t="n">
        <f aca="false">TblProd[[#This Row],[Hour]]</f>
        <v>25</v>
      </c>
      <c r="BD28" s="152" t="n">
        <f aca="false">-TblProd[[#This Row],[Bank Lumber]] / 2 + -TblProd[[#This Row],[Bank Gems]] * 2 + -TblProd[[#This Row],[Bank Ore]] / 2</f>
        <v>0</v>
      </c>
      <c r="BE28" s="152"/>
      <c r="BF28" s="152"/>
      <c r="BG28" s="152"/>
      <c r="BH28" s="153" t="n">
        <f aca="false">TblProd[[#This Row],[Time]]</f>
        <v>45430.75</v>
      </c>
      <c r="BI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J28" s="69" t="n">
        <f aca="false">TblProd[[#This Row],[Platinum]]</f>
        <v>54909</v>
      </c>
      <c r="BK28" s="69" t="n">
        <f aca="false">TblProd[[#This Row],[Food]]</f>
        <v>33035</v>
      </c>
      <c r="BL28" s="69" t="n">
        <f aca="false">TblProd[[#This Row],[Lumber]]</f>
        <v>8704</v>
      </c>
      <c r="BM28" s="69" t="n">
        <f aca="false">TblProd[[#This Row],[Mana]]</f>
        <v>-4892.5</v>
      </c>
      <c r="BN28" s="69" t="n">
        <f aca="false">TblProd[[#This Row],[Ore]]</f>
        <v>-357</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3315</v>
      </c>
      <c r="G29" s="69"/>
      <c r="H29" s="69" t="e">
        <f aca="false">TblMili[[#This Row],[Networth (2)]]</f>
        <v>#VALUE!</v>
      </c>
      <c r="I29" s="69" t="n">
        <f aca="false">OFFSET(TblProd[[#This Row],[Platinum]],-1,0)+OFFSET(TblProd[[#This Row],[Plat/hr]],-1,0) - TblProd[[#This Row],[Expenses Platinum]] + IF(TblProd[[#This Row],[Plat Bonus]],TblPop[[#This Row],[Peasants]]*4) + SUM(TblConstr[[#This Row],[Dest Hom]:[Dest Doc]])*TblConstr[[#This Row],[CPA Platinum -DB]]*tech_3_3_2*TblTech[[#This Row],[3-3]]</f>
        <v>68958</v>
      </c>
      <c r="J29" s="69" t="n">
        <f aca="false">OFFSET(TblProd[[#This Row],[Food]],-1,0)+OFFSET(TblProd[[#This Row],[Food/hr]],-1,0)+ROUNDUP((TblConstr[[#This Row],[Farms]]*80+TblConstr[[#This Row],[Docks]]*35)*(1+OFFSET(TblProd[[#This Row],[Bonus Food/hr]],-1,0)),0)</f>
        <v>32502</v>
      </c>
      <c r="K29" s="69" t="n">
        <f aca="false">OFFSET(TblProd[[#This Row],[Lumber]],-1,0)+OFFSET(TblProd[[#This Row],[Lumber/hr]],-1,0) - TblProd[[#This Row],[Expenses Lumber]] + SUM(TblConstr[[#This Row],[Dest Hom]:[Dest Doc]])*TblConstr[[#This Row],[CPA Lumber -DB]]*tech_3_3_2*TblTech[[#This Row],[3-3]]</f>
        <v>9517</v>
      </c>
      <c r="L29" s="69" t="n">
        <f aca="false">OFFSET(TblProd[[#This Row],[Mana]],-1,0)+OFFSET(TblProd[[#This Row],[Mana/hr]],-1,0)- TblProd[[#This Row],[Expenses Mana]]</f>
        <v>-6587</v>
      </c>
      <c r="M29" s="69" t="n">
        <f aca="false">OFFSET(TblProd[[#This Row],[Ore]],-1,0)+OFFSET(TblProd[[#This Row],[Ore/hr]],-1,0) -TblProd[[#This Row],[Expenses Ore]]</f>
        <v>-357</v>
      </c>
      <c r="N29" s="69" t="n">
        <f aca="false">OFFSET(TblProd[[#This Row],[Gems]],-1,0)+OFFSET(TblProd[[#This Row],[Gems/hr]],-1,0) - TblProd[[#This Row],[Expenses Gems]]</f>
        <v>-1000</v>
      </c>
      <c r="O29" s="69" t="n">
        <f aca="false">OFFSET(TblProd[[#This Row],[Boats]],-1,0)+OFFSET(TblProd[[#This Row],[Boats/hr]],-1,0)</f>
        <v>0.5</v>
      </c>
      <c r="P29" s="69" t="n">
        <f aca="false">OFFSET(TblProd[[#This Row],[Prestige]],-1,0)</f>
        <v>250</v>
      </c>
      <c r="Q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9" s="69" t="n">
        <f aca="false">MAX(3750,_xlfn.CEILING.MATH(TblProd[[#This Row],[Land]]*2.5+OFFSET(TblTech[[#This Row],[Sum of tech]],-1,0)*150))</f>
        <v>3750</v>
      </c>
      <c r="S29" s="132"/>
      <c r="T29" s="69" t="n">
        <f aca="false">ROUNDDOWN(TblProd[[#This Row],[Raw Plat/hr]]*(1+TblProd[[#This Row],[Bonus Plat/hr]]),0)</f>
        <v>16200</v>
      </c>
      <c r="U29" s="69" t="n">
        <f aca="false">ROUND(TblProd[[#This Row],[Raw Food/hr]]*(1+TblProd[[#This Row],[Bonus Food/hr]])-TblProd[[#This Row],[Food decay]]-TblProd[[#This Row],[Food eaten]],0)</f>
        <v>-584</v>
      </c>
      <c r="V29" s="69" t="n">
        <f aca="false">ROUND(TblProd[[#This Row],[Raw Lumber/hr]]*(1+TblProd[[#This Row],[Bonus Lumber/hr]])-TblProd[[#This Row],[Lumber rot]],0)</f>
        <v>805</v>
      </c>
      <c r="W29" s="69" t="n">
        <f aca="false">ROUND(TblProd[[#This Row],[Raw Mana/hr]]*(1+TblProd[[#This Row],[Bonus Mana/hr]])-TblProd[[#This Row],[Mana drain]],0)</f>
        <v>582</v>
      </c>
      <c r="X29" s="69" t="n">
        <f aca="false">ROUNDDOWN(TblProd[[#This Row],[Raw Ore/hr]]*(1+TblProd[[#This Row],[Bonux Ore/hr]]),0)</f>
        <v>0</v>
      </c>
      <c r="Y29" s="69" t="n">
        <f aca="false">ROUNDDOWN(TblProd[[#This Row],[Raw Gems/hr]]*(1+TblProd[[#This Row],[Bonus Gems/hr]]),0)</f>
        <v>0</v>
      </c>
      <c r="Z29" s="148" t="n">
        <f aca="false">OFFSET(TblConstr[[#This Row],[Tot Doc]],1,0)*dock_boats_hr * (1 + tech_4_1*TblTech[[#This Row],[4-1]])</f>
        <v>0.25</v>
      </c>
      <c r="AA29" s="146"/>
      <c r="AB29" s="69" t="n">
        <f aca="false">TblPop[[#This Row],[Peasants]]*tax*TblPop[[#This Row],[Employment]] + (Construction!AZ30+Construction!BX30)*(alch_plat+(Magic!AM29&gt;0)*alchemist_flame_bonus)</f>
        <v>16200.5</v>
      </c>
      <c r="AC29" s="69" t="n">
        <f aca="false">TblConstr[[#This Row],[Tot Farm]]*farm_food + TblConstr[[#This Row],[Tot Doc]]*dock_food</f>
        <v>600</v>
      </c>
      <c r="AD29" s="69" t="n">
        <f aca="false">TblConstr[[#This Row],[Tot Ly]]*ly_lumber + TblConstr[[#This Row],[Tot Hav]]*fh_lumber</f>
        <v>1000</v>
      </c>
      <c r="AE29" s="69" t="n">
        <f aca="false">OFFSET(TblConstr[[#This Row],[Tot Tow]],1,0)*(tower_mana + tech_4_5*TblTech[[#This Row],[4-5]]) + OFFSET(TblConstr[[#This Row],[Tot WG]],1,0)*wg_mana_prod</f>
        <v>450</v>
      </c>
      <c r="AF29" s="69" t="n">
        <f aca="false">OFFSET(TblConstr[[#This Row],[Tot OM]],1,0)*om_ore+IF(race="Dwarf",ROUNDDOWN(TblMili[[#This Row],[Unit 2]]*0.4,0),)</f>
        <v>0</v>
      </c>
      <c r="AG29" s="69" t="n">
        <f aca="false">OFFSET(TblConstr[[#This Row],[Tot DM]],1,0)*dm_gems</f>
        <v>0</v>
      </c>
      <c r="AH29" s="132"/>
      <c r="AI29" s="149" t="n">
        <f aca="false">MIN(race_platinum_bonus + IF(TblMagic[[#This Row],[Active Alch Frost]]&gt;0,alch_frost_bonus,IF(Magic!AD29&gt;0,midas_bonus)) + TblImps[[#This Row],[Science]] - TblProd[[#This Row],[Guard]]*(0.02 + tech_5_7*TblTech[[#This Row],[5-7]]) + tech_1_5*TblTech[[#This Row],[1-5]] + tech_4_4*TblTech[[#This Row],[4-4]], 0.5)</f>
        <v>0</v>
      </c>
      <c r="AJ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9" s="149" t="n">
        <f aca="false">race_lumber_bonus+ IF(TblMagic[[#This Row],[Active Gaia''s Blessing]]&gt;0,gaias_blessing_lumber)+ tech_1_3*TblTech[[#This Row],[1-3]] + tech_1_6*TblTech[[#This Row],[1-6]] + tech_3_3*TblTech[[#This Row],[3-3]]</f>
        <v>-0.1</v>
      </c>
      <c r="AL29" s="149" t="n">
        <f aca="false">race_mana_bonus+ 0 + TblImps[[#This Row],[Towers]] + tech_1_2*TblTech[[#This Row],[1-2]] + tech_3_4*TblTech[[#This Row],[3-4]]</f>
        <v>0</v>
      </c>
      <c r="AM29" s="149" t="n">
        <f aca="false">race_ore_bonus + IF(TblMagic[[#This Row],[Active Miner''s Sight]]&gt;0,miners_sight_bonus,IF(TblMagic[[#This Row],[Active Mining Strength]]&gt;0,mining_strength_bonus)) +  tech_1_6*TblTech[[#This Row],[1-6]]</f>
        <v>0</v>
      </c>
      <c r="AN29" s="149" t="n">
        <f aca="false">race_gem_bonus+ tech_3_2*TblTech[[#This Row],[3-2]] + tech_4_3*TblTech[[#This Row],[4-3]] + tech_6_2*TblTech[[#This Row],[6-2]]</f>
        <v>0.15</v>
      </c>
      <c r="AO29" s="132"/>
      <c r="AP29" s="69" t="n">
        <f aca="false">TblProd[[#This Row],[Food]]*food_decay * (1 + tech_2_1*TblTech[[#This Row],[2-1]] + tech_2_8*TblTech[[#This Row],[2-8]])</f>
        <v>325.02</v>
      </c>
      <c r="AQ29" s="69" t="n">
        <f aca="false">(1+race_food_consumption)*TblPop[[#This Row],[Total]]*food_per_person*(1+tech_1_10*TblTech[[#This Row],[1-10]]+tech_7_5*TblTech[[#This Row],[7-5]])</f>
        <v>874.25</v>
      </c>
      <c r="AR29" s="69" t="n">
        <f aca="false">TblProd[[#This Row],[Lumber]]*lumber_rot * (1 + tech_2_1*TblTech[[#This Row],[2-1]] + tech_2_8*TblTech[[#This Row],[2-8]] + tech_5_2*TblTech[[#This Row],[5-2]])</f>
        <v>95.17</v>
      </c>
      <c r="AS29" s="69" t="n">
        <f aca="false">TblProd[[#This Row],[Mana]]*mana_drain * (1 + tech_2_1*TblTech[[#This Row],[2-1]] + tech_2_8*TblTech[[#This Row],[2-8]])</f>
        <v>-131.74</v>
      </c>
      <c r="AT29" s="146"/>
      <c r="AU29" s="69" t="n">
        <f aca="false">TblExplore[[#This Row],[Platinum (2)]]+TblConstr[[#This Row],[Total Plat Cost]]+TblMili[[#This Row],[Plat Cost]]+TblRezone[[#This Row],[Platinum cost]]+TblImps[[#This Row],[P1]]-TblProd[[#This Row],[Bank Plat]]</f>
        <v>0</v>
      </c>
      <c r="AV29" s="69" t="n">
        <f aca="false">TblConstr[[#This Row],[Total Lum Cost]]+TblImps[[#This Row],[L1]]-TblProd[[#This Row],[Bank Lumber]] + Military!$CL$25*TblMili[[#This Row],[Sec. rec. Cost]]</f>
        <v>0</v>
      </c>
      <c r="AW29" s="69" t="n">
        <f aca="false">TblMagic[[#This Row],[Mana cost]] + Military!$CL$26*TblMili[[#This Row],[Sec. rec. Cost]]</f>
        <v>2242.5</v>
      </c>
      <c r="AX29" s="69" t="n">
        <f aca="false">Military!$CL$24*TblMili[[#This Row],[Sec. rec. Cost]]+TblImps[[#This Row],[O1]]-TblProd[[#This Row],[Bank Ore]]</f>
        <v>0</v>
      </c>
      <c r="AY29" s="69" t="n">
        <f aca="false">TblImps[[#This Row],[G1]]-TblProd[[#This Row],[Bank Gems]]</f>
        <v>0</v>
      </c>
      <c r="AZ29" s="132"/>
      <c r="BA29" s="33" t="n">
        <f aca="false">IF(TblProd[[#This Row],[Set Guard]]&lt;&gt;"",TblProd[[#This Row],[Set Guard]],OFFSET(TblProd[[#This Row],[Guard]],-1,0))</f>
        <v>0</v>
      </c>
      <c r="BB29" s="145"/>
      <c r="BC29" s="151" t="n">
        <f aca="false">TblProd[[#This Row],[Hour]]</f>
        <v>26</v>
      </c>
      <c r="BD29" s="152" t="n">
        <f aca="false">-TblProd[[#This Row],[Bank Lumber]] / 2 + -TblProd[[#This Row],[Bank Gems]] * 2 + -TblProd[[#This Row],[Bank Ore]] / 2</f>
        <v>0</v>
      </c>
      <c r="BE29" s="152"/>
      <c r="BF29" s="152"/>
      <c r="BG29" s="152"/>
      <c r="BH29" s="153" t="n">
        <f aca="false">TblProd[[#This Row],[Time]]</f>
        <v>45430.7916666667</v>
      </c>
      <c r="BI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J29" s="69" t="n">
        <f aca="false">TblProd[[#This Row],[Platinum]]</f>
        <v>68958</v>
      </c>
      <c r="BK29" s="69" t="n">
        <f aca="false">TblProd[[#This Row],[Food]]</f>
        <v>32502</v>
      </c>
      <c r="BL29" s="69" t="n">
        <f aca="false">TblProd[[#This Row],[Lumber]]</f>
        <v>9517</v>
      </c>
      <c r="BM29" s="69" t="n">
        <f aca="false">TblProd[[#This Row],[Mana]]</f>
        <v>-6587</v>
      </c>
      <c r="BN29" s="69" t="n">
        <f aca="false">TblProd[[#This Row],[Ore]]</f>
        <v>-357</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3523</v>
      </c>
      <c r="G30" s="69"/>
      <c r="H30" s="69" t="e">
        <f aca="false">TblMili[[#This Row],[Networth (2)]]</f>
        <v>#VALUE!</v>
      </c>
      <c r="I30" s="69" t="n">
        <f aca="false">OFFSET(TblProd[[#This Row],[Platinum]],-1,0)+OFFSET(TblProd[[#This Row],[Plat/hr]],-1,0) - TblProd[[#This Row],[Expenses Platinum]] + IF(TblProd[[#This Row],[Plat Bonus]],TblPop[[#This Row],[Peasants]]*4) + SUM(TblConstr[[#This Row],[Dest Hom]:[Dest Doc]])*TblConstr[[#This Row],[CPA Platinum -DB]]*tech_3_3_2*TblTech[[#This Row],[3-3]]</f>
        <v>85158</v>
      </c>
      <c r="J30" s="69" t="n">
        <f aca="false">OFFSET(TblProd[[#This Row],[Food]],-1,0)+OFFSET(TblProd[[#This Row],[Food/hr]],-1,0)+ROUNDUP((TblConstr[[#This Row],[Farms]]*80+TblConstr[[#This Row],[Docks]]*35)*(1+OFFSET(TblProd[[#This Row],[Bonus Food/hr]],-1,0)),0)</f>
        <v>31918</v>
      </c>
      <c r="K30" s="69" t="n">
        <f aca="false">OFFSET(TblProd[[#This Row],[Lumber]],-1,0)+OFFSET(TblProd[[#This Row],[Lumber/hr]],-1,0) - TblProd[[#This Row],[Expenses Lumber]] + SUM(TblConstr[[#This Row],[Dest Hom]:[Dest Doc]])*TblConstr[[#This Row],[CPA Lumber -DB]]*tech_3_3_2*TblTech[[#This Row],[3-3]]</f>
        <v>10322</v>
      </c>
      <c r="L30" s="69" t="n">
        <f aca="false">OFFSET(TblProd[[#This Row],[Mana]],-1,0)+OFFSET(TblProd[[#This Row],[Mana/hr]],-1,0)- TblProd[[#This Row],[Expenses Mana]]</f>
        <v>-6005</v>
      </c>
      <c r="M30" s="69" t="n">
        <f aca="false">OFFSET(TblProd[[#This Row],[Ore]],-1,0)+OFFSET(TblProd[[#This Row],[Ore/hr]],-1,0) -TblProd[[#This Row],[Expenses Ore]]</f>
        <v>-357</v>
      </c>
      <c r="N30" s="69" t="n">
        <f aca="false">OFFSET(TblProd[[#This Row],[Gems]],-1,0)+OFFSET(TblProd[[#This Row],[Gems/hr]],-1,0) - TblProd[[#This Row],[Expenses Gems]]</f>
        <v>-1000</v>
      </c>
      <c r="O30" s="69" t="n">
        <f aca="false">OFFSET(TblProd[[#This Row],[Boats]],-1,0)+OFFSET(TblProd[[#This Row],[Boats/hr]],-1,0)</f>
        <v>0.75</v>
      </c>
      <c r="P30" s="69" t="n">
        <f aca="false">OFFSET(TblProd[[#This Row],[Prestige]],-1,0)</f>
        <v>250</v>
      </c>
      <c r="Q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0" s="69" t="n">
        <f aca="false">MAX(3750,_xlfn.CEILING.MATH(TblProd[[#This Row],[Land]]*2.5+OFFSET(TblTech[[#This Row],[Sum of tech]],-1,0)*150))</f>
        <v>3750</v>
      </c>
      <c r="S30" s="132"/>
      <c r="T30" s="69" t="n">
        <f aca="false">ROUNDDOWN(TblProd[[#This Row],[Raw Plat/hr]]*(1+TblProd[[#This Row],[Bonus Plat/hr]]),0)</f>
        <v>16762</v>
      </c>
      <c r="U30" s="69" t="n">
        <f aca="false">ROUND(TblProd[[#This Row],[Raw Food/hr]]*(1+TblProd[[#This Row],[Bonus Food/hr]])-TblProd[[#This Row],[Food decay]]-TblProd[[#This Row],[Food eaten]],0)</f>
        <v>-639</v>
      </c>
      <c r="V30" s="69" t="n">
        <f aca="false">ROUND(TblProd[[#This Row],[Raw Lumber/hr]]*(1+TblProd[[#This Row],[Bonus Lumber/hr]])-TblProd[[#This Row],[Lumber rot]],0)</f>
        <v>797</v>
      </c>
      <c r="W30" s="69" t="n">
        <f aca="false">ROUND(TblProd[[#This Row],[Raw Mana/hr]]*(1+TblProd[[#This Row],[Bonus Mana/hr]])-TblProd[[#This Row],[Mana drain]],0)</f>
        <v>570</v>
      </c>
      <c r="X30" s="69" t="n">
        <f aca="false">ROUNDDOWN(TblProd[[#This Row],[Raw Ore/hr]]*(1+TblProd[[#This Row],[Bonux Ore/hr]]),0)</f>
        <v>0</v>
      </c>
      <c r="Y30" s="69" t="n">
        <f aca="false">ROUNDDOWN(TblProd[[#This Row],[Raw Gems/hr]]*(1+TblProd[[#This Row],[Bonus Gems/hr]]),0)</f>
        <v>0</v>
      </c>
      <c r="Z30" s="148" t="n">
        <f aca="false">OFFSET(TblConstr[[#This Row],[Tot Doc]],1,0)*dock_boats_hr * (1 + tech_4_1*TblTech[[#This Row],[4-1]])</f>
        <v>0.25</v>
      </c>
      <c r="AA30" s="146"/>
      <c r="AB30" s="69" t="n">
        <f aca="false">TblPop[[#This Row],[Peasants]]*tax*TblPop[[#This Row],[Employment]] + (Construction!AZ31+Construction!BX31)*(alch_plat+(Magic!AM30&gt;0)*alchemist_flame_bonus)</f>
        <v>16762.1</v>
      </c>
      <c r="AC30" s="69" t="n">
        <f aca="false">TblConstr[[#This Row],[Tot Farm]]*farm_food + TblConstr[[#This Row],[Tot Doc]]*dock_food</f>
        <v>600</v>
      </c>
      <c r="AD30" s="69" t="n">
        <f aca="false">TblConstr[[#This Row],[Tot Ly]]*ly_lumber + TblConstr[[#This Row],[Tot Hav]]*fh_lumber</f>
        <v>1000</v>
      </c>
      <c r="AE30" s="69" t="n">
        <f aca="false">OFFSET(TblConstr[[#This Row],[Tot Tow]],1,0)*(tower_mana + tech_4_5*TblTech[[#This Row],[4-5]]) + OFFSET(TblConstr[[#This Row],[Tot WG]],1,0)*wg_mana_prod</f>
        <v>450</v>
      </c>
      <c r="AF30" s="69" t="n">
        <f aca="false">OFFSET(TblConstr[[#This Row],[Tot OM]],1,0)*om_ore+IF(race="Dwarf",ROUNDDOWN(TblMili[[#This Row],[Unit 2]]*0.4,0),)</f>
        <v>0</v>
      </c>
      <c r="AG30" s="69" t="n">
        <f aca="false">OFFSET(TblConstr[[#This Row],[Tot DM]],1,0)*dm_gems</f>
        <v>0</v>
      </c>
      <c r="AH30" s="132"/>
      <c r="AI30" s="149" t="n">
        <f aca="false">MIN(race_platinum_bonus + IF(TblMagic[[#This Row],[Active Alch Frost]]&gt;0,alch_frost_bonus,IF(Magic!AD30&gt;0,midas_bonus)) + TblImps[[#This Row],[Science]] - TblProd[[#This Row],[Guard]]*(0.02 + tech_5_7*TblTech[[#This Row],[5-7]]) + tech_1_5*TblTech[[#This Row],[1-5]] + tech_4_4*TblTech[[#This Row],[4-4]], 0.5)</f>
        <v>0</v>
      </c>
      <c r="AJ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0" s="149" t="n">
        <f aca="false">race_lumber_bonus+ IF(TblMagic[[#This Row],[Active Gaia''s Blessing]]&gt;0,gaias_blessing_lumber)+ tech_1_3*TblTech[[#This Row],[1-3]] + tech_1_6*TblTech[[#This Row],[1-6]] + tech_3_3*TblTech[[#This Row],[3-3]]</f>
        <v>-0.1</v>
      </c>
      <c r="AL30" s="149" t="n">
        <f aca="false">race_mana_bonus+ 0 + TblImps[[#This Row],[Towers]] + tech_1_2*TblTech[[#This Row],[1-2]] + tech_3_4*TblTech[[#This Row],[3-4]]</f>
        <v>0</v>
      </c>
      <c r="AM30" s="149" t="n">
        <f aca="false">race_ore_bonus + IF(TblMagic[[#This Row],[Active Miner''s Sight]]&gt;0,miners_sight_bonus,IF(TblMagic[[#This Row],[Active Mining Strength]]&gt;0,mining_strength_bonus)) +  tech_1_6*TblTech[[#This Row],[1-6]]</f>
        <v>0</v>
      </c>
      <c r="AN30" s="149" t="n">
        <f aca="false">race_gem_bonus+ tech_3_2*TblTech[[#This Row],[3-2]] + tech_4_3*TblTech[[#This Row],[4-3]] + tech_6_2*TblTech[[#This Row],[6-2]]</f>
        <v>0.15</v>
      </c>
      <c r="AO30" s="132"/>
      <c r="AP30" s="69" t="n">
        <f aca="false">TblProd[[#This Row],[Food]]*food_decay * (1 + tech_2_1*TblTech[[#This Row],[2-1]] + tech_2_8*TblTech[[#This Row],[2-8]])</f>
        <v>319.18</v>
      </c>
      <c r="AQ30" s="69" t="n">
        <f aca="false">(1+race_food_consumption)*TblPop[[#This Row],[Total]]*food_per_person*(1+tech_1_10*TblTech[[#This Row],[1-10]]+tech_7_5*TblTech[[#This Row],[7-5]])</f>
        <v>934.5</v>
      </c>
      <c r="AR30" s="69" t="n">
        <f aca="false">TblProd[[#This Row],[Lumber]]*lumber_rot * (1 + tech_2_1*TblTech[[#This Row],[2-1]] + tech_2_8*TblTech[[#This Row],[2-8]] + tech_5_2*TblTech[[#This Row],[5-2]])</f>
        <v>103.22</v>
      </c>
      <c r="AS30" s="69" t="n">
        <f aca="false">TblProd[[#This Row],[Mana]]*mana_drain * (1 + tech_2_1*TblTech[[#This Row],[2-1]] + tech_2_8*TblTech[[#This Row],[2-8]])</f>
        <v>-120.1</v>
      </c>
      <c r="AT30" s="146"/>
      <c r="AU30" s="69" t="n">
        <f aca="false">TblExplore[[#This Row],[Platinum (2)]]+TblConstr[[#This Row],[Total Plat Cost]]+TblMili[[#This Row],[Plat Cost]]+TblRezone[[#This Row],[Platinum cost]]+TblImps[[#This Row],[P1]]-TblProd[[#This Row],[Bank Plat]]</f>
        <v>0</v>
      </c>
      <c r="AV30" s="69" t="n">
        <f aca="false">TblConstr[[#This Row],[Total Lum Cost]]+TblImps[[#This Row],[L1]]-TblProd[[#This Row],[Bank Lumber]] + Military!$CL$25*TblMili[[#This Row],[Sec. rec. Cost]]</f>
        <v>0</v>
      </c>
      <c r="AW30" s="69" t="n">
        <f aca="false">TblMagic[[#This Row],[Mana cost]] + Military!$CL$26*TblMili[[#This Row],[Sec. rec. Cost]]</f>
        <v>0</v>
      </c>
      <c r="AX30" s="69" t="n">
        <f aca="false">Military!$CL$24*TblMili[[#This Row],[Sec. rec. Cost]]+TblImps[[#This Row],[O1]]-TblProd[[#This Row],[Bank Ore]]</f>
        <v>0</v>
      </c>
      <c r="AY30" s="69" t="n">
        <f aca="false">TblImps[[#This Row],[G1]]-TblProd[[#This Row],[Bank Gems]]</f>
        <v>0</v>
      </c>
      <c r="AZ30" s="132"/>
      <c r="BA30" s="33" t="n">
        <f aca="false">IF(TblProd[[#This Row],[Set Guard]]&lt;&gt;"",TblProd[[#This Row],[Set Guard]],OFFSET(TblProd[[#This Row],[Guard]],-1,0))</f>
        <v>0</v>
      </c>
      <c r="BB30" s="145"/>
      <c r="BC30" s="151" t="n">
        <f aca="false">TblProd[[#This Row],[Hour]]</f>
        <v>27</v>
      </c>
      <c r="BD30" s="152" t="n">
        <f aca="false">-TblProd[[#This Row],[Bank Lumber]] / 2 + -TblProd[[#This Row],[Bank Gems]] * 2 + -TblProd[[#This Row],[Bank Ore]] / 2</f>
        <v>0</v>
      </c>
      <c r="BE30" s="152"/>
      <c r="BF30" s="152"/>
      <c r="BG30" s="152"/>
      <c r="BH30" s="153" t="n">
        <f aca="false">TblProd[[#This Row],[Time]]</f>
        <v>45430.8333333333</v>
      </c>
      <c r="BI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J30" s="69" t="n">
        <f aca="false">TblProd[[#This Row],[Platinum]]</f>
        <v>85158</v>
      </c>
      <c r="BK30" s="69" t="n">
        <f aca="false">TblProd[[#This Row],[Food]]</f>
        <v>31918</v>
      </c>
      <c r="BL30" s="69" t="n">
        <f aca="false">TblProd[[#This Row],[Lumber]]</f>
        <v>10322</v>
      </c>
      <c r="BM30" s="69" t="n">
        <f aca="false">TblProd[[#This Row],[Mana]]</f>
        <v>-6005</v>
      </c>
      <c r="BN30" s="69" t="n">
        <f aca="false">TblProd[[#This Row],[Ore]]</f>
        <v>-357</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3744</v>
      </c>
      <c r="G31" s="69"/>
      <c r="H31" s="69" t="e">
        <f aca="false">TblMili[[#This Row],[Networth (2)]]</f>
        <v>#VALUE!</v>
      </c>
      <c r="I31" s="69" t="n">
        <f aca="false">OFFSET(TblProd[[#This Row],[Platinum]],-1,0)+OFFSET(TblProd[[#This Row],[Plat/hr]],-1,0) - TblProd[[#This Row],[Expenses Platinum]] + IF(TblProd[[#This Row],[Plat Bonus]],TblPop[[#This Row],[Peasants]]*4) + SUM(TblConstr[[#This Row],[Dest Hom]:[Dest Doc]])*TblConstr[[#This Row],[CPA Platinum -DB]]*tech_3_3_2*TblTech[[#This Row],[3-3]]</f>
        <v>101920</v>
      </c>
      <c r="J31" s="69" t="n">
        <f aca="false">OFFSET(TblProd[[#This Row],[Food]],-1,0)+OFFSET(TblProd[[#This Row],[Food/hr]],-1,0)+ROUNDUP((TblConstr[[#This Row],[Farms]]*80+TblConstr[[#This Row],[Docks]]*35)*(1+OFFSET(TblProd[[#This Row],[Bonus Food/hr]],-1,0)),0)</f>
        <v>31279</v>
      </c>
      <c r="K31" s="69" t="n">
        <f aca="false">OFFSET(TblProd[[#This Row],[Lumber]],-1,0)+OFFSET(TblProd[[#This Row],[Lumber/hr]],-1,0) - TblProd[[#This Row],[Expenses Lumber]] + SUM(TblConstr[[#This Row],[Dest Hom]:[Dest Doc]])*TblConstr[[#This Row],[CPA Lumber -DB]]*tech_3_3_2*TblTech[[#This Row],[3-3]]</f>
        <v>11119</v>
      </c>
      <c r="L31" s="69" t="n">
        <f aca="false">OFFSET(TblProd[[#This Row],[Mana]],-1,0)+OFFSET(TblProd[[#This Row],[Mana/hr]],-1,0)- TblProd[[#This Row],[Expenses Mana]]</f>
        <v>-6182.5</v>
      </c>
      <c r="M31" s="69" t="n">
        <f aca="false">OFFSET(TblProd[[#This Row],[Ore]],-1,0)+OFFSET(TblProd[[#This Row],[Ore/hr]],-1,0) -TblProd[[#This Row],[Expenses Ore]]</f>
        <v>-357</v>
      </c>
      <c r="N31" s="69" t="n">
        <f aca="false">OFFSET(TblProd[[#This Row],[Gems]],-1,0)+OFFSET(TblProd[[#This Row],[Gems/hr]],-1,0) - TblProd[[#This Row],[Expenses Gems]]</f>
        <v>-1000</v>
      </c>
      <c r="O31" s="69" t="n">
        <f aca="false">OFFSET(TblProd[[#This Row],[Boats]],-1,0)+OFFSET(TblProd[[#This Row],[Boats/hr]],-1,0)</f>
        <v>1</v>
      </c>
      <c r="P31" s="69" t="n">
        <f aca="false">OFFSET(TblProd[[#This Row],[Prestige]],-1,0)</f>
        <v>250</v>
      </c>
      <c r="Q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1" s="69" t="n">
        <f aca="false">MAX(3750,_xlfn.CEILING.MATH(TblProd[[#This Row],[Land]]*2.5+OFFSET(TblTech[[#This Row],[Sum of tech]],-1,0)*150))</f>
        <v>3750</v>
      </c>
      <c r="S31" s="132"/>
      <c r="T31" s="69" t="n">
        <f aca="false">ROUNDDOWN(TblProd[[#This Row],[Raw Plat/hr]]*(1+TblProd[[#This Row],[Bonus Plat/hr]]),0)</f>
        <v>19094</v>
      </c>
      <c r="U31" s="69" t="n">
        <f aca="false">ROUND(TblProd[[#This Row],[Raw Food/hr]]*(1+TblProd[[#This Row],[Bonus Food/hr]])-TblProd[[#This Row],[Food decay]]-TblProd[[#This Row],[Food eaten]],0)</f>
        <v>678684</v>
      </c>
      <c r="V31" s="69" t="n">
        <f aca="false">ROUND(TblProd[[#This Row],[Raw Lumber/hr]]*(1+TblProd[[#This Row],[Bonus Lumber/hr]])-TblProd[[#This Row],[Lumber rot]],0)</f>
        <v>789</v>
      </c>
      <c r="W31" s="69" t="n">
        <f aca="false">ROUND(TblProd[[#This Row],[Raw Mana/hr]]*(1+TblProd[[#This Row],[Bonus Mana/hr]])-TblProd[[#This Row],[Mana drain]],0)</f>
        <v>1019666</v>
      </c>
      <c r="X31" s="69" t="n">
        <f aca="false">ROUNDDOWN(TblProd[[#This Row],[Raw Ore/hr]]*(1+TblProd[[#This Row],[Bonux Ore/hr]]),0)</f>
        <v>0</v>
      </c>
      <c r="Y31" s="69" t="n">
        <f aca="false">ROUNDDOWN(TblProd[[#This Row],[Raw Gems/hr]]*(1+TblProd[[#This Row],[Bonus Gems/hr]]),0)</f>
        <v>0</v>
      </c>
      <c r="Z31" s="148" t="n">
        <f aca="false">OFFSET(TblConstr[[#This Row],[Tot Doc]],1,0)*dock_boats_hr * (1 + tech_4_1*TblTech[[#This Row],[4-1]])</f>
        <v>0.25</v>
      </c>
      <c r="AA31" s="146"/>
      <c r="AB31" s="69" t="n">
        <f aca="false">TblPop[[#This Row],[Peasants]]*tax*TblPop[[#This Row],[Employment]] + (Construction!AZ32+Construction!BX32)*(alch_plat+(Magic!AM31&gt;0)*alchemist_flame_bonus)</f>
        <v>17358.8</v>
      </c>
      <c r="AC31" s="69" t="n">
        <f aca="false">TblConstr[[#This Row],[Tot Farm]]*farm_food + TblConstr[[#This Row],[Tot Doc]]*dock_food</f>
        <v>600</v>
      </c>
      <c r="AD31" s="69" t="n">
        <f aca="false">TblConstr[[#This Row],[Tot Ly]]*ly_lumber + TblConstr[[#This Row],[Tot Hav]]*fh_lumber</f>
        <v>1000</v>
      </c>
      <c r="AE31" s="69" t="n">
        <f aca="false">OFFSET(TblConstr[[#This Row],[Tot Tow]],1,0)*(tower_mana + tech_4_5*TblTech[[#This Row],[4-5]]) + OFFSET(TblConstr[[#This Row],[Tot WG]],1,0)*wg_mana_prod</f>
        <v>450</v>
      </c>
      <c r="AF31" s="69" t="n">
        <f aca="false">OFFSET(TblConstr[[#This Row],[Tot OM]],1,0)*om_ore+IF(race="Dwarf",ROUNDDOWN(TblMili[[#This Row],[Unit 2]]*0.4,0),)</f>
        <v>0</v>
      </c>
      <c r="AG31" s="69" t="n">
        <f aca="false">OFFSET(TblConstr[[#This Row],[Tot DM]],1,0)*dm_gems</f>
        <v>0</v>
      </c>
      <c r="AH31" s="132"/>
      <c r="AI31" s="149" t="n">
        <f aca="false">MIN(race_platinum_bonus + IF(TblMagic[[#This Row],[Active Alch Frost]]&gt;0,alch_frost_bonus,IF(Magic!AD31&gt;0,midas_bonus)) + TblImps[[#This Row],[Science]] - TblProd[[#This Row],[Guard]]*(0.02 + tech_5_7*TblTech[[#This Row],[5-7]]) + tech_1_5*TblTech[[#This Row],[1-5]] + tech_4_4*TblTech[[#This Row],[4-4]], 0.5)</f>
        <v>0.1</v>
      </c>
      <c r="AJ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1132.325</v>
      </c>
      <c r="AK31" s="149" t="n">
        <f aca="false">race_lumber_bonus+ IF(TblMagic[[#This Row],[Active Gaia''s Blessing]]&gt;0,gaias_blessing_lumber)+ tech_1_3*TblTech[[#This Row],[1-3]] + tech_1_6*TblTech[[#This Row],[1-6]] + tech_3_3*TblTech[[#This Row],[3-3]]</f>
        <v>-0.1</v>
      </c>
      <c r="AL31" s="149" t="n">
        <f aca="false">race_mana_bonus+ 0 + TblImps[[#This Row],[Towers]] + tech_1_2*TblTech[[#This Row],[1-2]] + tech_3_4*TblTech[[#This Row],[3-4]]</f>
        <v>2264.65</v>
      </c>
      <c r="AM31" s="149" t="n">
        <f aca="false">race_ore_bonus + IF(TblMagic[[#This Row],[Active Miner''s Sight]]&gt;0,miners_sight_bonus,IF(TblMagic[[#This Row],[Active Mining Strength]]&gt;0,mining_strength_bonus)) +  tech_1_6*TblTech[[#This Row],[1-6]]</f>
        <v>0</v>
      </c>
      <c r="AN31" s="149" t="n">
        <f aca="false">race_gem_bonus+ tech_3_2*TblTech[[#This Row],[3-2]] + tech_4_3*TblTech[[#This Row],[4-3]] + tech_6_2*TblTech[[#This Row],[6-2]]</f>
        <v>0.15</v>
      </c>
      <c r="AO31" s="132"/>
      <c r="AP31" s="69" t="n">
        <f aca="false">TblProd[[#This Row],[Food]]*food_decay * (1 + tech_2_1*TblTech[[#This Row],[2-1]] + tech_2_8*TblTech[[#This Row],[2-8]])</f>
        <v>312.79</v>
      </c>
      <c r="AQ31" s="69" t="n">
        <f aca="false">(1+race_food_consumption)*TblPop[[#This Row],[Total]]*food_per_person*(1+tech_1_10*TblTech[[#This Row],[1-10]]+tech_7_5*TblTech[[#This Row],[7-5]])</f>
        <v>998.5</v>
      </c>
      <c r="AR31" s="69" t="n">
        <f aca="false">TblProd[[#This Row],[Lumber]]*lumber_rot * (1 + tech_2_1*TblTech[[#This Row],[2-1]] + tech_2_8*TblTech[[#This Row],[2-8]] + tech_5_2*TblTech[[#This Row],[5-2]])</f>
        <v>111.19</v>
      </c>
      <c r="AS31" s="69" t="n">
        <f aca="false">TblProd[[#This Row],[Mana]]*mana_drain * (1 + tech_2_1*TblTech[[#This Row],[2-1]] + tech_2_8*TblTech[[#This Row],[2-8]])</f>
        <v>-123.65</v>
      </c>
      <c r="AT31" s="146"/>
      <c r="AU31" s="69" t="n">
        <f aca="false">TblExplore[[#This Row],[Platinum (2)]]+TblConstr[[#This Row],[Total Plat Cost]]+TblMili[[#This Row],[Plat Cost]]+TblRezone[[#This Row],[Platinum cost]]+TblImps[[#This Row],[P1]]-TblProd[[#This Row],[Bank Plat]]</f>
        <v>0</v>
      </c>
      <c r="AV31" s="69" t="n">
        <f aca="false">TblConstr[[#This Row],[Total Lum Cost]]+TblImps[[#This Row],[L1]]-TblProd[[#This Row],[Bank Lumber]] + Military!$CL$25*TblMili[[#This Row],[Sec. rec. Cost]]</f>
        <v>0</v>
      </c>
      <c r="AW31" s="69" t="n">
        <f aca="false">TblMagic[[#This Row],[Mana cost]] + Military!$CL$26*TblMili[[#This Row],[Sec. rec. Cost]]</f>
        <v>747.5</v>
      </c>
      <c r="AX31" s="69" t="n">
        <f aca="false">Military!$CL$24*TblMili[[#This Row],[Sec. rec. Cost]]+TblImps[[#This Row],[O1]]-TblProd[[#This Row],[Bank Ore]]</f>
        <v>0</v>
      </c>
      <c r="AY31" s="69" t="n">
        <f aca="false">TblImps[[#This Row],[G1]]-TblProd[[#This Row],[Bank Gems]]</f>
        <v>0</v>
      </c>
      <c r="AZ31" s="132"/>
      <c r="BA31" s="33" t="n">
        <f aca="false">IF(TblProd[[#This Row],[Set Guard]]&lt;&gt;"",TblProd[[#This Row],[Set Guard]],OFFSET(TblProd[[#This Row],[Guard]],-1,0))</f>
        <v>0</v>
      </c>
      <c r="BB31" s="145"/>
      <c r="BC31" s="151" t="n">
        <f aca="false">TblProd[[#This Row],[Hour]]</f>
        <v>28</v>
      </c>
      <c r="BD31" s="152" t="n">
        <f aca="false">-TblProd[[#This Row],[Bank Lumber]] / 2 + -TblProd[[#This Row],[Bank Gems]] * 2 + -TblProd[[#This Row],[Bank Ore]] / 2</f>
        <v>0</v>
      </c>
      <c r="BE31" s="152"/>
      <c r="BF31" s="152"/>
      <c r="BG31" s="152"/>
      <c r="BH31" s="153" t="n">
        <f aca="false">TblProd[[#This Row],[Time]]</f>
        <v>45430.875</v>
      </c>
      <c r="BI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J31" s="69" t="n">
        <f aca="false">TblProd[[#This Row],[Platinum]]</f>
        <v>101920</v>
      </c>
      <c r="BK31" s="69" t="n">
        <f aca="false">TblProd[[#This Row],[Food]]</f>
        <v>31279</v>
      </c>
      <c r="BL31" s="69" t="n">
        <f aca="false">TblProd[[#This Row],[Lumber]]</f>
        <v>11119</v>
      </c>
      <c r="BM31" s="69" t="n">
        <f aca="false">TblProd[[#This Row],[Mana]]</f>
        <v>-6182.5</v>
      </c>
      <c r="BN31" s="69" t="n">
        <f aca="false">TblProd[[#This Row],[Ore]]</f>
        <v>-357</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3979</v>
      </c>
      <c r="G32" s="69"/>
      <c r="H32" s="69" t="e">
        <f aca="false">TblMili[[#This Row],[Networth (2)]]</f>
        <v>#VALUE!</v>
      </c>
      <c r="I32" s="69" t="n">
        <f aca="false">OFFSET(TblProd[[#This Row],[Platinum]],-1,0)+OFFSET(TblProd[[#This Row],[Plat/hr]],-1,0) - TblProd[[#This Row],[Expenses Platinum]] + IF(TblProd[[#This Row],[Plat Bonus]],TblPop[[#This Row],[Peasants]]*4) + SUM(TblConstr[[#This Row],[Dest Hom]:[Dest Doc]])*TblConstr[[#This Row],[CPA Platinum -DB]]*tech_3_3_2*TblTech[[#This Row],[3-3]]</f>
        <v>40162</v>
      </c>
      <c r="J32" s="69" t="n">
        <f aca="false">OFFSET(TblProd[[#This Row],[Food]],-1,0)+OFFSET(TblProd[[#This Row],[Food/hr]],-1,0)+ROUNDUP((TblConstr[[#This Row],[Farms]]*80+TblConstr[[#This Row],[Docks]]*35)*(1+OFFSET(TblProd[[#This Row],[Bonus Food/hr]],-1,0)),0)</f>
        <v>709963</v>
      </c>
      <c r="K32" s="69" t="n">
        <f aca="false">OFFSET(TblProd[[#This Row],[Lumber]],-1,0)+OFFSET(TblProd[[#This Row],[Lumber/hr]],-1,0) - TblProd[[#This Row],[Expenses Lumber]] + SUM(TblConstr[[#This Row],[Dest Hom]:[Dest Doc]])*TblConstr[[#This Row],[CPA Lumber -DB]]*tech_3_3_2*TblTech[[#This Row],[3-3]]</f>
        <v>11908</v>
      </c>
      <c r="L32" s="69" t="n">
        <f aca="false">OFFSET(TblProd[[#This Row],[Mana]],-1,0)+OFFSET(TblProd[[#This Row],[Mana/hr]],-1,0)- TblProd[[#This Row],[Expenses Mana]]</f>
        <v>1013483.5</v>
      </c>
      <c r="M32" s="69" t="n">
        <f aca="false">OFFSET(TblProd[[#This Row],[Ore]],-1,0)+OFFSET(TblProd[[#This Row],[Ore/hr]],-1,0) -TblProd[[#This Row],[Expenses Ore]]</f>
        <v>-357</v>
      </c>
      <c r="N32" s="69" t="n">
        <f aca="false">OFFSET(TblProd[[#This Row],[Gems]],-1,0)+OFFSET(TblProd[[#This Row],[Gems/hr]],-1,0) - TblProd[[#This Row],[Expenses Gems]]</f>
        <v>-1000</v>
      </c>
      <c r="O32" s="69" t="n">
        <f aca="false">OFFSET(TblProd[[#This Row],[Boats]],-1,0)+OFFSET(TblProd[[#This Row],[Boats/hr]],-1,0)</f>
        <v>1.25</v>
      </c>
      <c r="P32" s="69" t="n">
        <f aca="false">OFFSET(TblProd[[#This Row],[Prestige]],-1,0)</f>
        <v>250</v>
      </c>
      <c r="Q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2" s="69" t="n">
        <f aca="false">MAX(3750,_xlfn.CEILING.MATH(TblProd[[#This Row],[Land]]*2.5+OFFSET(TblTech[[#This Row],[Sum of tech]],-1,0)*150))</f>
        <v>3750</v>
      </c>
      <c r="S32" s="132"/>
      <c r="T32" s="69" t="n">
        <f aca="false">ROUNDDOWN(TblProd[[#This Row],[Raw Plat/hr]]*(1+TblProd[[#This Row],[Bonus Plat/hr]]),0)</f>
        <v>20558</v>
      </c>
      <c r="U32" s="69" t="n">
        <f aca="false">ROUND(TblProd[[#This Row],[Raw Food/hr]]*(1+TblProd[[#This Row],[Bonus Food/hr]])-TblProd[[#This Row],[Food decay]]-TblProd[[#This Row],[Food eaten]],0)</f>
        <v>-7469</v>
      </c>
      <c r="V32" s="69" t="n">
        <f aca="false">ROUND(TblProd[[#This Row],[Raw Lumber/hr]]*(1+TblProd[[#This Row],[Bonus Lumber/hr]])-TblProd[[#This Row],[Lumber rot]],0)</f>
        <v>781</v>
      </c>
      <c r="W32" s="69" t="n">
        <f aca="false">ROUND(TblProd[[#This Row],[Raw Mana/hr]]*(1+TblProd[[#This Row],[Bonus Mana/hr]])-TblProd[[#This Row],[Mana drain]],0)</f>
        <v>-19820</v>
      </c>
      <c r="X32" s="69" t="n">
        <f aca="false">ROUNDDOWN(TblProd[[#This Row],[Raw Ore/hr]]*(1+TblProd[[#This Row],[Bonux Ore/hr]]),0)</f>
        <v>0</v>
      </c>
      <c r="Y32" s="69" t="n">
        <f aca="false">ROUNDDOWN(TblProd[[#This Row],[Raw Gems/hr]]*(1+TblProd[[#This Row],[Bonus Gems/hr]]),0)</f>
        <v>0</v>
      </c>
      <c r="Z32" s="148" t="n">
        <f aca="false">OFFSET(TblConstr[[#This Row],[Tot Doc]],1,0)*dock_boats_hr * (1 + tech_4_1*TblTech[[#This Row],[4-1]])</f>
        <v>0.25</v>
      </c>
      <c r="AA32" s="146"/>
      <c r="AB32" s="69" t="n">
        <f aca="false">TblPop[[#This Row],[Peasants]]*tax*TblPop[[#This Row],[Employment]] + (Construction!AZ33+Construction!BX33)*(alch_plat+(Magic!AM32&gt;0)*alchemist_flame_bonus)</f>
        <v>18689.3</v>
      </c>
      <c r="AC32" s="69" t="n">
        <f aca="false">TblConstr[[#This Row],[Tot Farm]]*farm_food + TblConstr[[#This Row],[Tot Doc]]*dock_food</f>
        <v>600</v>
      </c>
      <c r="AD32" s="69" t="n">
        <f aca="false">TblConstr[[#This Row],[Tot Ly]]*ly_lumber + TblConstr[[#This Row],[Tot Hav]]*fh_lumber</f>
        <v>1000</v>
      </c>
      <c r="AE32" s="69" t="n">
        <f aca="false">OFFSET(TblConstr[[#This Row],[Tot Tow]],1,0)*(tower_mana + tech_4_5*TblTech[[#This Row],[4-5]]) + OFFSET(TblConstr[[#This Row],[Tot WG]],1,0)*wg_mana_prod</f>
        <v>450</v>
      </c>
      <c r="AF32" s="69" t="n">
        <f aca="false">OFFSET(TblConstr[[#This Row],[Tot OM]],1,0)*om_ore+IF(race="Dwarf",ROUNDDOWN(TblMili[[#This Row],[Unit 2]]*0.4,0),)</f>
        <v>0</v>
      </c>
      <c r="AG32" s="69" t="n">
        <f aca="false">OFFSET(TblConstr[[#This Row],[Tot DM]],1,0)*dm_gems</f>
        <v>0</v>
      </c>
      <c r="AH32" s="132"/>
      <c r="AI32" s="149" t="n">
        <f aca="false">MIN(race_platinum_bonus + IF(TblMagic[[#This Row],[Active Alch Frost]]&gt;0,alch_frost_bonus,IF(Magic!AD32&gt;0,midas_bonus)) + TblImps[[#This Row],[Science]] - TblProd[[#This Row],[Guard]]*(0.02 + tech_5_7*TblTech[[#This Row],[5-7]]) + tech_1_5*TblTech[[#This Row],[1-5]] + tech_4_4*TblTech[[#This Row],[4-4]], 0.5)</f>
        <v>0.1</v>
      </c>
      <c r="AJ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2" s="149" t="n">
        <f aca="false">race_lumber_bonus+ IF(TblMagic[[#This Row],[Active Gaia''s Blessing]]&gt;0,gaias_blessing_lumber)+ tech_1_3*TblTech[[#This Row],[1-3]] + tech_1_6*TblTech[[#This Row],[1-6]] + tech_3_3*TblTech[[#This Row],[3-3]]</f>
        <v>-0.1</v>
      </c>
      <c r="AL32" s="149" t="n">
        <f aca="false">race_mana_bonus+ 0 + TblImps[[#This Row],[Towers]] + tech_1_2*TblTech[[#This Row],[1-2]] + tech_3_4*TblTech[[#This Row],[3-4]]</f>
        <v>0</v>
      </c>
      <c r="AM32" s="149" t="n">
        <f aca="false">race_ore_bonus + IF(TblMagic[[#This Row],[Active Miner''s Sight]]&gt;0,miners_sight_bonus,IF(TblMagic[[#This Row],[Active Mining Strength]]&gt;0,mining_strength_bonus)) +  tech_1_6*TblTech[[#This Row],[1-6]]</f>
        <v>0</v>
      </c>
      <c r="AN32" s="149" t="n">
        <f aca="false">race_gem_bonus+ tech_3_2*TblTech[[#This Row],[3-2]] + tech_4_3*TblTech[[#This Row],[4-3]] + tech_6_2*TblTech[[#This Row],[6-2]]</f>
        <v>0.15</v>
      </c>
      <c r="AO32" s="132"/>
      <c r="AP32" s="69" t="n">
        <f aca="false">TblProd[[#This Row],[Food]]*food_decay * (1 + tech_2_1*TblTech[[#This Row],[2-1]] + tech_2_8*TblTech[[#This Row],[2-8]])</f>
        <v>7099.63</v>
      </c>
      <c r="AQ32" s="69" t="n">
        <f aca="false">(1+race_food_consumption)*TblPop[[#This Row],[Total]]*food_per_person*(1+tech_1_10*TblTech[[#This Row],[1-10]]+tech_7_5*TblTech[[#This Row],[7-5]])</f>
        <v>984.5</v>
      </c>
      <c r="AR32" s="69" t="n">
        <f aca="false">TblProd[[#This Row],[Lumber]]*lumber_rot * (1 + tech_2_1*TblTech[[#This Row],[2-1]] + tech_2_8*TblTech[[#This Row],[2-8]] + tech_5_2*TblTech[[#This Row],[5-2]])</f>
        <v>119.08</v>
      </c>
      <c r="AS32" s="69" t="n">
        <f aca="false">TblProd[[#This Row],[Mana]]*mana_drain * (1 + tech_2_1*TblTech[[#This Row],[2-1]] + tech_2_8*TblTech[[#This Row],[2-8]])</f>
        <v>20269.67</v>
      </c>
      <c r="AT32" s="146"/>
      <c r="AU32" s="69" t="n">
        <f aca="false">TblExplore[[#This Row],[Platinum (2)]]+TblConstr[[#This Row],[Total Plat Cost]]+TblMili[[#This Row],[Plat Cost]]+TblRezone[[#This Row],[Platinum cost]]+TblImps[[#This Row],[P1]]-TblProd[[#This Row],[Bank Plat]]</f>
        <v>80852</v>
      </c>
      <c r="AV32" s="69" t="n">
        <f aca="false">TblConstr[[#This Row],[Total Lum Cost]]+TblImps[[#This Row],[L1]]-TblProd[[#This Row],[Bank Lumber]] + Military!$CL$25*TblMili[[#This Row],[Sec. rec. Cost]]</f>
        <v>0</v>
      </c>
      <c r="AW32" s="69" t="n">
        <f aca="false">TblMagic[[#This Row],[Mana cost]] + Military!$CL$26*TblMili[[#This Row],[Sec. rec. Cost]]</f>
        <v>0</v>
      </c>
      <c r="AX32" s="69" t="n">
        <f aca="false">Military!$CL$24*TblMili[[#This Row],[Sec. rec. Cost]]+TblImps[[#This Row],[O1]]-TblProd[[#This Row],[Bank Ore]]</f>
        <v>0</v>
      </c>
      <c r="AY32" s="69" t="n">
        <f aca="false">TblImps[[#This Row],[G1]]-TblProd[[#This Row],[Bank Gems]]</f>
        <v>0</v>
      </c>
      <c r="AZ32" s="132"/>
      <c r="BA32" s="33" t="n">
        <f aca="false">IF(TblProd[[#This Row],[Set Guard]]&lt;&gt;"",TblProd[[#This Row],[Set Guard]],OFFSET(TblProd[[#This Row],[Guard]],-1,0))</f>
        <v>0</v>
      </c>
      <c r="BB32" s="145"/>
      <c r="BC32" s="151" t="n">
        <f aca="false">TblProd[[#This Row],[Hour]]</f>
        <v>29</v>
      </c>
      <c r="BD32" s="152" t="n">
        <f aca="false">-TblProd[[#This Row],[Bank Lumber]] / 2 + -TblProd[[#This Row],[Bank Gems]] * 2 + -TblProd[[#This Row],[Bank Ore]] / 2</f>
        <v>0</v>
      </c>
      <c r="BE32" s="152"/>
      <c r="BF32" s="152"/>
      <c r="BG32" s="152"/>
      <c r="BH32" s="153" t="n">
        <f aca="false">TblProd[[#This Row],[Time]]</f>
        <v>45430.9166666667</v>
      </c>
      <c r="BI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J32" s="69" t="n">
        <f aca="false">TblProd[[#This Row],[Platinum]]</f>
        <v>40162</v>
      </c>
      <c r="BK32" s="69" t="n">
        <f aca="false">TblProd[[#This Row],[Food]]</f>
        <v>709963</v>
      </c>
      <c r="BL32" s="69" t="n">
        <f aca="false">TblProd[[#This Row],[Lumber]]</f>
        <v>11908</v>
      </c>
      <c r="BM32" s="69" t="n">
        <f aca="false">TblProd[[#This Row],[Mana]]</f>
        <v>1013483.5</v>
      </c>
      <c r="BN32" s="69" t="n">
        <f aca="false">TblProd[[#This Row],[Ore]]</f>
        <v>-357</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4207</v>
      </c>
      <c r="G33" s="69"/>
      <c r="H33" s="69" t="e">
        <f aca="false">TblMili[[#This Row],[Networth (2)]]</f>
        <v>#VALUE!</v>
      </c>
      <c r="I33" s="69" t="n">
        <f aca="false">OFFSET(TblProd[[#This Row],[Platinum]],-1,0)+OFFSET(TblProd[[#This Row],[Plat/hr]],-1,0) - TblProd[[#This Row],[Expenses Platinum]] + IF(TblProd[[#This Row],[Plat Bonus]],TblPop[[#This Row],[Peasants]]*4) + SUM(TblConstr[[#This Row],[Dest Hom]:[Dest Doc]])*TblConstr[[#This Row],[CPA Platinum -DB]]*tech_3_3_2*TblTech[[#This Row],[3-3]]</f>
        <v>21126</v>
      </c>
      <c r="J33" s="69" t="n">
        <f aca="false">OFFSET(TblProd[[#This Row],[Food]],-1,0)+OFFSET(TblProd[[#This Row],[Food/hr]],-1,0)+ROUNDUP((TblConstr[[#This Row],[Farms]]*80+TblConstr[[#This Row],[Docks]]*35)*(1+OFFSET(TblProd[[#This Row],[Bonus Food/hr]],-1,0)),0)</f>
        <v>702576</v>
      </c>
      <c r="K33" s="69" t="n">
        <f aca="false">OFFSET(TblProd[[#This Row],[Lumber]],-1,0)+OFFSET(TblProd[[#This Row],[Lumber/hr]],-1,0) - TblProd[[#This Row],[Expenses Lumber]] + SUM(TblConstr[[#This Row],[Dest Hom]:[Dest Doc]])*TblConstr[[#This Row],[CPA Lumber -DB]]*tech_3_3_2*TblTech[[#This Row],[3-3]]</f>
        <v>8489</v>
      </c>
      <c r="L33" s="69" t="n">
        <f aca="false">OFFSET(TblProd[[#This Row],[Mana]],-1,0)+OFFSET(TblProd[[#This Row],[Mana/hr]],-1,0)- TblProd[[#This Row],[Expenses Mana]]</f>
        <v>993663.5</v>
      </c>
      <c r="M33" s="69" t="n">
        <f aca="false">OFFSET(TblProd[[#This Row],[Ore]],-1,0)+OFFSET(TblProd[[#This Row],[Ore/hr]],-1,0) -TblProd[[#This Row],[Expenses Ore]]</f>
        <v>-357</v>
      </c>
      <c r="N33" s="69" t="n">
        <f aca="false">OFFSET(TblProd[[#This Row],[Gems]],-1,0)+OFFSET(TblProd[[#This Row],[Gems/hr]],-1,0) - TblProd[[#This Row],[Expenses Gems]]</f>
        <v>-1000</v>
      </c>
      <c r="O33" s="69" t="n">
        <f aca="false">OFFSET(TblProd[[#This Row],[Boats]],-1,0)+OFFSET(TblProd[[#This Row],[Boats/hr]],-1,0)</f>
        <v>1.5</v>
      </c>
      <c r="P33" s="69" t="n">
        <f aca="false">OFFSET(TblProd[[#This Row],[Prestige]],-1,0)</f>
        <v>250</v>
      </c>
      <c r="Q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3" s="69" t="n">
        <f aca="false">MAX(3750,_xlfn.CEILING.MATH(TblProd[[#This Row],[Land]]*2.5+OFFSET(TblTech[[#This Row],[Sum of tech]],-1,0)*150))</f>
        <v>3750</v>
      </c>
      <c r="S33" s="132"/>
      <c r="T33" s="69" t="n">
        <f aca="false">ROUNDDOWN(TblProd[[#This Row],[Raw Plat/hr]]*(1+TblProd[[#This Row],[Bonus Plat/hr]]),0)</f>
        <v>21235</v>
      </c>
      <c r="U33" s="69" t="n">
        <f aca="false">ROUND(TblProd[[#This Row],[Raw Food/hr]]*(1+TblProd[[#This Row],[Bonus Food/hr]])-TblProd[[#This Row],[Food decay]]-TblProd[[#This Row],[Food eaten]],0)</f>
        <v>-7369</v>
      </c>
      <c r="V33" s="69" t="n">
        <f aca="false">ROUND(TblProd[[#This Row],[Raw Lumber/hr]]*(1+TblProd[[#This Row],[Bonus Lumber/hr]])-TblProd[[#This Row],[Lumber rot]],0)</f>
        <v>950</v>
      </c>
      <c r="W33" s="69" t="n">
        <f aca="false">ROUND(TblProd[[#This Row],[Raw Mana/hr]]*(1+TblProd[[#This Row],[Bonus Mana/hr]])-TblProd[[#This Row],[Mana drain]],0)</f>
        <v>-19423</v>
      </c>
      <c r="X33" s="69" t="n">
        <f aca="false">ROUNDDOWN(TblProd[[#This Row],[Raw Ore/hr]]*(1+TblProd[[#This Row],[Bonux Ore/hr]]),0)</f>
        <v>0</v>
      </c>
      <c r="Y33" s="69" t="n">
        <f aca="false">ROUNDDOWN(TblProd[[#This Row],[Raw Gems/hr]]*(1+TblProd[[#This Row],[Bonus Gems/hr]]),0)</f>
        <v>0</v>
      </c>
      <c r="Z33" s="148" t="n">
        <f aca="false">OFFSET(TblConstr[[#This Row],[Tot Doc]],1,0)*dock_boats_hr * (1 + tech_4_1*TblTech[[#This Row],[4-1]])</f>
        <v>0.25</v>
      </c>
      <c r="AA33" s="146"/>
      <c r="AB33" s="69" t="n">
        <f aca="false">TblPop[[#This Row],[Peasants]]*tax*TblPop[[#This Row],[Employment]] + (Construction!AZ34+Construction!BX34)*(alch_plat+(Magic!AM33&gt;0)*alchemist_flame_bonus)</f>
        <v>19304.9</v>
      </c>
      <c r="AC33" s="69" t="n">
        <f aca="false">TblConstr[[#This Row],[Tot Farm]]*farm_food + TblConstr[[#This Row],[Tot Doc]]*dock_food</f>
        <v>680</v>
      </c>
      <c r="AD33" s="69" t="n">
        <f aca="false">TblConstr[[#This Row],[Tot Ly]]*ly_lumber + TblConstr[[#This Row],[Tot Hav]]*fh_lumber</f>
        <v>1150</v>
      </c>
      <c r="AE33" s="69" t="n">
        <f aca="false">OFFSET(TblConstr[[#This Row],[Tot Tow]],1,0)*(tower_mana + tech_4_5*TblTech[[#This Row],[4-5]]) + OFFSET(TblConstr[[#This Row],[Tot WG]],1,0)*wg_mana_prod</f>
        <v>450</v>
      </c>
      <c r="AF33" s="69" t="n">
        <f aca="false">OFFSET(TblConstr[[#This Row],[Tot OM]],1,0)*om_ore+IF(race="Dwarf",ROUNDDOWN(TblMili[[#This Row],[Unit 2]]*0.4,0),)</f>
        <v>0</v>
      </c>
      <c r="AG33" s="69" t="n">
        <f aca="false">OFFSET(TblConstr[[#This Row],[Tot DM]],1,0)*dm_gems</f>
        <v>0</v>
      </c>
      <c r="AH33" s="132"/>
      <c r="AI33" s="149" t="n">
        <f aca="false">MIN(race_platinum_bonus + IF(TblMagic[[#This Row],[Active Alch Frost]]&gt;0,alch_frost_bonus,IF(Magic!AD33&gt;0,midas_bonus)) + TblImps[[#This Row],[Science]] - TblProd[[#This Row],[Guard]]*(0.02 + tech_5_7*TblTech[[#This Row],[5-7]]) + tech_1_5*TblTech[[#This Row],[1-5]] + tech_4_4*TblTech[[#This Row],[4-4]], 0.5)</f>
        <v>0.1</v>
      </c>
      <c r="AJ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3" s="149" t="n">
        <f aca="false">race_lumber_bonus+ IF(TblMagic[[#This Row],[Active Gaia''s Blessing]]&gt;0,gaias_blessing_lumber)+ tech_1_3*TblTech[[#This Row],[1-3]] + tech_1_6*TblTech[[#This Row],[1-6]] + tech_3_3*TblTech[[#This Row],[3-3]]</f>
        <v>-0.1</v>
      </c>
      <c r="AL33" s="149" t="n">
        <f aca="false">race_mana_bonus+ 0 + TblImps[[#This Row],[Towers]] + tech_1_2*TblTech[[#This Row],[1-2]] + tech_3_4*TblTech[[#This Row],[3-4]]</f>
        <v>0</v>
      </c>
      <c r="AM33" s="149" t="n">
        <f aca="false">race_ore_bonus + IF(TblMagic[[#This Row],[Active Miner''s Sight]]&gt;0,miners_sight_bonus,IF(TblMagic[[#This Row],[Active Mining Strength]]&gt;0,mining_strength_bonus)) +  tech_1_6*TblTech[[#This Row],[1-6]]</f>
        <v>0</v>
      </c>
      <c r="AN33" s="149" t="n">
        <f aca="false">race_gem_bonus+ tech_3_2*TblTech[[#This Row],[3-2]] + tech_4_3*TblTech[[#This Row],[4-3]] + tech_6_2*TblTech[[#This Row],[6-2]]</f>
        <v>0.15</v>
      </c>
      <c r="AO33" s="132"/>
      <c r="AP33" s="69" t="n">
        <f aca="false">TblProd[[#This Row],[Food]]*food_decay * (1 + tech_2_1*TblTech[[#This Row],[2-1]] + tech_2_8*TblTech[[#This Row],[2-8]])</f>
        <v>7025.76</v>
      </c>
      <c r="AQ33" s="69" t="n">
        <f aca="false">(1+race_food_consumption)*TblPop[[#This Row],[Total]]*food_per_person*(1+tech_1_10*TblTech[[#This Row],[1-10]]+tech_7_5*TblTech[[#This Row],[7-5]])</f>
        <v>1040.25</v>
      </c>
      <c r="AR33" s="69" t="n">
        <f aca="false">TblProd[[#This Row],[Lumber]]*lumber_rot * (1 + tech_2_1*TblTech[[#This Row],[2-1]] + tech_2_8*TblTech[[#This Row],[2-8]] + tech_5_2*TblTech[[#This Row],[5-2]])</f>
        <v>84.89</v>
      </c>
      <c r="AS33" s="69" t="n">
        <f aca="false">TblProd[[#This Row],[Mana]]*mana_drain * (1 + tech_2_1*TblTech[[#This Row],[2-1]] + tech_2_8*TblTech[[#This Row],[2-8]])</f>
        <v>19873.27</v>
      </c>
      <c r="AT33" s="146"/>
      <c r="AU33" s="69" t="n">
        <f aca="false">TblExplore[[#This Row],[Platinum (2)]]+TblConstr[[#This Row],[Total Plat Cost]]+TblMili[[#This Row],[Plat Cost]]+TblRezone[[#This Row],[Platinum cost]]+TblImps[[#This Row],[P1]]-TblProd[[#This Row],[Bank Plat]]</f>
        <v>39594</v>
      </c>
      <c r="AV33" s="69" t="n">
        <f aca="false">TblConstr[[#This Row],[Total Lum Cost]]+TblImps[[#This Row],[L1]]-TblProd[[#This Row],[Bank Lumber]] + Military!$CL$25*TblMili[[#This Row],[Sec. rec. Cost]]</f>
        <v>4200</v>
      </c>
      <c r="AW33" s="69" t="n">
        <f aca="false">TblMagic[[#This Row],[Mana cost]] + Military!$CL$26*TblMili[[#This Row],[Sec. rec. Cost]]</f>
        <v>0</v>
      </c>
      <c r="AX33" s="69" t="n">
        <f aca="false">Military!$CL$24*TblMili[[#This Row],[Sec. rec. Cost]]+TblImps[[#This Row],[O1]]-TblProd[[#This Row],[Bank Ore]]</f>
        <v>0</v>
      </c>
      <c r="AY33" s="69" t="n">
        <f aca="false">TblImps[[#This Row],[G1]]-TblProd[[#This Row],[Bank Gems]]</f>
        <v>0</v>
      </c>
      <c r="AZ33" s="132"/>
      <c r="BA33" s="33" t="n">
        <f aca="false">IF(TblProd[[#This Row],[Set Guard]]&lt;&gt;"",TblProd[[#This Row],[Set Guard]],OFFSET(TblProd[[#This Row],[Guard]],-1,0))</f>
        <v>0</v>
      </c>
      <c r="BB33" s="145"/>
      <c r="BC33" s="151" t="n">
        <f aca="false">TblProd[[#This Row],[Hour]]</f>
        <v>30</v>
      </c>
      <c r="BD33" s="152" t="n">
        <f aca="false">-TblProd[[#This Row],[Bank Lumber]] / 2 + -TblProd[[#This Row],[Bank Gems]] * 2 + -TblProd[[#This Row],[Bank Ore]] / 2</f>
        <v>0</v>
      </c>
      <c r="BE33" s="152"/>
      <c r="BF33" s="152"/>
      <c r="BG33" s="152"/>
      <c r="BH33" s="153" t="n">
        <f aca="false">TblProd[[#This Row],[Time]]</f>
        <v>45430.9583333333</v>
      </c>
      <c r="BI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J33" s="69" t="n">
        <f aca="false">TblProd[[#This Row],[Platinum]]</f>
        <v>21126</v>
      </c>
      <c r="BK33" s="69" t="n">
        <f aca="false">TblProd[[#This Row],[Food]]</f>
        <v>702576</v>
      </c>
      <c r="BL33" s="69" t="n">
        <f aca="false">TblProd[[#This Row],[Lumber]]</f>
        <v>8489</v>
      </c>
      <c r="BM33" s="69" t="n">
        <f aca="false">TblProd[[#This Row],[Mana]]</f>
        <v>993663.5</v>
      </c>
      <c r="BN33" s="69" t="n">
        <f aca="false">TblProd[[#This Row],[Ore]]</f>
        <v>-357</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4445</v>
      </c>
      <c r="G34" s="69"/>
      <c r="H34" s="69" t="e">
        <f aca="false">TblMili[[#This Row],[Networth (2)]]</f>
        <v>#VALUE!</v>
      </c>
      <c r="I34" s="69" t="n">
        <f aca="false">OFFSET(TblProd[[#This Row],[Platinum]],-1,0)+OFFSET(TblProd[[#This Row],[Plat/hr]],-1,0) - TblProd[[#This Row],[Expenses Platinum]] + IF(TblProd[[#This Row],[Plat Bonus]],TblPop[[#This Row],[Peasants]]*4) + SUM(TblConstr[[#This Row],[Dest Hom]:[Dest Doc]])*TblConstr[[#This Row],[CPA Platinum -DB]]*tech_3_3_2*TblTech[[#This Row],[3-3]]</f>
        <v>24436</v>
      </c>
      <c r="J34" s="69" t="n">
        <f aca="false">OFFSET(TblProd[[#This Row],[Food]],-1,0)+OFFSET(TblProd[[#This Row],[Food/hr]],-1,0)+ROUNDUP((TblConstr[[#This Row],[Farms]]*80+TblConstr[[#This Row],[Docks]]*35)*(1+OFFSET(TblProd[[#This Row],[Bonus Food/hr]],-1,0)),0)</f>
        <v>695207</v>
      </c>
      <c r="K34" s="69" t="n">
        <f aca="false">OFFSET(TblProd[[#This Row],[Lumber]],-1,0)+OFFSET(TblProd[[#This Row],[Lumber/hr]],-1,0) - TblProd[[#This Row],[Expenses Lumber]] + SUM(TblConstr[[#This Row],[Dest Hom]:[Dest Doc]])*TblConstr[[#This Row],[CPA Lumber -DB]]*tech_3_3_2*TblTech[[#This Row],[3-3]]</f>
        <v>8757</v>
      </c>
      <c r="L34" s="69" t="n">
        <f aca="false">OFFSET(TblProd[[#This Row],[Mana]],-1,0)+OFFSET(TblProd[[#This Row],[Mana/hr]],-1,0)- TblProd[[#This Row],[Expenses Mana]]</f>
        <v>974240.5</v>
      </c>
      <c r="M34" s="69" t="n">
        <f aca="false">OFFSET(TblProd[[#This Row],[Ore]],-1,0)+OFFSET(TblProd[[#This Row],[Ore/hr]],-1,0) -TblProd[[#This Row],[Expenses Ore]]</f>
        <v>-357</v>
      </c>
      <c r="N34" s="69" t="n">
        <f aca="false">OFFSET(TblProd[[#This Row],[Gems]],-1,0)+OFFSET(TblProd[[#This Row],[Gems/hr]],-1,0) - TblProd[[#This Row],[Expenses Gems]]</f>
        <v>-1000</v>
      </c>
      <c r="O34" s="69" t="n">
        <f aca="false">OFFSET(TblProd[[#This Row],[Boats]],-1,0)+OFFSET(TblProd[[#This Row],[Boats/hr]],-1,0)</f>
        <v>1.75</v>
      </c>
      <c r="P34" s="69" t="n">
        <f aca="false">OFFSET(TblProd[[#This Row],[Prestige]],-1,0)</f>
        <v>250</v>
      </c>
      <c r="Q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4" s="69" t="n">
        <f aca="false">MAX(3750,_xlfn.CEILING.MATH(TblProd[[#This Row],[Land]]*2.5+OFFSET(TblTech[[#This Row],[Sum of tech]],-1,0)*150))</f>
        <v>3750</v>
      </c>
      <c r="S34" s="132"/>
      <c r="T34" s="69" t="n">
        <f aca="false">ROUNDDOWN(TblProd[[#This Row],[Raw Plat/hr]]*(1+TblProd[[#This Row],[Bonus Plat/hr]]),0)</f>
        <v>21942</v>
      </c>
      <c r="U34" s="69" t="n">
        <f aca="false">ROUND(TblProd[[#This Row],[Raw Food/hr]]*(1+TblProd[[#This Row],[Bonus Food/hr]])-TblProd[[#This Row],[Food decay]]-TblProd[[#This Row],[Food eaten]],0)</f>
        <v>-7353</v>
      </c>
      <c r="V34" s="69" t="n">
        <f aca="false">ROUND(TblProd[[#This Row],[Raw Lumber/hr]]*(1+TblProd[[#This Row],[Bonus Lumber/hr]])-TblProd[[#This Row],[Lumber rot]],0)</f>
        <v>947</v>
      </c>
      <c r="W34" s="69" t="n">
        <f aca="false">ROUND(TblProd[[#This Row],[Raw Mana/hr]]*(1+TblProd[[#This Row],[Bonus Mana/hr]])-TblProd[[#This Row],[Mana drain]],0)</f>
        <v>-19035</v>
      </c>
      <c r="X34" s="69" t="n">
        <f aca="false">ROUNDDOWN(TblProd[[#This Row],[Raw Ore/hr]]*(1+TblProd[[#This Row],[Bonux Ore/hr]]),0)</f>
        <v>0</v>
      </c>
      <c r="Y34" s="69" t="n">
        <f aca="false">ROUNDDOWN(TblProd[[#This Row],[Raw Gems/hr]]*(1+TblProd[[#This Row],[Bonus Gems/hr]]),0)</f>
        <v>0</v>
      </c>
      <c r="Z34" s="148" t="n">
        <f aca="false">OFFSET(TblConstr[[#This Row],[Tot Doc]],1,0)*dock_boats_hr * (1 + tech_4_1*TblTech[[#This Row],[4-1]])</f>
        <v>0.25</v>
      </c>
      <c r="AA34" s="146"/>
      <c r="AB34" s="69" t="n">
        <f aca="false">TblPop[[#This Row],[Peasants]]*tax*TblPop[[#This Row],[Employment]] + (Construction!AZ35+Construction!BX35)*(alch_plat+(Magic!AM34&gt;0)*alchemist_flame_bonus)</f>
        <v>19947.5</v>
      </c>
      <c r="AC34" s="69" t="n">
        <f aca="false">TblConstr[[#This Row],[Tot Farm]]*farm_food + TblConstr[[#This Row],[Tot Doc]]*dock_food</f>
        <v>680</v>
      </c>
      <c r="AD34" s="69" t="n">
        <f aca="false">TblConstr[[#This Row],[Tot Ly]]*ly_lumber + TblConstr[[#This Row],[Tot Hav]]*fh_lumber</f>
        <v>1150</v>
      </c>
      <c r="AE34" s="69" t="n">
        <f aca="false">OFFSET(TblConstr[[#This Row],[Tot Tow]],1,0)*(tower_mana + tech_4_5*TblTech[[#This Row],[4-5]]) + OFFSET(TblConstr[[#This Row],[Tot WG]],1,0)*wg_mana_prod</f>
        <v>450</v>
      </c>
      <c r="AF34" s="69" t="n">
        <f aca="false">OFFSET(TblConstr[[#This Row],[Tot OM]],1,0)*om_ore+IF(race="Dwarf",ROUNDDOWN(TblMili[[#This Row],[Unit 2]]*0.4,0),)</f>
        <v>0</v>
      </c>
      <c r="AG34" s="69" t="n">
        <f aca="false">OFFSET(TblConstr[[#This Row],[Tot DM]],1,0)*dm_gems</f>
        <v>0</v>
      </c>
      <c r="AH34" s="132"/>
      <c r="AI34" s="149" t="n">
        <f aca="false">MIN(race_platinum_bonus + IF(TblMagic[[#This Row],[Active Alch Frost]]&gt;0,alch_frost_bonus,IF(Magic!AD34&gt;0,midas_bonus)) + TblImps[[#This Row],[Science]] - TblProd[[#This Row],[Guard]]*(0.02 + tech_5_7*TblTech[[#This Row],[5-7]]) + tech_1_5*TblTech[[#This Row],[1-5]] + tech_4_4*TblTech[[#This Row],[4-4]], 0.5)</f>
        <v>0.1</v>
      </c>
      <c r="AJ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4" s="149" t="n">
        <f aca="false">race_lumber_bonus+ IF(TblMagic[[#This Row],[Active Gaia''s Blessing]]&gt;0,gaias_blessing_lumber)+ tech_1_3*TblTech[[#This Row],[1-3]] + tech_1_6*TblTech[[#This Row],[1-6]] + tech_3_3*TblTech[[#This Row],[3-3]]</f>
        <v>-0.1</v>
      </c>
      <c r="AL34" s="149" t="n">
        <f aca="false">race_mana_bonus+ 0 + TblImps[[#This Row],[Towers]] + tech_1_2*TblTech[[#This Row],[1-2]] + tech_3_4*TblTech[[#This Row],[3-4]]</f>
        <v>0</v>
      </c>
      <c r="AM34" s="149" t="n">
        <f aca="false">race_ore_bonus + IF(TblMagic[[#This Row],[Active Miner''s Sight]]&gt;0,miners_sight_bonus,IF(TblMagic[[#This Row],[Active Mining Strength]]&gt;0,mining_strength_bonus)) +  tech_1_6*TblTech[[#This Row],[1-6]]</f>
        <v>0</v>
      </c>
      <c r="AN34" s="149" t="n">
        <f aca="false">race_gem_bonus+ tech_3_2*TblTech[[#This Row],[3-2]] + tech_4_3*TblTech[[#This Row],[4-3]] + tech_6_2*TblTech[[#This Row],[6-2]]</f>
        <v>0.15</v>
      </c>
      <c r="AO34" s="132"/>
      <c r="AP34" s="69" t="n">
        <f aca="false">TblProd[[#This Row],[Food]]*food_decay * (1 + tech_2_1*TblTech[[#This Row],[2-1]] + tech_2_8*TblTech[[#This Row],[2-8]])</f>
        <v>6952.07</v>
      </c>
      <c r="AQ34" s="69" t="n">
        <f aca="false">(1+race_food_consumption)*TblPop[[#This Row],[Total]]*food_per_person*(1+tech_1_10*TblTech[[#This Row],[1-10]]+tech_7_5*TblTech[[#This Row],[7-5]])</f>
        <v>1097.75</v>
      </c>
      <c r="AR34" s="69" t="n">
        <f aca="false">TblProd[[#This Row],[Lumber]]*lumber_rot * (1 + tech_2_1*TblTech[[#This Row],[2-1]] + tech_2_8*TblTech[[#This Row],[2-8]] + tech_5_2*TblTech[[#This Row],[5-2]])</f>
        <v>87.57</v>
      </c>
      <c r="AS34" s="69" t="n">
        <f aca="false">TblProd[[#This Row],[Mana]]*mana_drain * (1 + tech_2_1*TblTech[[#This Row],[2-1]] + tech_2_8*TblTech[[#This Row],[2-8]])</f>
        <v>19484.81</v>
      </c>
      <c r="AT34" s="146"/>
      <c r="AU34" s="69" t="n">
        <f aca="false">TblExplore[[#This Row],[Platinum (2)]]+TblConstr[[#This Row],[Total Plat Cost]]+TblMili[[#This Row],[Plat Cost]]+TblRezone[[#This Row],[Platinum cost]]+TblImps[[#This Row],[P1]]-TblProd[[#This Row],[Bank Plat]]</f>
        <v>17925</v>
      </c>
      <c r="AV34" s="69" t="n">
        <f aca="false">TblConstr[[#This Row],[Total Lum Cost]]+TblImps[[#This Row],[L1]]-TblProd[[#This Row],[Bank Lumber]] + Military!$CL$25*TblMili[[#This Row],[Sec. rec. Cost]]</f>
        <v>682</v>
      </c>
      <c r="AW34" s="69" t="n">
        <f aca="false">TblMagic[[#This Row],[Mana cost]] + Military!$CL$26*TblMili[[#This Row],[Sec. rec. Cost]]</f>
        <v>0</v>
      </c>
      <c r="AX34" s="69" t="n">
        <f aca="false">Military!$CL$24*TblMili[[#This Row],[Sec. rec. Cost]]+TblImps[[#This Row],[O1]]-TblProd[[#This Row],[Bank Ore]]</f>
        <v>0</v>
      </c>
      <c r="AY34" s="69" t="n">
        <f aca="false">TblImps[[#This Row],[G1]]-TblProd[[#This Row],[Bank Gems]]</f>
        <v>0</v>
      </c>
      <c r="AZ34" s="132"/>
      <c r="BA34" s="33" t="n">
        <f aca="false">IF(TblProd[[#This Row],[Set Guard]]&lt;&gt;"",TblProd[[#This Row],[Set Guard]],OFFSET(TblProd[[#This Row],[Guard]],-1,0))</f>
        <v>0</v>
      </c>
      <c r="BB34" s="145"/>
      <c r="BC34" s="151" t="n">
        <f aca="false">TblProd[[#This Row],[Hour]]</f>
        <v>31</v>
      </c>
      <c r="BD34" s="152" t="n">
        <f aca="false">-TblProd[[#This Row],[Bank Lumber]] / 2 + -TblProd[[#This Row],[Bank Gems]] * 2 + -TblProd[[#This Row],[Bank Ore]] / 2</f>
        <v>0</v>
      </c>
      <c r="BE34" s="152"/>
      <c r="BF34" s="152"/>
      <c r="BG34" s="152"/>
      <c r="BH34" s="153" t="n">
        <f aca="false">TblProd[[#This Row],[Time]]</f>
        <v>45431</v>
      </c>
      <c r="BI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J34" s="69" t="n">
        <f aca="false">TblProd[[#This Row],[Platinum]]</f>
        <v>24436</v>
      </c>
      <c r="BK34" s="69" t="n">
        <f aca="false">TblProd[[#This Row],[Food]]</f>
        <v>695207</v>
      </c>
      <c r="BL34" s="69" t="n">
        <f aca="false">TblProd[[#This Row],[Lumber]]</f>
        <v>8757</v>
      </c>
      <c r="BM34" s="69" t="n">
        <f aca="false">TblProd[[#This Row],[Mana]]</f>
        <v>974240.5</v>
      </c>
      <c r="BN34" s="69" t="n">
        <f aca="false">TblProd[[#This Row],[Ore]]</f>
        <v>-357</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4694</v>
      </c>
      <c r="G35" s="69"/>
      <c r="H35" s="69" t="e">
        <f aca="false">TblMili[[#This Row],[Networth (2)]]</f>
        <v>#VALUE!</v>
      </c>
      <c r="I35" s="69" t="n">
        <f aca="false">OFFSET(TblProd[[#This Row],[Platinum]],-1,0)+OFFSET(TblProd[[#This Row],[Plat/hr]],-1,0) - TblProd[[#This Row],[Expenses Platinum]] + IF(TblProd[[#This Row],[Plat Bonus]],TblPop[[#This Row],[Peasants]]*4) + SUM(TblConstr[[#This Row],[Dest Hom]:[Dest Doc]])*TblConstr[[#This Row],[CPA Platinum -DB]]*tech_3_3_2*TblTech[[#This Row],[3-3]]</f>
        <v>27426</v>
      </c>
      <c r="J35" s="69" t="n">
        <f aca="false">OFFSET(TblProd[[#This Row],[Food]],-1,0)+OFFSET(TblProd[[#This Row],[Food/hr]],-1,0)+ROUNDUP((TblConstr[[#This Row],[Farms]]*80+TblConstr[[#This Row],[Docks]]*35)*(1+OFFSET(TblProd[[#This Row],[Bonus Food/hr]],-1,0)),0)</f>
        <v>687854</v>
      </c>
      <c r="K35" s="69" t="n">
        <f aca="false">OFFSET(TblProd[[#This Row],[Lumber]],-1,0)+OFFSET(TblProd[[#This Row],[Lumber/hr]],-1,0) - TblProd[[#This Row],[Expenses Lumber]] + SUM(TblConstr[[#This Row],[Dest Hom]:[Dest Doc]])*TblConstr[[#This Row],[CPA Lumber -DB]]*tech_3_3_2*TblTech[[#This Row],[3-3]]</f>
        <v>8936</v>
      </c>
      <c r="L35" s="69" t="n">
        <f aca="false">OFFSET(TblProd[[#This Row],[Mana]],-1,0)+OFFSET(TblProd[[#This Row],[Mana/hr]],-1,0)- TblProd[[#This Row],[Expenses Mana]]</f>
        <v>955205.5</v>
      </c>
      <c r="M35" s="69" t="n">
        <f aca="false">OFFSET(TblProd[[#This Row],[Ore]],-1,0)+OFFSET(TblProd[[#This Row],[Ore/hr]],-1,0) -TblProd[[#This Row],[Expenses Ore]]</f>
        <v>-357</v>
      </c>
      <c r="N35" s="69" t="n">
        <f aca="false">OFFSET(TblProd[[#This Row],[Gems]],-1,0)+OFFSET(TblProd[[#This Row],[Gems/hr]],-1,0) - TblProd[[#This Row],[Expenses Gems]]</f>
        <v>-1000</v>
      </c>
      <c r="O35" s="69" t="n">
        <f aca="false">OFFSET(TblProd[[#This Row],[Boats]],-1,0)+OFFSET(TblProd[[#This Row],[Boats/hr]],-1,0)</f>
        <v>2</v>
      </c>
      <c r="P35" s="69" t="n">
        <f aca="false">OFFSET(TblProd[[#This Row],[Prestige]],-1,0)</f>
        <v>250</v>
      </c>
      <c r="Q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5" s="69" t="n">
        <f aca="false">MAX(3750,_xlfn.CEILING.MATH(TblProd[[#This Row],[Land]]*2.5+OFFSET(TblTech[[#This Row],[Sum of tech]],-1,0)*150))</f>
        <v>3750</v>
      </c>
      <c r="S35" s="132"/>
      <c r="T35" s="69" t="n">
        <f aca="false">ROUNDDOWN(TblProd[[#This Row],[Raw Plat/hr]]*(1+TblProd[[#This Row],[Bonus Plat/hr]]),0)</f>
        <v>22681</v>
      </c>
      <c r="U35" s="69" t="n">
        <f aca="false">ROUND(TblProd[[#This Row],[Raw Food/hr]]*(1+TblProd[[#This Row],[Bonus Food/hr]])-TblProd[[#This Row],[Food decay]]-TblProd[[#This Row],[Food eaten]],0)</f>
        <v>-7340</v>
      </c>
      <c r="V35" s="69" t="n">
        <f aca="false">ROUND(TblProd[[#This Row],[Raw Lumber/hr]]*(1+TblProd[[#This Row],[Bonus Lumber/hr]])-TblProd[[#This Row],[Lumber rot]],0)</f>
        <v>946</v>
      </c>
      <c r="W35" s="69" t="n">
        <f aca="false">ROUND(TblProd[[#This Row],[Raw Mana/hr]]*(1+TblProd[[#This Row],[Bonus Mana/hr]])-TblProd[[#This Row],[Mana drain]],0)</f>
        <v>-18654</v>
      </c>
      <c r="X35" s="69" t="n">
        <f aca="false">ROUNDDOWN(TblProd[[#This Row],[Raw Ore/hr]]*(1+TblProd[[#This Row],[Bonux Ore/hr]]),0)</f>
        <v>0</v>
      </c>
      <c r="Y35" s="69" t="n">
        <f aca="false">ROUNDDOWN(TblProd[[#This Row],[Raw Gems/hr]]*(1+TblProd[[#This Row],[Bonus Gems/hr]]),0)</f>
        <v>0</v>
      </c>
      <c r="Z35" s="148" t="n">
        <f aca="false">OFFSET(TblConstr[[#This Row],[Tot Doc]],1,0)*dock_boats_hr * (1 + tech_4_1*TblTech[[#This Row],[4-1]])</f>
        <v>0.25</v>
      </c>
      <c r="AA35" s="146"/>
      <c r="AB35" s="69" t="n">
        <f aca="false">TblPop[[#This Row],[Peasants]]*tax*TblPop[[#This Row],[Employment]] + (Construction!AZ36+Construction!BX36)*(alch_plat+(Magic!AM35&gt;0)*alchemist_flame_bonus)</f>
        <v>20619.8</v>
      </c>
      <c r="AC35" s="69" t="n">
        <f aca="false">TblConstr[[#This Row],[Tot Farm]]*farm_food + TblConstr[[#This Row],[Tot Doc]]*dock_food</f>
        <v>680</v>
      </c>
      <c r="AD35" s="69" t="n">
        <f aca="false">TblConstr[[#This Row],[Tot Ly]]*ly_lumber + TblConstr[[#This Row],[Tot Hav]]*fh_lumber</f>
        <v>1150</v>
      </c>
      <c r="AE35" s="69" t="n">
        <f aca="false">OFFSET(TblConstr[[#This Row],[Tot Tow]],1,0)*(tower_mana + tech_4_5*TblTech[[#This Row],[4-5]]) + OFFSET(TblConstr[[#This Row],[Tot WG]],1,0)*wg_mana_prod</f>
        <v>450</v>
      </c>
      <c r="AF35" s="69" t="n">
        <f aca="false">OFFSET(TblConstr[[#This Row],[Tot OM]],1,0)*om_ore+IF(race="Dwarf",ROUNDDOWN(TblMili[[#This Row],[Unit 2]]*0.4,0),)</f>
        <v>0</v>
      </c>
      <c r="AG35" s="69" t="n">
        <f aca="false">OFFSET(TblConstr[[#This Row],[Tot DM]],1,0)*dm_gems</f>
        <v>0</v>
      </c>
      <c r="AH35" s="132"/>
      <c r="AI35" s="149" t="n">
        <f aca="false">MIN(race_platinum_bonus + IF(TblMagic[[#This Row],[Active Alch Frost]]&gt;0,alch_frost_bonus,IF(Magic!AD35&gt;0,midas_bonus)) + TblImps[[#This Row],[Science]] - TblProd[[#This Row],[Guard]]*(0.02 + tech_5_7*TblTech[[#This Row],[5-7]]) + tech_1_5*TblTech[[#This Row],[1-5]] + tech_4_4*TblTech[[#This Row],[4-4]], 0.5)</f>
        <v>0.1</v>
      </c>
      <c r="AJ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5" s="149" t="n">
        <f aca="false">race_lumber_bonus+ IF(TblMagic[[#This Row],[Active Gaia''s Blessing]]&gt;0,gaias_blessing_lumber)+ tech_1_3*TblTech[[#This Row],[1-3]] + tech_1_6*TblTech[[#This Row],[1-6]] + tech_3_3*TblTech[[#This Row],[3-3]]</f>
        <v>-0.1</v>
      </c>
      <c r="AL35" s="149" t="n">
        <f aca="false">race_mana_bonus+ 0 + TblImps[[#This Row],[Towers]] + tech_1_2*TblTech[[#This Row],[1-2]] + tech_3_4*TblTech[[#This Row],[3-4]]</f>
        <v>0</v>
      </c>
      <c r="AM35" s="149" t="n">
        <f aca="false">race_ore_bonus + IF(TblMagic[[#This Row],[Active Miner''s Sight]]&gt;0,miners_sight_bonus,IF(TblMagic[[#This Row],[Active Mining Strength]]&gt;0,mining_strength_bonus)) +  tech_1_6*TblTech[[#This Row],[1-6]]</f>
        <v>0</v>
      </c>
      <c r="AN35" s="149" t="n">
        <f aca="false">race_gem_bonus+ tech_3_2*TblTech[[#This Row],[3-2]] + tech_4_3*TblTech[[#This Row],[4-3]] + tech_6_2*TblTech[[#This Row],[6-2]]</f>
        <v>0.15</v>
      </c>
      <c r="AO35" s="132"/>
      <c r="AP35" s="69" t="n">
        <f aca="false">TblProd[[#This Row],[Food]]*food_decay * (1 + tech_2_1*TblTech[[#This Row],[2-1]] + tech_2_8*TblTech[[#This Row],[2-8]])</f>
        <v>6878.54</v>
      </c>
      <c r="AQ35" s="69" t="n">
        <f aca="false">(1+race_food_consumption)*TblPop[[#This Row],[Total]]*food_per_person*(1+tech_1_10*TblTech[[#This Row],[1-10]]+tech_7_5*TblTech[[#This Row],[7-5]])</f>
        <v>1158.5</v>
      </c>
      <c r="AR35" s="69" t="n">
        <f aca="false">TblProd[[#This Row],[Lumber]]*lumber_rot * (1 + tech_2_1*TblTech[[#This Row],[2-1]] + tech_2_8*TblTech[[#This Row],[2-8]] + tech_5_2*TblTech[[#This Row],[5-2]])</f>
        <v>89.36</v>
      </c>
      <c r="AS35" s="69" t="n">
        <f aca="false">TblProd[[#This Row],[Mana]]*mana_drain * (1 + tech_2_1*TblTech[[#This Row],[2-1]] + tech_2_8*TblTech[[#This Row],[2-8]])</f>
        <v>19104.11</v>
      </c>
      <c r="AT35" s="146"/>
      <c r="AU35" s="69" t="n">
        <f aca="false">TblExplore[[#This Row],[Platinum (2)]]+TblConstr[[#This Row],[Total Plat Cost]]+TblMili[[#This Row],[Plat Cost]]+TblRezone[[#This Row],[Platinum cost]]+TblImps[[#This Row],[P1]]-TblProd[[#This Row],[Bank Plat]]</f>
        <v>18952</v>
      </c>
      <c r="AV35" s="69" t="n">
        <f aca="false">TblConstr[[#This Row],[Total Lum Cost]]+TblImps[[#This Row],[L1]]-TblProd[[#This Row],[Bank Lumber]] + Military!$CL$25*TblMili[[#This Row],[Sec. rec. Cost]]</f>
        <v>768</v>
      </c>
      <c r="AW35" s="69" t="n">
        <f aca="false">TblMagic[[#This Row],[Mana cost]] + Military!$CL$26*TblMili[[#This Row],[Sec. rec. Cost]]</f>
        <v>0</v>
      </c>
      <c r="AX35" s="69" t="n">
        <f aca="false">Military!$CL$24*TblMili[[#This Row],[Sec. rec. Cost]]+TblImps[[#This Row],[O1]]-TblProd[[#This Row],[Bank Ore]]</f>
        <v>0</v>
      </c>
      <c r="AY35" s="69" t="n">
        <f aca="false">TblImps[[#This Row],[G1]]-TblProd[[#This Row],[Bank Gems]]</f>
        <v>0</v>
      </c>
      <c r="AZ35" s="132"/>
      <c r="BA35" s="33" t="n">
        <f aca="false">IF(TblProd[[#This Row],[Set Guard]]&lt;&gt;"",TblProd[[#This Row],[Set Guard]],OFFSET(TblProd[[#This Row],[Guard]],-1,0))</f>
        <v>0</v>
      </c>
      <c r="BB35" s="145"/>
      <c r="BC35" s="151" t="n">
        <f aca="false">TblProd[[#This Row],[Hour]]</f>
        <v>32</v>
      </c>
      <c r="BD35" s="152" t="n">
        <f aca="false">-TblProd[[#This Row],[Bank Lumber]] / 2 + -TblProd[[#This Row],[Bank Gems]] * 2 + -TblProd[[#This Row],[Bank Ore]] / 2</f>
        <v>0</v>
      </c>
      <c r="BE35" s="152"/>
      <c r="BF35" s="152"/>
      <c r="BG35" s="152"/>
      <c r="BH35" s="153" t="n">
        <f aca="false">TblProd[[#This Row],[Time]]</f>
        <v>45431.0416666667</v>
      </c>
      <c r="BI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J35" s="69" t="n">
        <f aca="false">TblProd[[#This Row],[Platinum]]</f>
        <v>27426</v>
      </c>
      <c r="BK35" s="69" t="n">
        <f aca="false">TblProd[[#This Row],[Food]]</f>
        <v>687854</v>
      </c>
      <c r="BL35" s="69" t="n">
        <f aca="false">TblProd[[#This Row],[Lumber]]</f>
        <v>8936</v>
      </c>
      <c r="BM35" s="69" t="n">
        <f aca="false">TblProd[[#This Row],[Mana]]</f>
        <v>955205.5</v>
      </c>
      <c r="BN35" s="69" t="n">
        <f aca="false">TblProd[[#This Row],[Ore]]</f>
        <v>-357</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4953</v>
      </c>
      <c r="G36" s="69"/>
      <c r="H36" s="69" t="e">
        <f aca="false">TblMili[[#This Row],[Networth (2)]]</f>
        <v>#VALUE!</v>
      </c>
      <c r="I36" s="69" t="n">
        <f aca="false">OFFSET(TblProd[[#This Row],[Platinum]],-1,0)+OFFSET(TblProd[[#This Row],[Plat/hr]],-1,0) - TblProd[[#This Row],[Expenses Platinum]] + IF(TblProd[[#This Row],[Plat Bonus]],TblPop[[#This Row],[Peasants]]*4) + SUM(TblConstr[[#This Row],[Dest Hom]:[Dest Doc]])*TblConstr[[#This Row],[CPA Platinum -DB]]*tech_3_3_2*TblTech[[#This Row],[3-3]]</f>
        <v>30523</v>
      </c>
      <c r="J36" s="69" t="n">
        <f aca="false">OFFSET(TblProd[[#This Row],[Food]],-1,0)+OFFSET(TblProd[[#This Row],[Food/hr]],-1,0)+ROUNDUP((TblConstr[[#This Row],[Farms]]*80+TblConstr[[#This Row],[Docks]]*35)*(1+OFFSET(TblProd[[#This Row],[Bonus Food/hr]],-1,0)),0)</f>
        <v>680514</v>
      </c>
      <c r="K36" s="69" t="n">
        <f aca="false">OFFSET(TblProd[[#This Row],[Lumber]],-1,0)+OFFSET(TblProd[[#This Row],[Lumber/hr]],-1,0) - TblProd[[#This Row],[Expenses Lumber]] + SUM(TblConstr[[#This Row],[Dest Hom]:[Dest Doc]])*TblConstr[[#This Row],[CPA Lumber -DB]]*tech_3_3_2*TblTech[[#This Row],[3-3]]</f>
        <v>9102</v>
      </c>
      <c r="L36" s="69" t="n">
        <f aca="false">OFFSET(TblProd[[#This Row],[Mana]],-1,0)+OFFSET(TblProd[[#This Row],[Mana/hr]],-1,0)- TblProd[[#This Row],[Expenses Mana]]</f>
        <v>936551.5</v>
      </c>
      <c r="M36" s="69" t="n">
        <f aca="false">OFFSET(TblProd[[#This Row],[Ore]],-1,0)+OFFSET(TblProd[[#This Row],[Ore/hr]],-1,0) -TblProd[[#This Row],[Expenses Ore]]</f>
        <v>-357</v>
      </c>
      <c r="N36" s="69" t="n">
        <f aca="false">OFFSET(TblProd[[#This Row],[Gems]],-1,0)+OFFSET(TblProd[[#This Row],[Gems/hr]],-1,0) - TblProd[[#This Row],[Expenses Gems]]</f>
        <v>-1000</v>
      </c>
      <c r="O36" s="69" t="n">
        <f aca="false">OFFSET(TblProd[[#This Row],[Boats]],-1,0)+OFFSET(TblProd[[#This Row],[Boats/hr]],-1,0)</f>
        <v>2.25</v>
      </c>
      <c r="P36" s="69" t="n">
        <f aca="false">OFFSET(TblProd[[#This Row],[Prestige]],-1,0)</f>
        <v>250</v>
      </c>
      <c r="Q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6" s="69" t="n">
        <f aca="false">MAX(3750,_xlfn.CEILING.MATH(TblProd[[#This Row],[Land]]*2.5+OFFSET(TblTech[[#This Row],[Sum of tech]],-1,0)*150))</f>
        <v>3750</v>
      </c>
      <c r="S36" s="132"/>
      <c r="T36" s="69" t="n">
        <f aca="false">ROUNDDOWN(TblProd[[#This Row],[Raw Plat/hr]]*(1+TblProd[[#This Row],[Bonus Plat/hr]]),0)</f>
        <v>23451</v>
      </c>
      <c r="U36" s="69" t="n">
        <f aca="false">ROUND(TblProd[[#This Row],[Raw Food/hr]]*(1+TblProd[[#This Row],[Bonus Food/hr]])-TblProd[[#This Row],[Food decay]]-TblProd[[#This Row],[Food eaten]],0)</f>
        <v>-7331</v>
      </c>
      <c r="V36" s="69" t="n">
        <f aca="false">ROUND(TblProd[[#This Row],[Raw Lumber/hr]]*(1+TblProd[[#This Row],[Bonus Lumber/hr]])-TblProd[[#This Row],[Lumber rot]],0)</f>
        <v>944</v>
      </c>
      <c r="W36" s="69" t="n">
        <f aca="false">ROUND(TblProd[[#This Row],[Raw Mana/hr]]*(1+TblProd[[#This Row],[Bonus Mana/hr]])-TblProd[[#This Row],[Mana drain]],0)</f>
        <v>-18281</v>
      </c>
      <c r="X36" s="69" t="n">
        <f aca="false">ROUNDDOWN(TblProd[[#This Row],[Raw Ore/hr]]*(1+TblProd[[#This Row],[Bonux Ore/hr]]),0)</f>
        <v>0</v>
      </c>
      <c r="Y36" s="69" t="n">
        <f aca="false">ROUNDDOWN(TblProd[[#This Row],[Raw Gems/hr]]*(1+TblProd[[#This Row],[Bonus Gems/hr]]),0)</f>
        <v>0</v>
      </c>
      <c r="Z36" s="148" t="n">
        <f aca="false">OFFSET(TblConstr[[#This Row],[Tot Doc]],1,0)*dock_boats_hr * (1 + tech_4_1*TblTech[[#This Row],[4-1]])</f>
        <v>0.25</v>
      </c>
      <c r="AA36" s="146"/>
      <c r="AB36" s="69" t="n">
        <f aca="false">TblPop[[#This Row],[Peasants]]*tax*TblPop[[#This Row],[Employment]] + (Construction!AZ37+Construction!BX37)*(alch_plat+(Magic!AM36&gt;0)*alchemist_flame_bonus)</f>
        <v>21319.1</v>
      </c>
      <c r="AC36" s="69" t="n">
        <f aca="false">TblConstr[[#This Row],[Tot Farm]]*farm_food + TblConstr[[#This Row],[Tot Doc]]*dock_food</f>
        <v>680</v>
      </c>
      <c r="AD36" s="69" t="n">
        <f aca="false">TblConstr[[#This Row],[Tot Ly]]*ly_lumber + TblConstr[[#This Row],[Tot Hav]]*fh_lumber</f>
        <v>1150</v>
      </c>
      <c r="AE36" s="69" t="n">
        <f aca="false">OFFSET(TblConstr[[#This Row],[Tot Tow]],1,0)*(tower_mana + tech_4_5*TblTech[[#This Row],[4-5]]) + OFFSET(TblConstr[[#This Row],[Tot WG]],1,0)*wg_mana_prod</f>
        <v>450</v>
      </c>
      <c r="AF36" s="69" t="n">
        <f aca="false">OFFSET(TblConstr[[#This Row],[Tot OM]],1,0)*om_ore+IF(race="Dwarf",ROUNDDOWN(TblMili[[#This Row],[Unit 2]]*0.4,0),)</f>
        <v>0</v>
      </c>
      <c r="AG36" s="69" t="n">
        <f aca="false">OFFSET(TblConstr[[#This Row],[Tot DM]],1,0)*dm_gems</f>
        <v>0</v>
      </c>
      <c r="AH36" s="132"/>
      <c r="AI36" s="149" t="n">
        <f aca="false">MIN(race_platinum_bonus + IF(TblMagic[[#This Row],[Active Alch Frost]]&gt;0,alch_frost_bonus,IF(Magic!AD36&gt;0,midas_bonus)) + TblImps[[#This Row],[Science]] - TblProd[[#This Row],[Guard]]*(0.02 + tech_5_7*TblTech[[#This Row],[5-7]]) + tech_1_5*TblTech[[#This Row],[1-5]] + tech_4_4*TblTech[[#This Row],[4-4]], 0.5)</f>
        <v>0.1</v>
      </c>
      <c r="AJ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6" s="149" t="n">
        <f aca="false">race_lumber_bonus+ IF(TblMagic[[#This Row],[Active Gaia''s Blessing]]&gt;0,gaias_blessing_lumber)+ tech_1_3*TblTech[[#This Row],[1-3]] + tech_1_6*TblTech[[#This Row],[1-6]] + tech_3_3*TblTech[[#This Row],[3-3]]</f>
        <v>-0.1</v>
      </c>
      <c r="AL36" s="149" t="n">
        <f aca="false">race_mana_bonus+ 0 + TblImps[[#This Row],[Towers]] + tech_1_2*TblTech[[#This Row],[1-2]] + tech_3_4*TblTech[[#This Row],[3-4]]</f>
        <v>0</v>
      </c>
      <c r="AM36" s="149" t="n">
        <f aca="false">race_ore_bonus + IF(TblMagic[[#This Row],[Active Miner''s Sight]]&gt;0,miners_sight_bonus,IF(TblMagic[[#This Row],[Active Mining Strength]]&gt;0,mining_strength_bonus)) +  tech_1_6*TblTech[[#This Row],[1-6]]</f>
        <v>0</v>
      </c>
      <c r="AN36" s="149" t="n">
        <f aca="false">race_gem_bonus+ tech_3_2*TblTech[[#This Row],[3-2]] + tech_4_3*TblTech[[#This Row],[4-3]] + tech_6_2*TblTech[[#This Row],[6-2]]</f>
        <v>0.15</v>
      </c>
      <c r="AO36" s="132"/>
      <c r="AP36" s="69" t="n">
        <f aca="false">TblProd[[#This Row],[Food]]*food_decay * (1 + tech_2_1*TblTech[[#This Row],[2-1]] + tech_2_8*TblTech[[#This Row],[2-8]])</f>
        <v>6805.14</v>
      </c>
      <c r="AQ36" s="69" t="n">
        <f aca="false">(1+race_food_consumption)*TblPop[[#This Row],[Total]]*food_per_person*(1+tech_1_10*TblTech[[#This Row],[1-10]]+tech_7_5*TblTech[[#This Row],[7-5]])</f>
        <v>1222.5</v>
      </c>
      <c r="AR36" s="69" t="n">
        <f aca="false">TblProd[[#This Row],[Lumber]]*lumber_rot * (1 + tech_2_1*TblTech[[#This Row],[2-1]] + tech_2_8*TblTech[[#This Row],[2-8]] + tech_5_2*TblTech[[#This Row],[5-2]])</f>
        <v>91.02</v>
      </c>
      <c r="AS36" s="69" t="n">
        <f aca="false">TblProd[[#This Row],[Mana]]*mana_drain * (1 + tech_2_1*TblTech[[#This Row],[2-1]] + tech_2_8*TblTech[[#This Row],[2-8]])</f>
        <v>18731.03</v>
      </c>
      <c r="AT36" s="146"/>
      <c r="AU36" s="69" t="n">
        <f aca="false">TblExplore[[#This Row],[Platinum (2)]]+TblConstr[[#This Row],[Total Plat Cost]]+TblMili[[#This Row],[Plat Cost]]+TblRezone[[#This Row],[Platinum cost]]+TblImps[[#This Row],[P1]]-TblProd[[#This Row],[Bank Plat]]</f>
        <v>19584</v>
      </c>
      <c r="AV36" s="69" t="n">
        <f aca="false">TblConstr[[#This Row],[Total Lum Cost]]+TblImps[[#This Row],[L1]]-TblProd[[#This Row],[Bank Lumber]] + Military!$CL$25*TblMili[[#This Row],[Sec. rec. Cost]]</f>
        <v>780</v>
      </c>
      <c r="AW36" s="69" t="n">
        <f aca="false">TblMagic[[#This Row],[Mana cost]] + Military!$CL$26*TblMili[[#This Row],[Sec. rec. Cost]]</f>
        <v>0</v>
      </c>
      <c r="AX36" s="69" t="n">
        <f aca="false">Military!$CL$24*TblMili[[#This Row],[Sec. rec. Cost]]+TblImps[[#This Row],[O1]]-TblProd[[#This Row],[Bank Ore]]</f>
        <v>0</v>
      </c>
      <c r="AY36" s="69" t="n">
        <f aca="false">TblImps[[#This Row],[G1]]-TblProd[[#This Row],[Bank Gems]]</f>
        <v>0</v>
      </c>
      <c r="AZ36" s="132"/>
      <c r="BA36" s="33" t="n">
        <f aca="false">IF(TblProd[[#This Row],[Set Guard]]&lt;&gt;"",TblProd[[#This Row],[Set Guard]],OFFSET(TblProd[[#This Row],[Guard]],-1,0))</f>
        <v>0</v>
      </c>
      <c r="BB36" s="145"/>
      <c r="BC36" s="151" t="n">
        <f aca="false">TblProd[[#This Row],[Hour]]</f>
        <v>33</v>
      </c>
      <c r="BD36" s="152" t="n">
        <f aca="false">-TblProd[[#This Row],[Bank Lumber]] / 2 + -TblProd[[#This Row],[Bank Gems]] * 2 + -TblProd[[#This Row],[Bank Ore]] / 2</f>
        <v>0</v>
      </c>
      <c r="BE36" s="152"/>
      <c r="BF36" s="152"/>
      <c r="BG36" s="152"/>
      <c r="BH36" s="153" t="n">
        <f aca="false">TblProd[[#This Row],[Time]]</f>
        <v>45431.0833333333</v>
      </c>
      <c r="BI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J36" s="69" t="n">
        <f aca="false">TblProd[[#This Row],[Platinum]]</f>
        <v>30523</v>
      </c>
      <c r="BK36" s="69" t="n">
        <f aca="false">TblProd[[#This Row],[Food]]</f>
        <v>680514</v>
      </c>
      <c r="BL36" s="69" t="n">
        <f aca="false">TblProd[[#This Row],[Lumber]]</f>
        <v>9102</v>
      </c>
      <c r="BM36" s="69" t="n">
        <f aca="false">TblProd[[#This Row],[Mana]]</f>
        <v>936551.5</v>
      </c>
      <c r="BN36" s="69" t="n">
        <f aca="false">TblProd[[#This Row],[Ore]]</f>
        <v>-357</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5226</v>
      </c>
      <c r="G37" s="69"/>
      <c r="H37" s="69" t="e">
        <f aca="false">TblMili[[#This Row],[Networth (2)]]</f>
        <v>#VALUE!</v>
      </c>
      <c r="I37" s="69" t="n">
        <f aca="false">OFFSET(TblProd[[#This Row],[Platinum]],-1,0)+OFFSET(TblProd[[#This Row],[Plat/hr]],-1,0) - TblProd[[#This Row],[Expenses Platinum]] + IF(TblProd[[#This Row],[Plat Bonus]],TblPop[[#This Row],[Peasants]]*4) + SUM(TblConstr[[#This Row],[Dest Hom]:[Dest Doc]])*TblConstr[[#This Row],[CPA Platinum -DB]]*tech_3_3_2*TblTech[[#This Row],[3-3]]</f>
        <v>36528</v>
      </c>
      <c r="J37" s="69" t="n">
        <f aca="false">OFFSET(TblProd[[#This Row],[Food]],-1,0)+OFFSET(TblProd[[#This Row],[Food/hr]],-1,0)+ROUNDUP((TblConstr[[#This Row],[Farms]]*80+TblConstr[[#This Row],[Docks]]*35)*(1+OFFSET(TblProd[[#This Row],[Bonus Food/hr]],-1,0)),0)</f>
        <v>673183</v>
      </c>
      <c r="K37" s="69" t="n">
        <f aca="false">OFFSET(TblProd[[#This Row],[Lumber]],-1,0)+OFFSET(TblProd[[#This Row],[Lumber/hr]],-1,0) - TblProd[[#This Row],[Expenses Lumber]] + SUM(TblConstr[[#This Row],[Dest Hom]:[Dest Doc]])*TblConstr[[#This Row],[CPA Lumber -DB]]*tech_3_3_2*TblTech[[#This Row],[3-3]]</f>
        <v>9848</v>
      </c>
      <c r="L37" s="69" t="n">
        <f aca="false">OFFSET(TblProd[[#This Row],[Mana]],-1,0)+OFFSET(TblProd[[#This Row],[Mana/hr]],-1,0)- TblProd[[#This Row],[Expenses Mana]]</f>
        <v>918270.5</v>
      </c>
      <c r="M37" s="69" t="n">
        <f aca="false">OFFSET(TblProd[[#This Row],[Ore]],-1,0)+OFFSET(TblProd[[#This Row],[Ore/hr]],-1,0) -TblProd[[#This Row],[Expenses Ore]]</f>
        <v>-357</v>
      </c>
      <c r="N37" s="69" t="n">
        <f aca="false">OFFSET(TblProd[[#This Row],[Gems]],-1,0)+OFFSET(TblProd[[#This Row],[Gems/hr]],-1,0) - TblProd[[#This Row],[Expenses Gems]]</f>
        <v>-1000</v>
      </c>
      <c r="O37" s="69" t="n">
        <f aca="false">OFFSET(TblProd[[#This Row],[Boats]],-1,0)+OFFSET(TblProd[[#This Row],[Boats/hr]],-1,0)</f>
        <v>2.5</v>
      </c>
      <c r="P37" s="69" t="n">
        <f aca="false">OFFSET(TblProd[[#This Row],[Prestige]],-1,0)</f>
        <v>250</v>
      </c>
      <c r="Q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7" s="69" t="n">
        <f aca="false">MAX(3750,_xlfn.CEILING.MATH(TblProd[[#This Row],[Land]]*2.5+OFFSET(TblTech[[#This Row],[Sum of tech]],-1,0)*150))</f>
        <v>3750</v>
      </c>
      <c r="S37" s="132"/>
      <c r="T37" s="69" t="n">
        <f aca="false">ROUNDDOWN(TblProd[[#This Row],[Raw Plat/hr]]*(1+TblProd[[#This Row],[Bonus Plat/hr]]),0)</f>
        <v>24261</v>
      </c>
      <c r="U37" s="69" t="n">
        <f aca="false">ROUND(TblProd[[#This Row],[Raw Food/hr]]*(1+TblProd[[#This Row],[Bonus Food/hr]])-TblProd[[#This Row],[Food decay]]-TblProd[[#This Row],[Food eaten]],0)</f>
        <v>-7324</v>
      </c>
      <c r="V37" s="69" t="n">
        <f aca="false">ROUND(TblProd[[#This Row],[Raw Lumber/hr]]*(1+TblProd[[#This Row],[Bonus Lumber/hr]])-TblProd[[#This Row],[Lumber rot]],0)</f>
        <v>937</v>
      </c>
      <c r="W37" s="69" t="n">
        <f aca="false">ROUND(TblProd[[#This Row],[Raw Mana/hr]]*(1+TblProd[[#This Row],[Bonus Mana/hr]])-TblProd[[#This Row],[Mana drain]],0)</f>
        <v>-17915</v>
      </c>
      <c r="X37" s="69" t="n">
        <f aca="false">ROUNDDOWN(TblProd[[#This Row],[Raw Ore/hr]]*(1+TblProd[[#This Row],[Bonux Ore/hr]]),0)</f>
        <v>0</v>
      </c>
      <c r="Y37" s="69" t="n">
        <f aca="false">ROUNDDOWN(TblProd[[#This Row],[Raw Gems/hr]]*(1+TblProd[[#This Row],[Bonus Gems/hr]]),0)</f>
        <v>0</v>
      </c>
      <c r="Z37" s="148" t="n">
        <f aca="false">OFFSET(TblConstr[[#This Row],[Tot Doc]],1,0)*dock_boats_hr * (1 + tech_4_1*TblTech[[#This Row],[4-1]])</f>
        <v>0.25</v>
      </c>
      <c r="AA37" s="146"/>
      <c r="AB37" s="69" t="n">
        <f aca="false">TblPop[[#This Row],[Peasants]]*tax*TblPop[[#This Row],[Employment]] + (Construction!AZ38+Construction!BX38)*(alch_plat+(Magic!AM37&gt;0)*alchemist_flame_bonus)</f>
        <v>22056.2</v>
      </c>
      <c r="AC37" s="69" t="n">
        <f aca="false">TblConstr[[#This Row],[Tot Farm]]*farm_food + TblConstr[[#This Row],[Tot Doc]]*dock_food</f>
        <v>680</v>
      </c>
      <c r="AD37" s="69" t="n">
        <f aca="false">TblConstr[[#This Row],[Tot Ly]]*ly_lumber + TblConstr[[#This Row],[Tot Hav]]*fh_lumber</f>
        <v>1150</v>
      </c>
      <c r="AE37" s="69" t="n">
        <f aca="false">OFFSET(TblConstr[[#This Row],[Tot Tow]],1,0)*(tower_mana + tech_4_5*TblTech[[#This Row],[4-5]]) + OFFSET(TblConstr[[#This Row],[Tot WG]],1,0)*wg_mana_prod</f>
        <v>450</v>
      </c>
      <c r="AF37" s="69" t="n">
        <f aca="false">OFFSET(TblConstr[[#This Row],[Tot OM]],1,0)*om_ore+IF(race="Dwarf",ROUNDDOWN(TblMili[[#This Row],[Unit 2]]*0.4,0),)</f>
        <v>0</v>
      </c>
      <c r="AG37" s="69" t="n">
        <f aca="false">OFFSET(TblConstr[[#This Row],[Tot DM]],1,0)*dm_gems</f>
        <v>0</v>
      </c>
      <c r="AH37" s="132"/>
      <c r="AI37" s="149" t="n">
        <f aca="false">MIN(race_platinum_bonus + IF(TblMagic[[#This Row],[Active Alch Frost]]&gt;0,alch_frost_bonus,IF(Magic!AD37&gt;0,midas_bonus)) + TblImps[[#This Row],[Science]] - TblProd[[#This Row],[Guard]]*(0.02 + tech_5_7*TblTech[[#This Row],[5-7]]) + tech_1_5*TblTech[[#This Row],[1-5]] + tech_4_4*TblTech[[#This Row],[4-4]], 0.5)</f>
        <v>0.1</v>
      </c>
      <c r="AJ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7" s="149" t="n">
        <f aca="false">race_lumber_bonus+ IF(TblMagic[[#This Row],[Active Gaia''s Blessing]]&gt;0,gaias_blessing_lumber)+ tech_1_3*TblTech[[#This Row],[1-3]] + tech_1_6*TblTech[[#This Row],[1-6]] + tech_3_3*TblTech[[#This Row],[3-3]]</f>
        <v>-0.1</v>
      </c>
      <c r="AL37" s="149" t="n">
        <f aca="false">race_mana_bonus+ 0 + TblImps[[#This Row],[Towers]] + tech_1_2*TblTech[[#This Row],[1-2]] + tech_3_4*TblTech[[#This Row],[3-4]]</f>
        <v>0</v>
      </c>
      <c r="AM37" s="149" t="n">
        <f aca="false">race_ore_bonus + IF(TblMagic[[#This Row],[Active Miner''s Sight]]&gt;0,miners_sight_bonus,IF(TblMagic[[#This Row],[Active Mining Strength]]&gt;0,mining_strength_bonus)) +  tech_1_6*TblTech[[#This Row],[1-6]]</f>
        <v>0</v>
      </c>
      <c r="AN37" s="149" t="n">
        <f aca="false">race_gem_bonus+ tech_3_2*TblTech[[#This Row],[3-2]] + tech_4_3*TblTech[[#This Row],[4-3]] + tech_6_2*TblTech[[#This Row],[6-2]]</f>
        <v>0.15</v>
      </c>
      <c r="AO37" s="132"/>
      <c r="AP37" s="69" t="n">
        <f aca="false">TblProd[[#This Row],[Food]]*food_decay * (1 + tech_2_1*TblTech[[#This Row],[2-1]] + tech_2_8*TblTech[[#This Row],[2-8]])</f>
        <v>6731.83</v>
      </c>
      <c r="AQ37" s="69" t="n">
        <f aca="false">(1+race_food_consumption)*TblPop[[#This Row],[Total]]*food_per_person*(1+tech_1_10*TblTech[[#This Row],[1-10]]+tech_7_5*TblTech[[#This Row],[7-5]])</f>
        <v>1289.5</v>
      </c>
      <c r="AR37" s="69" t="n">
        <f aca="false">TblProd[[#This Row],[Lumber]]*lumber_rot * (1 + tech_2_1*TblTech[[#This Row],[2-1]] + tech_2_8*TblTech[[#This Row],[2-8]] + tech_5_2*TblTech[[#This Row],[5-2]])</f>
        <v>98.48</v>
      </c>
      <c r="AS37" s="69" t="n">
        <f aca="false">TblProd[[#This Row],[Mana]]*mana_drain * (1 + tech_2_1*TblTech[[#This Row],[2-1]] + tech_2_8*TblTech[[#This Row],[2-8]])</f>
        <v>18365.41</v>
      </c>
      <c r="AT37" s="146"/>
      <c r="AU37" s="69" t="n">
        <f aca="false">TblExplore[[#This Row],[Platinum (2)]]+TblConstr[[#This Row],[Total Plat Cost]]+TblMili[[#This Row],[Plat Cost]]+TblRezone[[#This Row],[Platinum cost]]+TblImps[[#This Row],[P1]]-TblProd[[#This Row],[Bank Plat]]</f>
        <v>17446</v>
      </c>
      <c r="AV37" s="69" t="n">
        <f aca="false">TblConstr[[#This Row],[Total Lum Cost]]+TblImps[[#This Row],[L1]]-TblProd[[#This Row],[Bank Lumber]] + Military!$CL$25*TblMili[[#This Row],[Sec. rec. Cost]]</f>
        <v>198</v>
      </c>
      <c r="AW37" s="69" t="n">
        <f aca="false">TblMagic[[#This Row],[Mana cost]] + Military!$CL$26*TblMili[[#This Row],[Sec. rec. Cost]]</f>
        <v>0</v>
      </c>
      <c r="AX37" s="69" t="n">
        <f aca="false">Military!$CL$24*TblMili[[#This Row],[Sec. rec. Cost]]+TblImps[[#This Row],[O1]]-TblProd[[#This Row],[Bank Ore]]</f>
        <v>0</v>
      </c>
      <c r="AY37" s="69" t="n">
        <f aca="false">TblImps[[#This Row],[G1]]-TblProd[[#This Row],[Bank Gems]]</f>
        <v>0</v>
      </c>
      <c r="AZ37" s="132"/>
      <c r="BA37" s="33" t="n">
        <f aca="false">IF(TblProd[[#This Row],[Set Guard]]&lt;&gt;"",TblProd[[#This Row],[Set Guard]],OFFSET(TblProd[[#This Row],[Guard]],-1,0))</f>
        <v>0</v>
      </c>
      <c r="BB37" s="145"/>
      <c r="BC37" s="151" t="n">
        <f aca="false">TblProd[[#This Row],[Hour]]</f>
        <v>34</v>
      </c>
      <c r="BD37" s="152" t="n">
        <f aca="false">-TblProd[[#This Row],[Bank Lumber]] / 2 + -TblProd[[#This Row],[Bank Gems]] * 2 + -TblProd[[#This Row],[Bank Ore]] / 2</f>
        <v>0</v>
      </c>
      <c r="BE37" s="152"/>
      <c r="BF37" s="152"/>
      <c r="BG37" s="152"/>
      <c r="BH37" s="153" t="n">
        <f aca="false">TblProd[[#This Row],[Time]]</f>
        <v>45431.125</v>
      </c>
      <c r="BI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J37" s="69" t="n">
        <f aca="false">TblProd[[#This Row],[Platinum]]</f>
        <v>36528</v>
      </c>
      <c r="BK37" s="69" t="n">
        <f aca="false">TblProd[[#This Row],[Food]]</f>
        <v>673183</v>
      </c>
      <c r="BL37" s="69" t="n">
        <f aca="false">TblProd[[#This Row],[Lumber]]</f>
        <v>9848</v>
      </c>
      <c r="BM37" s="69" t="n">
        <f aca="false">TblProd[[#This Row],[Mana]]</f>
        <v>918270.5</v>
      </c>
      <c r="BN37" s="69" t="n">
        <f aca="false">TblProd[[#This Row],[Ore]]</f>
        <v>-357</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5514</v>
      </c>
      <c r="G38" s="69"/>
      <c r="H38" s="69" t="e">
        <f aca="false">TblMili[[#This Row],[Networth (2)]]</f>
        <v>#VALUE!</v>
      </c>
      <c r="I38" s="69" t="n">
        <f aca="false">OFFSET(TblProd[[#This Row],[Platinum]],-1,0)+OFFSET(TblProd[[#This Row],[Plat/hr]],-1,0) - TblProd[[#This Row],[Expenses Platinum]] + IF(TblProd[[#This Row],[Plat Bonus]],TblPop[[#This Row],[Peasants]]*4) + SUM(TblConstr[[#This Row],[Dest Hom]:[Dest Doc]])*TblConstr[[#This Row],[CPA Platinum -DB]]*tech_3_3_2*TblTech[[#This Row],[3-3]]</f>
        <v>42167</v>
      </c>
      <c r="J38" s="69" t="n">
        <f aca="false">OFFSET(TblProd[[#This Row],[Food]],-1,0)+OFFSET(TblProd[[#This Row],[Food/hr]],-1,0)+ROUNDUP((TblConstr[[#This Row],[Farms]]*80+TblConstr[[#This Row],[Docks]]*35)*(1+OFFSET(TblProd[[#This Row],[Bonus Food/hr]],-1,0)),0)</f>
        <v>665859</v>
      </c>
      <c r="K38" s="69" t="n">
        <f aca="false">OFFSET(TblProd[[#This Row],[Lumber]],-1,0)+OFFSET(TblProd[[#This Row],[Lumber/hr]],-1,0) - TblProd[[#This Row],[Expenses Lumber]] + SUM(TblConstr[[#This Row],[Dest Hom]:[Dest Doc]])*TblConstr[[#This Row],[CPA Lumber -DB]]*tech_3_3_2*TblTech[[#This Row],[3-3]]</f>
        <v>10653</v>
      </c>
      <c r="L38" s="69" t="n">
        <f aca="false">OFFSET(TblProd[[#This Row],[Mana]],-1,0)+OFFSET(TblProd[[#This Row],[Mana/hr]],-1,0)- TblProd[[#This Row],[Expenses Mana]]</f>
        <v>900355.5</v>
      </c>
      <c r="M38" s="69" t="n">
        <f aca="false">OFFSET(TblProd[[#This Row],[Ore]],-1,0)+OFFSET(TblProd[[#This Row],[Ore/hr]],-1,0) -TblProd[[#This Row],[Expenses Ore]]</f>
        <v>-357</v>
      </c>
      <c r="N38" s="69" t="n">
        <f aca="false">OFFSET(TblProd[[#This Row],[Gems]],-1,0)+OFFSET(TblProd[[#This Row],[Gems/hr]],-1,0) - TblProd[[#This Row],[Expenses Gems]]</f>
        <v>-1000</v>
      </c>
      <c r="O38" s="69" t="n">
        <f aca="false">OFFSET(TblProd[[#This Row],[Boats]],-1,0)+OFFSET(TblProd[[#This Row],[Boats/hr]],-1,0)</f>
        <v>2.75</v>
      </c>
      <c r="P38" s="69" t="n">
        <f aca="false">OFFSET(TblProd[[#This Row],[Prestige]],-1,0)</f>
        <v>250</v>
      </c>
      <c r="Q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8" s="69" t="n">
        <f aca="false">MAX(3750,_xlfn.CEILING.MATH(TblProd[[#This Row],[Land]]*2.5+OFFSET(TblTech[[#This Row],[Sum of tech]],-1,0)*150))</f>
        <v>3750</v>
      </c>
      <c r="S38" s="132"/>
      <c r="T38" s="69" t="n">
        <f aca="false">ROUNDDOWN(TblProd[[#This Row],[Raw Plat/hr]]*(1+TblProd[[#This Row],[Bonus Plat/hr]]),0)</f>
        <v>25755</v>
      </c>
      <c r="U38" s="69" t="n">
        <f aca="false">ROUND(TblProd[[#This Row],[Raw Food/hr]]*(1+TblProd[[#This Row],[Bonus Food/hr]])-TblProd[[#This Row],[Food decay]]-TblProd[[#This Row],[Food eaten]],0)</f>
        <v>-7321</v>
      </c>
      <c r="V38" s="69" t="n">
        <f aca="false">ROUND(TblProd[[#This Row],[Raw Lumber/hr]]*(1+TblProd[[#This Row],[Bonus Lumber/hr]])-TblProd[[#This Row],[Lumber rot]],0)</f>
        <v>928</v>
      </c>
      <c r="W38" s="69" t="n">
        <f aca="false">ROUND(TblProd[[#This Row],[Raw Mana/hr]]*(1+TblProd[[#This Row],[Bonus Mana/hr]])-TblProd[[#This Row],[Mana drain]],0)</f>
        <v>-17557</v>
      </c>
      <c r="X38" s="69" t="n">
        <f aca="false">ROUNDDOWN(TblProd[[#This Row],[Raw Ore/hr]]*(1+TblProd[[#This Row],[Bonux Ore/hr]]),0)</f>
        <v>0</v>
      </c>
      <c r="Y38" s="69" t="n">
        <f aca="false">ROUNDDOWN(TblProd[[#This Row],[Raw Gems/hr]]*(1+TblProd[[#This Row],[Bonus Gems/hr]]),0)</f>
        <v>0</v>
      </c>
      <c r="Z38" s="148" t="n">
        <f aca="false">OFFSET(TblConstr[[#This Row],[Tot Doc]],1,0)*dock_boats_hr * (1 + tech_4_1*TblTech[[#This Row],[4-1]])</f>
        <v>0.25</v>
      </c>
      <c r="AA38" s="146"/>
      <c r="AB38" s="69" t="n">
        <f aca="false">TblPop[[#This Row],[Peasants]]*tax*TblPop[[#This Row],[Employment]] + (Construction!AZ39+Construction!BX39)*(alch_plat+(Magic!AM38&gt;0)*alchemist_flame_bonus)</f>
        <v>23413.8</v>
      </c>
      <c r="AC38" s="69" t="n">
        <f aca="false">TblConstr[[#This Row],[Tot Farm]]*farm_food + TblConstr[[#This Row],[Tot Doc]]*dock_food</f>
        <v>680</v>
      </c>
      <c r="AD38" s="69" t="n">
        <f aca="false">TblConstr[[#This Row],[Tot Ly]]*ly_lumber + TblConstr[[#This Row],[Tot Hav]]*fh_lumber</f>
        <v>1150</v>
      </c>
      <c r="AE38" s="69" t="n">
        <f aca="false">OFFSET(TblConstr[[#This Row],[Tot Tow]],1,0)*(tower_mana + tech_4_5*TblTech[[#This Row],[4-5]]) + OFFSET(TblConstr[[#This Row],[Tot WG]],1,0)*wg_mana_prod</f>
        <v>450</v>
      </c>
      <c r="AF38" s="69" t="n">
        <f aca="false">OFFSET(TblConstr[[#This Row],[Tot OM]],1,0)*om_ore+IF(race="Dwarf",ROUNDDOWN(TblMili[[#This Row],[Unit 2]]*0.4,0),)</f>
        <v>0</v>
      </c>
      <c r="AG38" s="69" t="n">
        <f aca="false">OFFSET(TblConstr[[#This Row],[Tot DM]],1,0)*dm_gems</f>
        <v>0</v>
      </c>
      <c r="AH38" s="132"/>
      <c r="AI38" s="149" t="n">
        <f aca="false">MIN(race_platinum_bonus + IF(TblMagic[[#This Row],[Active Alch Frost]]&gt;0,alch_frost_bonus,IF(Magic!AD38&gt;0,midas_bonus)) + TblImps[[#This Row],[Science]] - TblProd[[#This Row],[Guard]]*(0.02 + tech_5_7*TblTech[[#This Row],[5-7]]) + tech_1_5*TblTech[[#This Row],[1-5]] + tech_4_4*TblTech[[#This Row],[4-4]], 0.5)</f>
        <v>0.1</v>
      </c>
      <c r="AJ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8" s="149" t="n">
        <f aca="false">race_lumber_bonus+ IF(TblMagic[[#This Row],[Active Gaia''s Blessing]]&gt;0,gaias_blessing_lumber)+ tech_1_3*TblTech[[#This Row],[1-3]] + tech_1_6*TblTech[[#This Row],[1-6]] + tech_3_3*TblTech[[#This Row],[3-3]]</f>
        <v>-0.1</v>
      </c>
      <c r="AL38" s="149" t="n">
        <f aca="false">race_mana_bonus+ 0 + TblImps[[#This Row],[Towers]] + tech_1_2*TblTech[[#This Row],[1-2]] + tech_3_4*TblTech[[#This Row],[3-4]]</f>
        <v>0</v>
      </c>
      <c r="AM38" s="149" t="n">
        <f aca="false">race_ore_bonus + IF(TblMagic[[#This Row],[Active Miner''s Sight]]&gt;0,miners_sight_bonus,IF(TblMagic[[#This Row],[Active Mining Strength]]&gt;0,mining_strength_bonus)) +  tech_1_6*TblTech[[#This Row],[1-6]]</f>
        <v>0</v>
      </c>
      <c r="AN38" s="149" t="n">
        <f aca="false">race_gem_bonus+ tech_3_2*TblTech[[#This Row],[3-2]] + tech_4_3*TblTech[[#This Row],[4-3]] + tech_6_2*TblTech[[#This Row],[6-2]]</f>
        <v>0.15</v>
      </c>
      <c r="AO38" s="132"/>
      <c r="AP38" s="69" t="n">
        <f aca="false">TblProd[[#This Row],[Food]]*food_decay * (1 + tech_2_1*TblTech[[#This Row],[2-1]] + tech_2_8*TblTech[[#This Row],[2-8]])</f>
        <v>6658.59</v>
      </c>
      <c r="AQ38" s="69" t="n">
        <f aca="false">(1+race_food_consumption)*TblPop[[#This Row],[Total]]*food_per_person*(1+tech_1_10*TblTech[[#This Row],[1-10]]+tech_7_5*TblTech[[#This Row],[7-5]])</f>
        <v>1359.5</v>
      </c>
      <c r="AR38" s="69" t="n">
        <f aca="false">TblProd[[#This Row],[Lumber]]*lumber_rot * (1 + tech_2_1*TblTech[[#This Row],[2-1]] + tech_2_8*TblTech[[#This Row],[2-8]] + tech_5_2*TblTech[[#This Row],[5-2]])</f>
        <v>106.53</v>
      </c>
      <c r="AS38" s="69" t="n">
        <f aca="false">TblProd[[#This Row],[Mana]]*mana_drain * (1 + tech_2_1*TblTech[[#This Row],[2-1]] + tech_2_8*TblTech[[#This Row],[2-8]])</f>
        <v>18007.11</v>
      </c>
      <c r="AT38" s="146"/>
      <c r="AU38" s="69" t="n">
        <f aca="false">TblExplore[[#This Row],[Platinum (2)]]+TblConstr[[#This Row],[Total Plat Cost]]+TblMili[[#This Row],[Plat Cost]]+TblRezone[[#This Row],[Platinum cost]]+TblImps[[#This Row],[P1]]-TblProd[[#This Row],[Bank Plat]]</f>
        <v>18622</v>
      </c>
      <c r="AV38" s="69" t="n">
        <f aca="false">TblConstr[[#This Row],[Total Lum Cost]]+TblImps[[#This Row],[L1]]-TblProd[[#This Row],[Bank Lumber]] + Military!$CL$25*TblMili[[#This Row],[Sec. rec. Cost]]</f>
        <v>132</v>
      </c>
      <c r="AW38" s="69" t="n">
        <f aca="false">TblMagic[[#This Row],[Mana cost]] + Military!$CL$26*TblMili[[#This Row],[Sec. rec. Cost]]</f>
        <v>0</v>
      </c>
      <c r="AX38" s="69" t="n">
        <f aca="false">Military!$CL$24*TblMili[[#This Row],[Sec. rec. Cost]]+TblImps[[#This Row],[O1]]-TblProd[[#This Row],[Bank Ore]]</f>
        <v>0</v>
      </c>
      <c r="AY38" s="69" t="n">
        <f aca="false">TblImps[[#This Row],[G1]]-TblProd[[#This Row],[Bank Gems]]</f>
        <v>0</v>
      </c>
      <c r="AZ38" s="132"/>
      <c r="BA38" s="33" t="n">
        <f aca="false">IF(TblProd[[#This Row],[Set Guard]]&lt;&gt;"",TblProd[[#This Row],[Set Guard]],OFFSET(TblProd[[#This Row],[Guard]],-1,0))</f>
        <v>0</v>
      </c>
      <c r="BB38" s="145"/>
      <c r="BC38" s="151" t="n">
        <f aca="false">TblProd[[#This Row],[Hour]]</f>
        <v>35</v>
      </c>
      <c r="BD38" s="152" t="n">
        <f aca="false">-TblProd[[#This Row],[Bank Lumber]] / 2 + -TblProd[[#This Row],[Bank Gems]] * 2 + -TblProd[[#This Row],[Bank Ore]] / 2</f>
        <v>0</v>
      </c>
      <c r="BE38" s="152"/>
      <c r="BF38" s="152"/>
      <c r="BG38" s="152"/>
      <c r="BH38" s="153" t="n">
        <f aca="false">TblProd[[#This Row],[Time]]</f>
        <v>45431.1666666667</v>
      </c>
      <c r="BI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J38" s="69" t="n">
        <f aca="false">TblProd[[#This Row],[Platinum]]</f>
        <v>42167</v>
      </c>
      <c r="BK38" s="69" t="n">
        <f aca="false">TblProd[[#This Row],[Food]]</f>
        <v>665859</v>
      </c>
      <c r="BL38" s="69" t="n">
        <f aca="false">TblProd[[#This Row],[Lumber]]</f>
        <v>10653</v>
      </c>
      <c r="BM38" s="69" t="n">
        <f aca="false">TblProd[[#This Row],[Mana]]</f>
        <v>900355.5</v>
      </c>
      <c r="BN38" s="69" t="n">
        <f aca="false">TblProd[[#This Row],[Ore]]</f>
        <v>-357</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5815</v>
      </c>
      <c r="G39" s="69"/>
      <c r="H39" s="69" t="e">
        <f aca="false">TblMili[[#This Row],[Networth (2)]]</f>
        <v>#VALUE!</v>
      </c>
      <c r="I39" s="69" t="n">
        <f aca="false">OFFSET(TblProd[[#This Row],[Platinum]],-1,0)+OFFSET(TblProd[[#This Row],[Plat/hr]],-1,0) - TblProd[[#This Row],[Expenses Platinum]] + IF(TblProd[[#This Row],[Plat Bonus]],TblPop[[#This Row],[Peasants]]*4) + SUM(TblConstr[[#This Row],[Dest Hom]:[Dest Doc]])*TblConstr[[#This Row],[CPA Platinum -DB]]*tech_3_3_2*TblTech[[#This Row],[3-3]]</f>
        <v>43805</v>
      </c>
      <c r="J39" s="69" t="n">
        <f aca="false">OFFSET(TblProd[[#This Row],[Food]],-1,0)+OFFSET(TblProd[[#This Row],[Food/hr]],-1,0)+ROUNDUP((TblConstr[[#This Row],[Farms]]*80+TblConstr[[#This Row],[Docks]]*35)*(1+OFFSET(TblProd[[#This Row],[Bonus Food/hr]],-1,0)),0)</f>
        <v>658702</v>
      </c>
      <c r="K39" s="69" t="n">
        <f aca="false">OFFSET(TblProd[[#This Row],[Lumber]],-1,0)+OFFSET(TblProd[[#This Row],[Lumber/hr]],-1,0) - TblProd[[#This Row],[Expenses Lumber]] + SUM(TblConstr[[#This Row],[Dest Hom]:[Dest Doc]])*TblConstr[[#This Row],[CPA Lumber -DB]]*tech_3_3_2*TblTech[[#This Row],[3-3]]</f>
        <v>10901</v>
      </c>
      <c r="L39" s="69" t="n">
        <f aca="false">OFFSET(TblProd[[#This Row],[Mana]],-1,0)+OFFSET(TblProd[[#This Row],[Mana/hr]],-1,0)- TblProd[[#This Row],[Expenses Mana]]</f>
        <v>882798.5</v>
      </c>
      <c r="M39" s="69" t="n">
        <f aca="false">OFFSET(TblProd[[#This Row],[Ore]],-1,0)+OFFSET(TblProd[[#This Row],[Ore/hr]],-1,0) -TblProd[[#This Row],[Expenses Ore]]</f>
        <v>-357</v>
      </c>
      <c r="N39" s="69" t="n">
        <f aca="false">OFFSET(TblProd[[#This Row],[Gems]],-1,0)+OFFSET(TblProd[[#This Row],[Gems/hr]],-1,0) - TblProd[[#This Row],[Expenses Gems]]</f>
        <v>-1000</v>
      </c>
      <c r="O39" s="69" t="n">
        <f aca="false">OFFSET(TblProd[[#This Row],[Boats]],-1,0)+OFFSET(TblProd[[#This Row],[Boats/hr]],-1,0)</f>
        <v>3</v>
      </c>
      <c r="P39" s="69" t="n">
        <f aca="false">OFFSET(TblProd[[#This Row],[Prestige]],-1,0)</f>
        <v>250</v>
      </c>
      <c r="Q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9" s="69" t="n">
        <f aca="false">MAX(3750,_xlfn.CEILING.MATH(TblProd[[#This Row],[Land]]*2.5+OFFSET(TblTech[[#This Row],[Sum of tech]],-1,0)*150))</f>
        <v>3750</v>
      </c>
      <c r="S39" s="132"/>
      <c r="T39" s="69" t="n">
        <f aca="false">ROUNDDOWN(TblProd[[#This Row],[Raw Plat/hr]]*(1+TblProd[[#This Row],[Bonus Plat/hr]]),0)</f>
        <v>26649</v>
      </c>
      <c r="U39" s="69" t="n">
        <f aca="false">ROUND(TblProd[[#This Row],[Raw Food/hr]]*(1+TblProd[[#This Row],[Bonus Food/hr]])-TblProd[[#This Row],[Food decay]]-TblProd[[#This Row],[Food eaten]],0)</f>
        <v>-7158</v>
      </c>
      <c r="V39" s="69" t="n">
        <f aca="false">ROUND(TblProd[[#This Row],[Raw Lumber/hr]]*(1+TblProd[[#This Row],[Bonus Lumber/hr]])-TblProd[[#This Row],[Lumber rot]],0)</f>
        <v>926</v>
      </c>
      <c r="W39" s="69" t="n">
        <f aca="false">ROUND(TblProd[[#This Row],[Raw Mana/hr]]*(1+TblProd[[#This Row],[Bonus Mana/hr]])-TblProd[[#This Row],[Mana drain]],0)</f>
        <v>-17206</v>
      </c>
      <c r="X39" s="69" t="n">
        <f aca="false">ROUNDDOWN(TblProd[[#This Row],[Raw Ore/hr]]*(1+TblProd[[#This Row],[Bonux Ore/hr]]),0)</f>
        <v>0</v>
      </c>
      <c r="Y39" s="69" t="n">
        <f aca="false">ROUNDDOWN(TblProd[[#This Row],[Raw Gems/hr]]*(1+TblProd[[#This Row],[Bonus Gems/hr]]),0)</f>
        <v>0</v>
      </c>
      <c r="Z39" s="148" t="n">
        <f aca="false">OFFSET(TblConstr[[#This Row],[Tot Doc]],1,0)*dock_boats_hr * (1 + tech_4_1*TblTech[[#This Row],[4-1]])</f>
        <v>0.25</v>
      </c>
      <c r="AA39" s="146"/>
      <c r="AB39" s="69" t="n">
        <f aca="false">TblPop[[#This Row],[Peasants]]*tax*TblPop[[#This Row],[Employment]] + (Construction!AZ40+Construction!BX40)*(alch_plat+(Magic!AM39&gt;0)*alchemist_flame_bonus)</f>
        <v>24226.5</v>
      </c>
      <c r="AC39" s="69" t="n">
        <f aca="false">TblConstr[[#This Row],[Tot Farm]]*farm_food + TblConstr[[#This Row],[Tot Doc]]*dock_food</f>
        <v>840</v>
      </c>
      <c r="AD39" s="69" t="n">
        <f aca="false">TblConstr[[#This Row],[Tot Ly]]*ly_lumber + TblConstr[[#This Row],[Tot Hav]]*fh_lumber</f>
        <v>1150</v>
      </c>
      <c r="AE39" s="69" t="n">
        <f aca="false">OFFSET(TblConstr[[#This Row],[Tot Tow]],1,0)*(tower_mana + tech_4_5*TblTech[[#This Row],[4-5]]) + OFFSET(TblConstr[[#This Row],[Tot WG]],1,0)*wg_mana_prod</f>
        <v>450</v>
      </c>
      <c r="AF39" s="69" t="n">
        <f aca="false">OFFSET(TblConstr[[#This Row],[Tot OM]],1,0)*om_ore+IF(race="Dwarf",ROUNDDOWN(TblMili[[#This Row],[Unit 2]]*0.4,0),)</f>
        <v>0</v>
      </c>
      <c r="AG39" s="69" t="n">
        <f aca="false">OFFSET(TblConstr[[#This Row],[Tot DM]],1,0)*dm_gems</f>
        <v>0</v>
      </c>
      <c r="AH39" s="132"/>
      <c r="AI39" s="149" t="n">
        <f aca="false">MIN(race_platinum_bonus + IF(TblMagic[[#This Row],[Active Alch Frost]]&gt;0,alch_frost_bonus,IF(Magic!AD39&gt;0,midas_bonus)) + TblImps[[#This Row],[Science]] - TblProd[[#This Row],[Guard]]*(0.02 + tech_5_7*TblTech[[#This Row],[5-7]]) + tech_1_5*TblTech[[#This Row],[1-5]] + tech_4_4*TblTech[[#This Row],[4-4]], 0.5)</f>
        <v>0.1</v>
      </c>
      <c r="AJ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9" s="149" t="n">
        <f aca="false">race_lumber_bonus+ IF(TblMagic[[#This Row],[Active Gaia''s Blessing]]&gt;0,gaias_blessing_lumber)+ tech_1_3*TblTech[[#This Row],[1-3]] + tech_1_6*TblTech[[#This Row],[1-6]] + tech_3_3*TblTech[[#This Row],[3-3]]</f>
        <v>-0.1</v>
      </c>
      <c r="AL39" s="149" t="n">
        <f aca="false">race_mana_bonus+ 0 + TblImps[[#This Row],[Towers]] + tech_1_2*TblTech[[#This Row],[1-2]] + tech_3_4*TblTech[[#This Row],[3-4]]</f>
        <v>0</v>
      </c>
      <c r="AM39" s="149" t="n">
        <f aca="false">race_ore_bonus + IF(TblMagic[[#This Row],[Active Miner''s Sight]]&gt;0,miners_sight_bonus,IF(TblMagic[[#This Row],[Active Mining Strength]]&gt;0,mining_strength_bonus)) +  tech_1_6*TblTech[[#This Row],[1-6]]</f>
        <v>0</v>
      </c>
      <c r="AN39" s="149" t="n">
        <f aca="false">race_gem_bonus+ tech_3_2*TblTech[[#This Row],[3-2]] + tech_4_3*TblTech[[#This Row],[4-3]] + tech_6_2*TblTech[[#This Row],[6-2]]</f>
        <v>0.15</v>
      </c>
      <c r="AO39" s="132"/>
      <c r="AP39" s="69" t="n">
        <f aca="false">TblProd[[#This Row],[Food]]*food_decay * (1 + tech_2_1*TblTech[[#This Row],[2-1]] + tech_2_8*TblTech[[#This Row],[2-8]])</f>
        <v>6587.02</v>
      </c>
      <c r="AQ39" s="69" t="n">
        <f aca="false">(1+race_food_consumption)*TblPop[[#This Row],[Total]]*food_per_person*(1+tech_1_10*TblTech[[#This Row],[1-10]]+tech_7_5*TblTech[[#This Row],[7-5]])</f>
        <v>1432.25</v>
      </c>
      <c r="AR39" s="69" t="n">
        <f aca="false">TblProd[[#This Row],[Lumber]]*lumber_rot * (1 + tech_2_1*TblTech[[#This Row],[2-1]] + tech_2_8*TblTech[[#This Row],[2-8]] + tech_5_2*TblTech[[#This Row],[5-2]])</f>
        <v>109.01</v>
      </c>
      <c r="AS39" s="69" t="n">
        <f aca="false">TblProd[[#This Row],[Mana]]*mana_drain * (1 + tech_2_1*TblTech[[#This Row],[2-1]] + tech_2_8*TblTech[[#This Row],[2-8]])</f>
        <v>17655.97</v>
      </c>
      <c r="AT39" s="146"/>
      <c r="AU39" s="69" t="n">
        <f aca="false">TblExplore[[#This Row],[Platinum (2)]]+TblConstr[[#This Row],[Total Plat Cost]]+TblMili[[#This Row],[Plat Cost]]+TblRezone[[#This Row],[Platinum cost]]+TblImps[[#This Row],[P1]]-TblProd[[#This Row],[Bank Plat]]</f>
        <v>24117</v>
      </c>
      <c r="AV39" s="69" t="n">
        <f aca="false">TblConstr[[#This Row],[Total Lum Cost]]+TblImps[[#This Row],[L1]]-TblProd[[#This Row],[Bank Lumber]] + Military!$CL$25*TblMili[[#This Row],[Sec. rec. Cost]]</f>
        <v>680</v>
      </c>
      <c r="AW39" s="69" t="n">
        <f aca="false">TblMagic[[#This Row],[Mana cost]] + Military!$CL$26*TblMili[[#This Row],[Sec. rec. Cost]]</f>
        <v>0</v>
      </c>
      <c r="AX39" s="69" t="n">
        <f aca="false">Military!$CL$24*TblMili[[#This Row],[Sec. rec. Cost]]+TblImps[[#This Row],[O1]]-TblProd[[#This Row],[Bank Ore]]</f>
        <v>0</v>
      </c>
      <c r="AY39" s="69" t="n">
        <f aca="false">TblImps[[#This Row],[G1]]-TblProd[[#This Row],[Bank Gems]]</f>
        <v>0</v>
      </c>
      <c r="AZ39" s="132"/>
      <c r="BA39" s="33" t="n">
        <f aca="false">IF(TblProd[[#This Row],[Set Guard]]&lt;&gt;"",TblProd[[#This Row],[Set Guard]],OFFSET(TblProd[[#This Row],[Guard]],-1,0))</f>
        <v>0</v>
      </c>
      <c r="BB39" s="145"/>
      <c r="BC39" s="151" t="n">
        <f aca="false">TblProd[[#This Row],[Hour]]</f>
        <v>36</v>
      </c>
      <c r="BD39" s="152" t="n">
        <f aca="false">-TblProd[[#This Row],[Bank Lumber]] / 2 + -TblProd[[#This Row],[Bank Gems]] * 2 + -TblProd[[#This Row],[Bank Ore]] / 2</f>
        <v>0</v>
      </c>
      <c r="BE39" s="152"/>
      <c r="BF39" s="152"/>
      <c r="BG39" s="152"/>
      <c r="BH39" s="153" t="n">
        <f aca="false">TblProd[[#This Row],[Time]]</f>
        <v>45431.2083333333</v>
      </c>
      <c r="BI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J39" s="69" t="n">
        <f aca="false">TblProd[[#This Row],[Platinum]]</f>
        <v>43805</v>
      </c>
      <c r="BK39" s="69" t="n">
        <f aca="false">TblProd[[#This Row],[Food]]</f>
        <v>658702</v>
      </c>
      <c r="BL39" s="69" t="n">
        <f aca="false">TblProd[[#This Row],[Lumber]]</f>
        <v>10901</v>
      </c>
      <c r="BM39" s="69" t="n">
        <f aca="false">TblProd[[#This Row],[Mana]]</f>
        <v>882798.5</v>
      </c>
      <c r="BN39" s="69" t="n">
        <f aca="false">TblProd[[#This Row],[Ore]]</f>
        <v>-357</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6132</v>
      </c>
      <c r="G40" s="69"/>
      <c r="H40" s="69" t="e">
        <f aca="false">TblMili[[#This Row],[Networth (2)]]</f>
        <v>#VALUE!</v>
      </c>
      <c r="I40" s="69" t="n">
        <f aca="false">OFFSET(TblProd[[#This Row],[Platinum]],-1,0)+OFFSET(TblProd[[#This Row],[Plat/hr]],-1,0) - TblProd[[#This Row],[Expenses Platinum]] + IF(TblProd[[#This Row],[Plat Bonus]],TblPop[[#This Row],[Peasants]]*4) + SUM(TblConstr[[#This Row],[Dest Hom]:[Dest Doc]])*TblConstr[[#This Row],[CPA Platinum -DB]]*tech_3_3_2*TblTech[[#This Row],[3-3]]</f>
        <v>50577</v>
      </c>
      <c r="J40" s="69" t="n">
        <f aca="false">OFFSET(TblProd[[#This Row],[Food]],-1,0)+OFFSET(TblProd[[#This Row],[Food/hr]],-1,0)+ROUNDUP((TblConstr[[#This Row],[Farms]]*80+TblConstr[[#This Row],[Docks]]*35)*(1+OFFSET(TblProd[[#This Row],[Bonus Food/hr]],-1,0)),0)</f>
        <v>651544</v>
      </c>
      <c r="K40" s="69" t="n">
        <f aca="false">OFFSET(TblProd[[#This Row],[Lumber]],-1,0)+OFFSET(TblProd[[#This Row],[Lumber/hr]],-1,0) - TblProd[[#This Row],[Expenses Lumber]] + SUM(TblConstr[[#This Row],[Dest Hom]:[Dest Doc]])*TblConstr[[#This Row],[CPA Lumber -DB]]*tech_3_3_2*TblTech[[#This Row],[3-3]]</f>
        <v>11827</v>
      </c>
      <c r="L40" s="69" t="n">
        <f aca="false">OFFSET(TblProd[[#This Row],[Mana]],-1,0)+OFFSET(TblProd[[#This Row],[Mana/hr]],-1,0)- TblProd[[#This Row],[Expenses Mana]]</f>
        <v>865592.5</v>
      </c>
      <c r="M40" s="69" t="n">
        <f aca="false">OFFSET(TblProd[[#This Row],[Ore]],-1,0)+OFFSET(TblProd[[#This Row],[Ore/hr]],-1,0) -TblProd[[#This Row],[Expenses Ore]]</f>
        <v>-357</v>
      </c>
      <c r="N40" s="69" t="n">
        <f aca="false">OFFSET(TblProd[[#This Row],[Gems]],-1,0)+OFFSET(TblProd[[#This Row],[Gems/hr]],-1,0) - TblProd[[#This Row],[Expenses Gems]]</f>
        <v>-1000</v>
      </c>
      <c r="O40" s="69" t="n">
        <f aca="false">OFFSET(TblProd[[#This Row],[Boats]],-1,0)+OFFSET(TblProd[[#This Row],[Boats/hr]],-1,0)</f>
        <v>3.25</v>
      </c>
      <c r="P40" s="69" t="n">
        <f aca="false">OFFSET(TblProd[[#This Row],[Prestige]],-1,0)</f>
        <v>250</v>
      </c>
      <c r="Q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0" s="69" t="n">
        <f aca="false">MAX(3750,_xlfn.CEILING.MATH(TblProd[[#This Row],[Land]]*2.5+OFFSET(TblTech[[#This Row],[Sum of tech]],-1,0)*150))</f>
        <v>3750</v>
      </c>
      <c r="S40" s="132"/>
      <c r="T40" s="69" t="n">
        <f aca="false">ROUNDDOWN(TblProd[[#This Row],[Raw Plat/hr]]*(1+TblProd[[#This Row],[Bonus Plat/hr]]),0)</f>
        <v>27590</v>
      </c>
      <c r="U40" s="69" t="n">
        <f aca="false">ROUND(TblProd[[#This Row],[Raw Food/hr]]*(1+TblProd[[#This Row],[Bonus Food/hr]])-TblProd[[#This Row],[Food decay]]-TblProd[[#This Row],[Food eaten]],0)</f>
        <v>-7164</v>
      </c>
      <c r="V40" s="69" t="n">
        <f aca="false">ROUND(TblProd[[#This Row],[Raw Lumber/hr]]*(1+TblProd[[#This Row],[Bonus Lumber/hr]])-TblProd[[#This Row],[Lumber rot]],0)</f>
        <v>917</v>
      </c>
      <c r="W40" s="69" t="n">
        <f aca="false">ROUND(TblProd[[#This Row],[Raw Mana/hr]]*(1+TblProd[[#This Row],[Bonus Mana/hr]])-TblProd[[#This Row],[Mana drain]],0)</f>
        <v>-16862</v>
      </c>
      <c r="X40" s="69" t="n">
        <f aca="false">ROUNDDOWN(TblProd[[#This Row],[Raw Ore/hr]]*(1+TblProd[[#This Row],[Bonux Ore/hr]]),0)</f>
        <v>0</v>
      </c>
      <c r="Y40" s="69" t="n">
        <f aca="false">ROUNDDOWN(TblProd[[#This Row],[Raw Gems/hr]]*(1+TblProd[[#This Row],[Bonus Gems/hr]]),0)</f>
        <v>0</v>
      </c>
      <c r="Z40" s="148" t="n">
        <f aca="false">OFFSET(TblConstr[[#This Row],[Tot Doc]],1,0)*dock_boats_hr * (1 + tech_4_1*TblTech[[#This Row],[4-1]])</f>
        <v>0.25</v>
      </c>
      <c r="AA40" s="146"/>
      <c r="AB40" s="69" t="n">
        <f aca="false">TblPop[[#This Row],[Peasants]]*tax*TblPop[[#This Row],[Employment]] + (Construction!AZ41+Construction!BX41)*(alch_plat+(Magic!AM40&gt;0)*alchemist_flame_bonus)</f>
        <v>25082.4</v>
      </c>
      <c r="AC40" s="69" t="n">
        <f aca="false">TblConstr[[#This Row],[Tot Farm]]*farm_food + TblConstr[[#This Row],[Tot Doc]]*dock_food</f>
        <v>840</v>
      </c>
      <c r="AD40" s="69" t="n">
        <f aca="false">TblConstr[[#This Row],[Tot Ly]]*ly_lumber + TblConstr[[#This Row],[Tot Hav]]*fh_lumber</f>
        <v>1150</v>
      </c>
      <c r="AE40" s="69" t="n">
        <f aca="false">OFFSET(TblConstr[[#This Row],[Tot Tow]],1,0)*(tower_mana + tech_4_5*TblTech[[#This Row],[4-5]]) + OFFSET(TblConstr[[#This Row],[Tot WG]],1,0)*wg_mana_prod</f>
        <v>450</v>
      </c>
      <c r="AF40" s="69" t="n">
        <f aca="false">OFFSET(TblConstr[[#This Row],[Tot OM]],1,0)*om_ore+IF(race="Dwarf",ROUNDDOWN(TblMili[[#This Row],[Unit 2]]*0.4,0),)</f>
        <v>0</v>
      </c>
      <c r="AG40" s="69" t="n">
        <f aca="false">OFFSET(TblConstr[[#This Row],[Tot DM]],1,0)*dm_gems</f>
        <v>0</v>
      </c>
      <c r="AH40" s="132"/>
      <c r="AI40" s="149" t="n">
        <f aca="false">MIN(race_platinum_bonus + IF(TblMagic[[#This Row],[Active Alch Frost]]&gt;0,alch_frost_bonus,IF(Magic!AD40&gt;0,midas_bonus)) + TblImps[[#This Row],[Science]] - TblProd[[#This Row],[Guard]]*(0.02 + tech_5_7*TblTech[[#This Row],[5-7]]) + tech_1_5*TblTech[[#This Row],[1-5]] + tech_4_4*TblTech[[#This Row],[4-4]], 0.5)</f>
        <v>0.1</v>
      </c>
      <c r="AJ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0" s="149" t="n">
        <f aca="false">race_lumber_bonus+ IF(TblMagic[[#This Row],[Active Gaia''s Blessing]]&gt;0,gaias_blessing_lumber)+ tech_1_3*TblTech[[#This Row],[1-3]] + tech_1_6*TblTech[[#This Row],[1-6]] + tech_3_3*TblTech[[#This Row],[3-3]]</f>
        <v>-0.1</v>
      </c>
      <c r="AL40" s="149" t="n">
        <f aca="false">race_mana_bonus+ 0 + TblImps[[#This Row],[Towers]] + tech_1_2*TblTech[[#This Row],[1-2]] + tech_3_4*TblTech[[#This Row],[3-4]]</f>
        <v>0</v>
      </c>
      <c r="AM40" s="149" t="n">
        <f aca="false">race_ore_bonus + IF(TblMagic[[#This Row],[Active Miner''s Sight]]&gt;0,miners_sight_bonus,IF(TblMagic[[#This Row],[Active Mining Strength]]&gt;0,mining_strength_bonus)) +  tech_1_6*TblTech[[#This Row],[1-6]]</f>
        <v>0</v>
      </c>
      <c r="AN40" s="149" t="n">
        <f aca="false">race_gem_bonus+ tech_3_2*TblTech[[#This Row],[3-2]] + tech_4_3*TblTech[[#This Row],[4-3]] + tech_6_2*TblTech[[#This Row],[6-2]]</f>
        <v>0.15</v>
      </c>
      <c r="AO40" s="132"/>
      <c r="AP40" s="69" t="n">
        <f aca="false">TblProd[[#This Row],[Food]]*food_decay * (1 + tech_2_1*TblTech[[#This Row],[2-1]] + tech_2_8*TblTech[[#This Row],[2-8]])</f>
        <v>6515.44</v>
      </c>
      <c r="AQ40" s="69" t="n">
        <f aca="false">(1+race_food_consumption)*TblPop[[#This Row],[Total]]*food_per_person*(1+tech_1_10*TblTech[[#This Row],[1-10]]+tech_7_5*TblTech[[#This Row],[7-5]])</f>
        <v>1509.75</v>
      </c>
      <c r="AR40" s="69" t="n">
        <f aca="false">TblProd[[#This Row],[Lumber]]*lumber_rot * (1 + tech_2_1*TblTech[[#This Row],[2-1]] + tech_2_8*TblTech[[#This Row],[2-8]] + tech_5_2*TblTech[[#This Row],[5-2]])</f>
        <v>118.27</v>
      </c>
      <c r="AS40" s="69" t="n">
        <f aca="false">TblProd[[#This Row],[Mana]]*mana_drain * (1 + tech_2_1*TblTech[[#This Row],[2-1]] + tech_2_8*TblTech[[#This Row],[2-8]])</f>
        <v>17311.85</v>
      </c>
      <c r="AT40" s="146"/>
      <c r="AU40" s="69" t="n">
        <f aca="false">TblExplore[[#This Row],[Platinum (2)]]+TblConstr[[#This Row],[Total Plat Cost]]+TblMili[[#This Row],[Plat Cost]]+TblRezone[[#This Row],[Platinum cost]]+TblImps[[#This Row],[P1]]-TblProd[[#This Row],[Bank Plat]]</f>
        <v>19877</v>
      </c>
      <c r="AV40" s="69" t="n">
        <f aca="false">TblConstr[[#This Row],[Total Lum Cost]]+TblImps[[#This Row],[L1]]-TblProd[[#This Row],[Bank Lumber]] + Military!$CL$25*TblMili[[#This Row],[Sec. rec. Cost]]</f>
        <v>0</v>
      </c>
      <c r="AW40" s="69" t="n">
        <f aca="false">TblMagic[[#This Row],[Mana cost]] + Military!$CL$26*TblMili[[#This Row],[Sec. rec. Cost]]</f>
        <v>0</v>
      </c>
      <c r="AX40" s="69" t="n">
        <f aca="false">Military!$CL$24*TblMili[[#This Row],[Sec. rec. Cost]]+TblImps[[#This Row],[O1]]-TblProd[[#This Row],[Bank Ore]]</f>
        <v>0</v>
      </c>
      <c r="AY40" s="69" t="n">
        <f aca="false">TblImps[[#This Row],[G1]]-TblProd[[#This Row],[Bank Gems]]</f>
        <v>0</v>
      </c>
      <c r="AZ40" s="132"/>
      <c r="BA40" s="33" t="n">
        <f aca="false">IF(TblProd[[#This Row],[Set Guard]]&lt;&gt;"",TblProd[[#This Row],[Set Guard]],OFFSET(TblProd[[#This Row],[Guard]],-1,0))</f>
        <v>0</v>
      </c>
      <c r="BB40" s="145"/>
      <c r="BC40" s="151" t="n">
        <f aca="false">TblProd[[#This Row],[Hour]]</f>
        <v>37</v>
      </c>
      <c r="BD40" s="152" t="n">
        <f aca="false">-TblProd[[#This Row],[Bank Lumber]] / 2 + -TblProd[[#This Row],[Bank Gems]] * 2 + -TblProd[[#This Row],[Bank Ore]] / 2</f>
        <v>0</v>
      </c>
      <c r="BE40" s="152"/>
      <c r="BF40" s="152"/>
      <c r="BG40" s="152"/>
      <c r="BH40" s="153" t="n">
        <f aca="false">TblProd[[#This Row],[Time]]</f>
        <v>45431.25</v>
      </c>
      <c r="BI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J40" s="69" t="n">
        <f aca="false">TblProd[[#This Row],[Platinum]]</f>
        <v>50577</v>
      </c>
      <c r="BK40" s="69" t="n">
        <f aca="false">TblProd[[#This Row],[Food]]</f>
        <v>651544</v>
      </c>
      <c r="BL40" s="69" t="n">
        <f aca="false">TblProd[[#This Row],[Lumber]]</f>
        <v>11827</v>
      </c>
      <c r="BM40" s="69" t="n">
        <f aca="false">TblProd[[#This Row],[Mana]]</f>
        <v>865592.5</v>
      </c>
      <c r="BN40" s="69" t="n">
        <f aca="false">TblProd[[#This Row],[Ore]]</f>
        <v>-357</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6467</v>
      </c>
      <c r="G41" s="69"/>
      <c r="H41" s="69" t="e">
        <f aca="false">TblMili[[#This Row],[Networth (2)]]</f>
        <v>#VALUE!</v>
      </c>
      <c r="I41" s="69" t="n">
        <f aca="false">OFFSET(TblProd[[#This Row],[Platinum]],-1,0)+OFFSET(TblProd[[#This Row],[Plat/hr]],-1,0) - TblProd[[#This Row],[Expenses Platinum]] + IF(TblProd[[#This Row],[Plat Bonus]],TblPop[[#This Row],[Peasants]]*4) + SUM(TblConstr[[#This Row],[Dest Hom]:[Dest Doc]])*TblConstr[[#This Row],[CPA Platinum -DB]]*tech_3_3_2*TblTech[[#This Row],[3-3]]</f>
        <v>58290</v>
      </c>
      <c r="J41" s="69" t="n">
        <f aca="false">OFFSET(TblProd[[#This Row],[Food]],-1,0)+OFFSET(TblProd[[#This Row],[Food/hr]],-1,0)+ROUNDUP((TblConstr[[#This Row],[Farms]]*80+TblConstr[[#This Row],[Docks]]*35)*(1+OFFSET(TblProd[[#This Row],[Bonus Food/hr]],-1,0)),0)</f>
        <v>644380</v>
      </c>
      <c r="K41" s="69" t="n">
        <f aca="false">OFFSET(TblProd[[#This Row],[Lumber]],-1,0)+OFFSET(TblProd[[#This Row],[Lumber/hr]],-1,0) - TblProd[[#This Row],[Expenses Lumber]] + SUM(TblConstr[[#This Row],[Dest Hom]:[Dest Doc]])*TblConstr[[#This Row],[CPA Lumber -DB]]*tech_3_3_2*TblTech[[#This Row],[3-3]]</f>
        <v>12744</v>
      </c>
      <c r="L41" s="69" t="n">
        <f aca="false">OFFSET(TblProd[[#This Row],[Mana]],-1,0)+OFFSET(TblProd[[#This Row],[Mana/hr]],-1,0)- TblProd[[#This Row],[Expenses Mana]]</f>
        <v>845588</v>
      </c>
      <c r="M41" s="69" t="n">
        <f aca="false">OFFSET(TblProd[[#This Row],[Ore]],-1,0)+OFFSET(TblProd[[#This Row],[Ore/hr]],-1,0) -TblProd[[#This Row],[Expenses Ore]]</f>
        <v>-357</v>
      </c>
      <c r="N41" s="69" t="n">
        <f aca="false">OFFSET(TblProd[[#This Row],[Gems]],-1,0)+OFFSET(TblProd[[#This Row],[Gems/hr]],-1,0) - TblProd[[#This Row],[Expenses Gems]]</f>
        <v>-1000</v>
      </c>
      <c r="O41" s="69" t="n">
        <f aca="false">OFFSET(TblProd[[#This Row],[Boats]],-1,0)+OFFSET(TblProd[[#This Row],[Boats/hr]],-1,0)</f>
        <v>3.5</v>
      </c>
      <c r="P41" s="69" t="n">
        <f aca="false">OFFSET(TblProd[[#This Row],[Prestige]],-1,0)</f>
        <v>250</v>
      </c>
      <c r="Q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1" s="69" t="n">
        <f aca="false">MAX(3750,_xlfn.CEILING.MATH(TblProd[[#This Row],[Land]]*2.5+OFFSET(TblTech[[#This Row],[Sum of tech]],-1,0)*150))</f>
        <v>3750</v>
      </c>
      <c r="S41" s="132"/>
      <c r="T41" s="69" t="n">
        <f aca="false">ROUNDDOWN(TblProd[[#This Row],[Raw Plat/hr]]*(1+TblProd[[#This Row],[Bonus Plat/hr]]),0)</f>
        <v>27896</v>
      </c>
      <c r="U41" s="69" t="n">
        <f aca="false">ROUND(TblProd[[#This Row],[Raw Food/hr]]*(1+TblProd[[#This Row],[Bonus Food/hr]])-TblProd[[#This Row],[Food decay]]-TblProd[[#This Row],[Food eaten]],0)</f>
        <v>-7175</v>
      </c>
      <c r="V41" s="69" t="n">
        <f aca="false">ROUND(TblProd[[#This Row],[Raw Lumber/hr]]*(1+TblProd[[#This Row],[Bonus Lumber/hr]])-TblProd[[#This Row],[Lumber rot]],0)</f>
        <v>908</v>
      </c>
      <c r="W41" s="69" t="n">
        <f aca="false">ROUND(TblProd[[#This Row],[Raw Mana/hr]]*(1+TblProd[[#This Row],[Bonus Mana/hr]])-TblProd[[#This Row],[Mana drain]],0)</f>
        <v>-16462</v>
      </c>
      <c r="X41" s="69" t="n">
        <f aca="false">ROUNDDOWN(TblProd[[#This Row],[Raw Ore/hr]]*(1+TblProd[[#This Row],[Bonux Ore/hr]]),0)</f>
        <v>0</v>
      </c>
      <c r="Y41" s="69" t="n">
        <f aca="false">ROUNDDOWN(TblProd[[#This Row],[Raw Gems/hr]]*(1+TblProd[[#This Row],[Bonus Gems/hr]]),0)</f>
        <v>0</v>
      </c>
      <c r="Z41" s="148" t="n">
        <f aca="false">OFFSET(TblConstr[[#This Row],[Tot Doc]],1,0)*dock_boats_hr * (1 + tech_4_1*TblTech[[#This Row],[4-1]])</f>
        <v>0.25</v>
      </c>
      <c r="AA41" s="146"/>
      <c r="AB41" s="69" t="n">
        <f aca="false">TblPop[[#This Row],[Peasants]]*tax*TblPop[[#This Row],[Employment]] + (Construction!AZ42+Construction!BX42)*(alch_plat+(Magic!AM41&gt;0)*alchemist_flame_bonus)</f>
        <v>25360.5</v>
      </c>
      <c r="AC41" s="69" t="n">
        <f aca="false">TblConstr[[#This Row],[Tot Farm]]*farm_food + TblConstr[[#This Row],[Tot Doc]]*dock_food</f>
        <v>840</v>
      </c>
      <c r="AD41" s="69" t="n">
        <f aca="false">TblConstr[[#This Row],[Tot Ly]]*ly_lumber + TblConstr[[#This Row],[Tot Hav]]*fh_lumber</f>
        <v>1150</v>
      </c>
      <c r="AE41" s="69" t="n">
        <f aca="false">OFFSET(TblConstr[[#This Row],[Tot Tow]],1,0)*(tower_mana + tech_4_5*TblTech[[#This Row],[4-5]]) + OFFSET(TblConstr[[#This Row],[Tot WG]],1,0)*wg_mana_prod</f>
        <v>450</v>
      </c>
      <c r="AF41" s="69" t="n">
        <f aca="false">OFFSET(TblConstr[[#This Row],[Tot OM]],1,0)*om_ore+IF(race="Dwarf",ROUNDDOWN(TblMili[[#This Row],[Unit 2]]*0.4,0),)</f>
        <v>0</v>
      </c>
      <c r="AG41" s="69" t="n">
        <f aca="false">OFFSET(TblConstr[[#This Row],[Tot DM]],1,0)*dm_gems</f>
        <v>0</v>
      </c>
      <c r="AH41" s="132"/>
      <c r="AI41" s="149" t="n">
        <f aca="false">MIN(race_platinum_bonus + IF(TblMagic[[#This Row],[Active Alch Frost]]&gt;0,alch_frost_bonus,IF(Magic!AD41&gt;0,midas_bonus)) + TblImps[[#This Row],[Science]] - TblProd[[#This Row],[Guard]]*(0.02 + tech_5_7*TblTech[[#This Row],[5-7]]) + tech_1_5*TblTech[[#This Row],[1-5]] + tech_4_4*TblTech[[#This Row],[4-4]], 0.5)</f>
        <v>0.1</v>
      </c>
      <c r="AJ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1" s="149" t="n">
        <f aca="false">race_lumber_bonus+ IF(TblMagic[[#This Row],[Active Gaia''s Blessing]]&gt;0,gaias_blessing_lumber)+ tech_1_3*TblTech[[#This Row],[1-3]] + tech_1_6*TblTech[[#This Row],[1-6]] + tech_3_3*TblTech[[#This Row],[3-3]]</f>
        <v>-0.1</v>
      </c>
      <c r="AL41" s="149" t="n">
        <f aca="false">race_mana_bonus+ 0 + TblImps[[#This Row],[Towers]] + tech_1_2*TblTech[[#This Row],[1-2]] + tech_3_4*TblTech[[#This Row],[3-4]]</f>
        <v>0</v>
      </c>
      <c r="AM41" s="149" t="n">
        <f aca="false">race_ore_bonus + IF(TblMagic[[#This Row],[Active Miner''s Sight]]&gt;0,miners_sight_bonus,IF(TblMagic[[#This Row],[Active Mining Strength]]&gt;0,mining_strength_bonus)) +  tech_1_6*TblTech[[#This Row],[1-6]]</f>
        <v>0</v>
      </c>
      <c r="AN41" s="149" t="n">
        <f aca="false">race_gem_bonus+ tech_3_2*TblTech[[#This Row],[3-2]] + tech_4_3*TblTech[[#This Row],[4-3]] + tech_6_2*TblTech[[#This Row],[6-2]]</f>
        <v>0.15</v>
      </c>
      <c r="AO41" s="132"/>
      <c r="AP41" s="69" t="n">
        <f aca="false">TblProd[[#This Row],[Food]]*food_decay * (1 + tech_2_1*TblTech[[#This Row],[2-1]] + tech_2_8*TblTech[[#This Row],[2-8]])</f>
        <v>6443.8</v>
      </c>
      <c r="AQ41" s="69" t="n">
        <f aca="false">(1+race_food_consumption)*TblPop[[#This Row],[Total]]*food_per_person*(1+tech_1_10*TblTech[[#This Row],[1-10]]+tech_7_5*TblTech[[#This Row],[7-5]])</f>
        <v>1592.5</v>
      </c>
      <c r="AR41" s="69" t="n">
        <f aca="false">TblProd[[#This Row],[Lumber]]*lumber_rot * (1 + tech_2_1*TblTech[[#This Row],[2-1]] + tech_2_8*TblTech[[#This Row],[2-8]] + tech_5_2*TblTech[[#This Row],[5-2]])</f>
        <v>127.44</v>
      </c>
      <c r="AS41" s="69" t="n">
        <f aca="false">TblProd[[#This Row],[Mana]]*mana_drain * (1 + tech_2_1*TblTech[[#This Row],[2-1]] + tech_2_8*TblTech[[#This Row],[2-8]])</f>
        <v>16911.76</v>
      </c>
      <c r="AT41" s="146"/>
      <c r="AU41" s="69" t="n">
        <f aca="false">TblExplore[[#This Row],[Platinum (2)]]+TblConstr[[#This Row],[Total Plat Cost]]+TblMili[[#This Row],[Plat Cost]]+TblRezone[[#This Row],[Platinum cost]]+TblImps[[#This Row],[P1]]-TblProd[[#This Row],[Bank Plat]]</f>
        <v>19877</v>
      </c>
      <c r="AV41" s="69" t="n">
        <f aca="false">TblConstr[[#This Row],[Total Lum Cost]]+TblImps[[#This Row],[L1]]-TblProd[[#This Row],[Bank Lumber]] + Military!$CL$25*TblMili[[#This Row],[Sec. rec. Cost]]</f>
        <v>0</v>
      </c>
      <c r="AW41" s="69" t="n">
        <f aca="false">TblMagic[[#This Row],[Mana cost]] + Military!$CL$26*TblMili[[#This Row],[Sec. rec. Cost]]</f>
        <v>3142.5</v>
      </c>
      <c r="AX41" s="69" t="n">
        <f aca="false">Military!$CL$24*TblMili[[#This Row],[Sec. rec. Cost]]+TblImps[[#This Row],[O1]]-TblProd[[#This Row],[Bank Ore]]</f>
        <v>0</v>
      </c>
      <c r="AY41" s="69" t="n">
        <f aca="false">TblImps[[#This Row],[G1]]-TblProd[[#This Row],[Bank Gems]]</f>
        <v>0</v>
      </c>
      <c r="AZ41" s="132"/>
      <c r="BA41" s="33" t="n">
        <f aca="false">IF(TblProd[[#This Row],[Set Guard]]&lt;&gt;"",TblProd[[#This Row],[Set Guard]],OFFSET(TblProd[[#This Row],[Guard]],-1,0))</f>
        <v>0</v>
      </c>
      <c r="BB41" s="145"/>
      <c r="BC41" s="151" t="n">
        <f aca="false">TblProd[[#This Row],[Hour]]</f>
        <v>38</v>
      </c>
      <c r="BD41" s="152" t="n">
        <f aca="false">-TblProd[[#This Row],[Bank Lumber]] / 2 + -TblProd[[#This Row],[Bank Gems]] * 2 + -TblProd[[#This Row],[Bank Ore]] / 2</f>
        <v>0</v>
      </c>
      <c r="BE41" s="152"/>
      <c r="BF41" s="152"/>
      <c r="BG41" s="152"/>
      <c r="BH41" s="153" t="n">
        <f aca="false">TblProd[[#This Row],[Time]]</f>
        <v>45431.2916666667</v>
      </c>
      <c r="BI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J41" s="69" t="n">
        <f aca="false">TblProd[[#This Row],[Platinum]]</f>
        <v>58290</v>
      </c>
      <c r="BK41" s="69" t="n">
        <f aca="false">TblProd[[#This Row],[Food]]</f>
        <v>644380</v>
      </c>
      <c r="BL41" s="69" t="n">
        <f aca="false">TblProd[[#This Row],[Lumber]]</f>
        <v>12744</v>
      </c>
      <c r="BM41" s="69" t="n">
        <f aca="false">TblProd[[#This Row],[Mana]]</f>
        <v>845588</v>
      </c>
      <c r="BN41" s="69" t="n">
        <f aca="false">TblProd[[#This Row],[Ore]]</f>
        <v>-357</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6796</v>
      </c>
      <c r="G42" s="69"/>
      <c r="H42" s="69" t="e">
        <f aca="false">TblMili[[#This Row],[Networth (2)]]</f>
        <v>#VALUE!</v>
      </c>
      <c r="I42" s="69" t="n">
        <f aca="false">OFFSET(TblProd[[#This Row],[Platinum]],-1,0)+OFFSET(TblProd[[#This Row],[Plat/hr]],-1,0) - TblProd[[#This Row],[Expenses Platinum]] + IF(TblProd[[#This Row],[Plat Bonus]],TblPop[[#This Row],[Peasants]]*4) + SUM(TblConstr[[#This Row],[Dest Hom]:[Dest Doc]])*TblConstr[[#This Row],[CPA Platinum -DB]]*tech_3_3_2*TblTech[[#This Row],[3-3]]</f>
        <v>64780</v>
      </c>
      <c r="J42" s="69" t="n">
        <f aca="false">OFFSET(TblProd[[#This Row],[Food]],-1,0)+OFFSET(TblProd[[#This Row],[Food/hr]],-1,0)+ROUNDUP((TblConstr[[#This Row],[Farms]]*80+TblConstr[[#This Row],[Docks]]*35)*(1+OFFSET(TblProd[[#This Row],[Bonus Food/hr]],-1,0)),0)</f>
        <v>637205</v>
      </c>
      <c r="K42" s="69" t="n">
        <f aca="false">OFFSET(TblProd[[#This Row],[Lumber]],-1,0)+OFFSET(TblProd[[#This Row],[Lumber/hr]],-1,0) - TblProd[[#This Row],[Expenses Lumber]] + SUM(TblConstr[[#This Row],[Dest Hom]:[Dest Doc]])*TblConstr[[#This Row],[CPA Lumber -DB]]*tech_3_3_2*TblTech[[#This Row],[3-3]]</f>
        <v>13652</v>
      </c>
      <c r="L42" s="69" t="n">
        <f aca="false">OFFSET(TblProd[[#This Row],[Mana]],-1,0)+OFFSET(TblProd[[#This Row],[Mana/hr]],-1,0)- TblProd[[#This Row],[Expenses Mana]]</f>
        <v>829126</v>
      </c>
      <c r="M42" s="69" t="n">
        <f aca="false">OFFSET(TblProd[[#This Row],[Ore]],-1,0)+OFFSET(TblProd[[#This Row],[Ore/hr]],-1,0) -TblProd[[#This Row],[Expenses Ore]]</f>
        <v>-357</v>
      </c>
      <c r="N42" s="69" t="n">
        <f aca="false">OFFSET(TblProd[[#This Row],[Gems]],-1,0)+OFFSET(TblProd[[#This Row],[Gems/hr]],-1,0) - TblProd[[#This Row],[Expenses Gems]]</f>
        <v>-1000</v>
      </c>
      <c r="O42" s="69" t="n">
        <f aca="false">OFFSET(TblProd[[#This Row],[Boats]],-1,0)+OFFSET(TblProd[[#This Row],[Boats/hr]],-1,0)</f>
        <v>3.75</v>
      </c>
      <c r="P42" s="69" t="n">
        <f aca="false">OFFSET(TblProd[[#This Row],[Prestige]],-1,0)</f>
        <v>250</v>
      </c>
      <c r="Q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2" s="69" t="n">
        <f aca="false">MAX(3750,_xlfn.CEILING.MATH(TblProd[[#This Row],[Land]]*2.5+OFFSET(TblTech[[#This Row],[Sum of tech]],-1,0)*150))</f>
        <v>3750</v>
      </c>
      <c r="S42" s="132"/>
      <c r="T42" s="69" t="n">
        <f aca="false">ROUNDDOWN(TblProd[[#This Row],[Raw Plat/hr]]*(1+TblProd[[#This Row],[Bonus Plat/hr]]),0)</f>
        <v>27896</v>
      </c>
      <c r="U42" s="69" t="n">
        <f aca="false">ROUND(TblProd[[#This Row],[Raw Food/hr]]*(1+TblProd[[#This Row],[Bonus Food/hr]])-TblProd[[#This Row],[Food decay]]-TblProd[[#This Row],[Food eaten]],0)</f>
        <v>-7185</v>
      </c>
      <c r="V42" s="69" t="n">
        <f aca="false">ROUND(TblProd[[#This Row],[Raw Lumber/hr]]*(1+TblProd[[#This Row],[Bonus Lumber/hr]])-TblProd[[#This Row],[Lumber rot]],0)</f>
        <v>898</v>
      </c>
      <c r="W42" s="69" t="n">
        <f aca="false">ROUND(TblProd[[#This Row],[Raw Mana/hr]]*(1+TblProd[[#This Row],[Bonus Mana/hr]])-TblProd[[#This Row],[Mana drain]],0)</f>
        <v>-16133</v>
      </c>
      <c r="X42" s="69" t="n">
        <f aca="false">ROUNDDOWN(TblProd[[#This Row],[Raw Ore/hr]]*(1+TblProd[[#This Row],[Bonux Ore/hr]]),0)</f>
        <v>0</v>
      </c>
      <c r="Y42" s="69" t="n">
        <f aca="false">ROUNDDOWN(TblProd[[#This Row],[Raw Gems/hr]]*(1+TblProd[[#This Row],[Bonus Gems/hr]]),0)</f>
        <v>0</v>
      </c>
      <c r="Z42" s="148" t="n">
        <f aca="false">OFFSET(TblConstr[[#This Row],[Tot Doc]],1,0)*dock_boats_hr * (1 + tech_4_1*TblTech[[#This Row],[4-1]])</f>
        <v>0.25</v>
      </c>
      <c r="AA42" s="146"/>
      <c r="AB42" s="69" t="n">
        <f aca="false">TblPop[[#This Row],[Peasants]]*tax*TblPop[[#This Row],[Employment]] + (Construction!AZ43+Construction!BX43)*(alch_plat+(Magic!AM42&gt;0)*alchemist_flame_bonus)</f>
        <v>25360.5</v>
      </c>
      <c r="AC42" s="69" t="n">
        <f aca="false">TblConstr[[#This Row],[Tot Farm]]*farm_food + TblConstr[[#This Row],[Tot Doc]]*dock_food</f>
        <v>840</v>
      </c>
      <c r="AD42" s="69" t="n">
        <f aca="false">TblConstr[[#This Row],[Tot Ly]]*ly_lumber + TblConstr[[#This Row],[Tot Hav]]*fh_lumber</f>
        <v>1150</v>
      </c>
      <c r="AE42" s="69" t="n">
        <f aca="false">OFFSET(TblConstr[[#This Row],[Tot Tow]],1,0)*(tower_mana + tech_4_5*TblTech[[#This Row],[4-5]]) + OFFSET(TblConstr[[#This Row],[Tot WG]],1,0)*wg_mana_prod</f>
        <v>450</v>
      </c>
      <c r="AF42" s="69" t="n">
        <f aca="false">OFFSET(TblConstr[[#This Row],[Tot OM]],1,0)*om_ore+IF(race="Dwarf",ROUNDDOWN(TblMili[[#This Row],[Unit 2]]*0.4,0),)</f>
        <v>0</v>
      </c>
      <c r="AG42" s="69" t="n">
        <f aca="false">OFFSET(TblConstr[[#This Row],[Tot DM]],1,0)*dm_gems</f>
        <v>0</v>
      </c>
      <c r="AH42" s="132"/>
      <c r="AI42" s="149" t="n">
        <f aca="false">MIN(race_platinum_bonus + IF(TblMagic[[#This Row],[Active Alch Frost]]&gt;0,alch_frost_bonus,IF(Magic!AD42&gt;0,midas_bonus)) + TblImps[[#This Row],[Science]] - TblProd[[#This Row],[Guard]]*(0.02 + tech_5_7*TblTech[[#This Row],[5-7]]) + tech_1_5*TblTech[[#This Row],[1-5]] + tech_4_4*TblTech[[#This Row],[4-4]], 0.5)</f>
        <v>0.1</v>
      </c>
      <c r="AJ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2" s="149" t="n">
        <f aca="false">race_lumber_bonus+ IF(TblMagic[[#This Row],[Active Gaia''s Blessing]]&gt;0,gaias_blessing_lumber)+ tech_1_3*TblTech[[#This Row],[1-3]] + tech_1_6*TblTech[[#This Row],[1-6]] + tech_3_3*TblTech[[#This Row],[3-3]]</f>
        <v>-0.1</v>
      </c>
      <c r="AL42" s="149" t="n">
        <f aca="false">race_mana_bonus+ 0 + TblImps[[#This Row],[Towers]] + tech_1_2*TblTech[[#This Row],[1-2]] + tech_3_4*TblTech[[#This Row],[3-4]]</f>
        <v>0</v>
      </c>
      <c r="AM42" s="149" t="n">
        <f aca="false">race_ore_bonus + IF(TblMagic[[#This Row],[Active Miner''s Sight]]&gt;0,miners_sight_bonus,IF(TblMagic[[#This Row],[Active Mining Strength]]&gt;0,mining_strength_bonus)) +  tech_1_6*TblTech[[#This Row],[1-6]]</f>
        <v>0</v>
      </c>
      <c r="AN42" s="149" t="n">
        <f aca="false">race_gem_bonus+ tech_3_2*TblTech[[#This Row],[3-2]] + tech_4_3*TblTech[[#This Row],[4-3]] + tech_6_2*TblTech[[#This Row],[6-2]]</f>
        <v>0.15</v>
      </c>
      <c r="AO42" s="132"/>
      <c r="AP42" s="69" t="n">
        <f aca="false">TblProd[[#This Row],[Food]]*food_decay * (1 + tech_2_1*TblTech[[#This Row],[2-1]] + tech_2_8*TblTech[[#This Row],[2-8]])</f>
        <v>6372.05</v>
      </c>
      <c r="AQ42" s="69" t="n">
        <f aca="false">(1+race_food_consumption)*TblPop[[#This Row],[Total]]*food_per_person*(1+tech_1_10*TblTech[[#This Row],[1-10]]+tech_7_5*TblTech[[#This Row],[7-5]])</f>
        <v>1673.5</v>
      </c>
      <c r="AR42" s="69" t="n">
        <f aca="false">TblProd[[#This Row],[Lumber]]*lumber_rot * (1 + tech_2_1*TblTech[[#This Row],[2-1]] + tech_2_8*TblTech[[#This Row],[2-8]] + tech_5_2*TblTech[[#This Row],[5-2]])</f>
        <v>136.52</v>
      </c>
      <c r="AS42" s="69" t="n">
        <f aca="false">TblProd[[#This Row],[Mana]]*mana_drain * (1 + tech_2_1*TblTech[[#This Row],[2-1]] + tech_2_8*TblTech[[#This Row],[2-8]])</f>
        <v>16582.52</v>
      </c>
      <c r="AT42" s="146"/>
      <c r="AU42" s="69" t="n">
        <f aca="false">TblExplore[[#This Row],[Platinum (2)]]+TblConstr[[#This Row],[Total Plat Cost]]+TblMili[[#This Row],[Plat Cost]]+TblRezone[[#This Row],[Platinum cost]]+TblImps[[#This Row],[P1]]-TblProd[[#This Row],[Bank Plat]]</f>
        <v>21406</v>
      </c>
      <c r="AV42" s="69" t="n">
        <f aca="false">TblConstr[[#This Row],[Total Lum Cost]]+TblImps[[#This Row],[L1]]-TblProd[[#This Row],[Bank Lumber]] + Military!$CL$25*TblMili[[#This Row],[Sec. rec. Cost]]</f>
        <v>0</v>
      </c>
      <c r="AW42" s="69" t="n">
        <f aca="false">TblMagic[[#This Row],[Mana cost]] + Military!$CL$26*TblMili[[#This Row],[Sec. rec. Cost]]</f>
        <v>0</v>
      </c>
      <c r="AX42" s="69" t="n">
        <f aca="false">Military!$CL$24*TblMili[[#This Row],[Sec. rec. Cost]]+TblImps[[#This Row],[O1]]-TblProd[[#This Row],[Bank Ore]]</f>
        <v>0</v>
      </c>
      <c r="AY42" s="69" t="n">
        <f aca="false">TblImps[[#This Row],[G1]]-TblProd[[#This Row],[Bank Gems]]</f>
        <v>0</v>
      </c>
      <c r="AZ42" s="132"/>
      <c r="BA42" s="33" t="n">
        <f aca="false">IF(TblProd[[#This Row],[Set Guard]]&lt;&gt;"",TblProd[[#This Row],[Set Guard]],OFFSET(TblProd[[#This Row],[Guard]],-1,0))</f>
        <v>0</v>
      </c>
      <c r="BB42" s="145"/>
      <c r="BC42" s="151" t="n">
        <f aca="false">TblProd[[#This Row],[Hour]]</f>
        <v>39</v>
      </c>
      <c r="BD42" s="152" t="n">
        <f aca="false">-TblProd[[#This Row],[Bank Lumber]] / 2 + -TblProd[[#This Row],[Bank Gems]] * 2 + -TblProd[[#This Row],[Bank Ore]] / 2</f>
        <v>0</v>
      </c>
      <c r="BE42" s="152"/>
      <c r="BF42" s="152"/>
      <c r="BG42" s="152"/>
      <c r="BH42" s="153" t="n">
        <f aca="false">TblProd[[#This Row],[Time]]</f>
        <v>45431.3333333333</v>
      </c>
      <c r="BI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J42" s="69" t="n">
        <f aca="false">TblProd[[#This Row],[Platinum]]</f>
        <v>64780</v>
      </c>
      <c r="BK42" s="69" t="n">
        <f aca="false">TblProd[[#This Row],[Food]]</f>
        <v>637205</v>
      </c>
      <c r="BL42" s="69" t="n">
        <f aca="false">TblProd[[#This Row],[Lumber]]</f>
        <v>13652</v>
      </c>
      <c r="BM42" s="69" t="n">
        <f aca="false">TblProd[[#This Row],[Mana]]</f>
        <v>829126</v>
      </c>
      <c r="BN42" s="69" t="n">
        <f aca="false">TblProd[[#This Row],[Ore]]</f>
        <v>-357</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6798</v>
      </c>
      <c r="G43" s="69"/>
      <c r="H43" s="69" t="e">
        <f aca="false">TblMili[[#This Row],[Networth (2)]]</f>
        <v>#VALUE!</v>
      </c>
      <c r="I43" s="69" t="n">
        <f aca="false">OFFSET(TblProd[[#This Row],[Platinum]],-1,0)+OFFSET(TblProd[[#This Row],[Plat/hr]],-1,0) - TblProd[[#This Row],[Expenses Platinum]] + IF(TblProd[[#This Row],[Plat Bonus]],TblPop[[#This Row],[Peasants]]*4) + SUM(TblConstr[[#This Row],[Dest Hom]:[Dest Doc]])*TblConstr[[#This Row],[CPA Platinum -DB]]*tech_3_3_2*TblTech[[#This Row],[3-3]]</f>
        <v>72799</v>
      </c>
      <c r="J43" s="69" t="n">
        <f aca="false">OFFSET(TblProd[[#This Row],[Food]],-1,0)+OFFSET(TblProd[[#This Row],[Food/hr]],-1,0)+ROUNDUP((TblConstr[[#This Row],[Farms]]*80+TblConstr[[#This Row],[Docks]]*35)*(1+OFFSET(TblProd[[#This Row],[Bonus Food/hr]],-1,0)),0)</f>
        <v>630020</v>
      </c>
      <c r="K43" s="69" t="n">
        <f aca="false">OFFSET(TblProd[[#This Row],[Lumber]],-1,0)+OFFSET(TblProd[[#This Row],[Lumber/hr]],-1,0) - TblProd[[#This Row],[Expenses Lumber]] + SUM(TblConstr[[#This Row],[Dest Hom]:[Dest Doc]])*TblConstr[[#This Row],[CPA Lumber -DB]]*tech_3_3_2*TblTech[[#This Row],[3-3]]</f>
        <v>14550</v>
      </c>
      <c r="L43" s="69" t="n">
        <f aca="false">OFFSET(TblProd[[#This Row],[Mana]],-1,0)+OFFSET(TblProd[[#This Row],[Mana/hr]],-1,0)- TblProd[[#This Row],[Expenses Mana]]</f>
        <v>811945.5</v>
      </c>
      <c r="M43" s="69" t="n">
        <f aca="false">OFFSET(TblProd[[#This Row],[Ore]],-1,0)+OFFSET(TblProd[[#This Row],[Ore/hr]],-1,0) -TblProd[[#This Row],[Expenses Ore]]</f>
        <v>-357</v>
      </c>
      <c r="N43" s="69" t="n">
        <f aca="false">OFFSET(TblProd[[#This Row],[Gems]],-1,0)+OFFSET(TblProd[[#This Row],[Gems/hr]],-1,0) - TblProd[[#This Row],[Expenses Gems]]</f>
        <v>-1000</v>
      </c>
      <c r="O43" s="69" t="n">
        <f aca="false">OFFSET(TblProd[[#This Row],[Boats]],-1,0)+OFFSET(TblProd[[#This Row],[Boats/hr]],-1,0)</f>
        <v>4</v>
      </c>
      <c r="P43" s="69" t="n">
        <f aca="false">OFFSET(TblProd[[#This Row],[Prestige]],-1,0)</f>
        <v>250</v>
      </c>
      <c r="Q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3" s="69" t="n">
        <f aca="false">MAX(3750,_xlfn.CEILING.MATH(TblProd[[#This Row],[Land]]*2.5+OFFSET(TblTech[[#This Row],[Sum of tech]],-1,0)*150))</f>
        <v>3750</v>
      </c>
      <c r="S43" s="132"/>
      <c r="T43" s="69" t="n">
        <f aca="false">ROUNDDOWN(TblProd[[#This Row],[Raw Plat/hr]]*(1+TblProd[[#This Row],[Bonus Plat/hr]]),0)</f>
        <v>27896</v>
      </c>
      <c r="U43" s="69" t="n">
        <f aca="false">ROUND(TblProd[[#This Row],[Raw Food/hr]]*(1+TblProd[[#This Row],[Bonus Food/hr]])-TblProd[[#This Row],[Food decay]]-TblProd[[#This Row],[Food eaten]],0)</f>
        <v>-7114</v>
      </c>
      <c r="V43" s="69" t="n">
        <f aca="false">ROUND(TblProd[[#This Row],[Raw Lumber/hr]]*(1+TblProd[[#This Row],[Bonus Lumber/hr]])-TblProd[[#This Row],[Lumber rot]],0)</f>
        <v>890</v>
      </c>
      <c r="W43" s="69" t="n">
        <f aca="false">ROUND(TblProd[[#This Row],[Raw Mana/hr]]*(1+TblProd[[#This Row],[Bonus Mana/hr]])-TblProd[[#This Row],[Mana drain]],0)</f>
        <v>-15789</v>
      </c>
      <c r="X43" s="69" t="n">
        <f aca="false">ROUNDDOWN(TblProd[[#This Row],[Raw Ore/hr]]*(1+TblProd[[#This Row],[Bonux Ore/hr]]),0)</f>
        <v>0</v>
      </c>
      <c r="Y43" s="69" t="n">
        <f aca="false">ROUNDDOWN(TblProd[[#This Row],[Raw Gems/hr]]*(1+TblProd[[#This Row],[Bonus Gems/hr]]),0)</f>
        <v>0</v>
      </c>
      <c r="Z43" s="148" t="n">
        <f aca="false">OFFSET(TblConstr[[#This Row],[Tot Doc]],1,0)*dock_boats_hr * (1 + tech_4_1*TblTech[[#This Row],[4-1]])</f>
        <v>0.25</v>
      </c>
      <c r="AA43" s="146"/>
      <c r="AB43" s="69" t="n">
        <f aca="false">TblPop[[#This Row],[Peasants]]*tax*TblPop[[#This Row],[Employment]] + (Construction!AZ44+Construction!BX44)*(alch_plat+(Magic!AM43&gt;0)*alchemist_flame_bonus)</f>
        <v>25360.5</v>
      </c>
      <c r="AC43" s="69" t="n">
        <f aca="false">TblConstr[[#This Row],[Tot Farm]]*farm_food + TblConstr[[#This Row],[Tot Doc]]*dock_food</f>
        <v>840</v>
      </c>
      <c r="AD43" s="69" t="n">
        <f aca="false">TblConstr[[#This Row],[Tot Ly]]*ly_lumber + TblConstr[[#This Row],[Tot Hav]]*fh_lumber</f>
        <v>1150</v>
      </c>
      <c r="AE43" s="69" t="n">
        <f aca="false">OFFSET(TblConstr[[#This Row],[Tot Tow]],1,0)*(tower_mana + tech_4_5*TblTech[[#This Row],[4-5]]) + OFFSET(TblConstr[[#This Row],[Tot WG]],1,0)*wg_mana_prod</f>
        <v>450</v>
      </c>
      <c r="AF43" s="69" t="n">
        <f aca="false">OFFSET(TblConstr[[#This Row],[Tot OM]],1,0)*om_ore+IF(race="Dwarf",ROUNDDOWN(TblMili[[#This Row],[Unit 2]]*0.4,0),)</f>
        <v>0</v>
      </c>
      <c r="AG43" s="69" t="n">
        <f aca="false">OFFSET(TblConstr[[#This Row],[Tot DM]],1,0)*dm_gems</f>
        <v>0</v>
      </c>
      <c r="AH43" s="132"/>
      <c r="AI43" s="149" t="n">
        <f aca="false">MIN(race_platinum_bonus + IF(TblMagic[[#This Row],[Active Alch Frost]]&gt;0,alch_frost_bonus,IF(Magic!AD43&gt;0,midas_bonus)) + TblImps[[#This Row],[Science]] - TblProd[[#This Row],[Guard]]*(0.02 + tech_5_7*TblTech[[#This Row],[5-7]]) + tech_1_5*TblTech[[#This Row],[1-5]] + tech_4_4*TblTech[[#This Row],[4-4]], 0.5)</f>
        <v>0.1</v>
      </c>
      <c r="AJ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3" s="149" t="n">
        <f aca="false">race_lumber_bonus+ IF(TblMagic[[#This Row],[Active Gaia''s Blessing]]&gt;0,gaias_blessing_lumber)+ tech_1_3*TblTech[[#This Row],[1-3]] + tech_1_6*TblTech[[#This Row],[1-6]] + tech_3_3*TblTech[[#This Row],[3-3]]</f>
        <v>-0.1</v>
      </c>
      <c r="AL43" s="149" t="n">
        <f aca="false">race_mana_bonus+ 0 + TblImps[[#This Row],[Towers]] + tech_1_2*TblTech[[#This Row],[1-2]] + tech_3_4*TblTech[[#This Row],[3-4]]</f>
        <v>0</v>
      </c>
      <c r="AM43" s="149" t="n">
        <f aca="false">race_ore_bonus + IF(TblMagic[[#This Row],[Active Miner''s Sight]]&gt;0,miners_sight_bonus,IF(TblMagic[[#This Row],[Active Mining Strength]]&gt;0,mining_strength_bonus)) +  tech_1_6*TblTech[[#This Row],[1-6]]</f>
        <v>0</v>
      </c>
      <c r="AN43" s="149" t="n">
        <f aca="false">race_gem_bonus+ tech_3_2*TblTech[[#This Row],[3-2]] + tech_4_3*TblTech[[#This Row],[4-3]] + tech_6_2*TblTech[[#This Row],[6-2]]</f>
        <v>0.15</v>
      </c>
      <c r="AO43" s="132"/>
      <c r="AP43" s="69" t="n">
        <f aca="false">TblProd[[#This Row],[Food]]*food_decay * (1 + tech_2_1*TblTech[[#This Row],[2-1]] + tech_2_8*TblTech[[#This Row],[2-8]])</f>
        <v>6300.2</v>
      </c>
      <c r="AQ43" s="69" t="n">
        <f aca="false">(1+race_food_consumption)*TblPop[[#This Row],[Total]]*food_per_person*(1+tech_1_10*TblTech[[#This Row],[1-10]]+tech_7_5*TblTech[[#This Row],[7-5]])</f>
        <v>1674.75</v>
      </c>
      <c r="AR43" s="69" t="n">
        <f aca="false">TblProd[[#This Row],[Lumber]]*lumber_rot * (1 + tech_2_1*TblTech[[#This Row],[2-1]] + tech_2_8*TblTech[[#This Row],[2-8]] + tech_5_2*TblTech[[#This Row],[5-2]])</f>
        <v>145.5</v>
      </c>
      <c r="AS43" s="69" t="n">
        <f aca="false">TblProd[[#This Row],[Mana]]*mana_drain * (1 + tech_2_1*TblTech[[#This Row],[2-1]] + tech_2_8*TblTech[[#This Row],[2-8]])</f>
        <v>16238.91</v>
      </c>
      <c r="AT43" s="146"/>
      <c r="AU43" s="69" t="n">
        <f aca="false">TblExplore[[#This Row],[Platinum (2)]]+TblConstr[[#This Row],[Total Plat Cost]]+TblMili[[#This Row],[Plat Cost]]+TblRezone[[#This Row],[Platinum cost]]+TblImps[[#This Row],[P1]]-TblProd[[#This Row],[Bank Plat]]</f>
        <v>19877</v>
      </c>
      <c r="AV43" s="69" t="n">
        <f aca="false">TblConstr[[#This Row],[Total Lum Cost]]+TblImps[[#This Row],[L1]]-TblProd[[#This Row],[Bank Lumber]] + Military!$CL$25*TblMili[[#This Row],[Sec. rec. Cost]]</f>
        <v>0</v>
      </c>
      <c r="AW43" s="69" t="n">
        <f aca="false">TblMagic[[#This Row],[Mana cost]] + Military!$CL$26*TblMili[[#This Row],[Sec. rec. Cost]]</f>
        <v>1047.5</v>
      </c>
      <c r="AX43" s="69" t="n">
        <f aca="false">Military!$CL$24*TblMili[[#This Row],[Sec. rec. Cost]]+TblImps[[#This Row],[O1]]-TblProd[[#This Row],[Bank Ore]]</f>
        <v>0</v>
      </c>
      <c r="AY43" s="69" t="n">
        <f aca="false">TblImps[[#This Row],[G1]]-TblProd[[#This Row],[Bank Gems]]</f>
        <v>0</v>
      </c>
      <c r="AZ43" s="132"/>
      <c r="BA43" s="33" t="n">
        <f aca="false">IF(TblProd[[#This Row],[Set Guard]]&lt;&gt;"",TblProd[[#This Row],[Set Guard]],OFFSET(TblProd[[#This Row],[Guard]],-1,0))</f>
        <v>0</v>
      </c>
      <c r="BB43" s="145"/>
      <c r="BC43" s="151" t="n">
        <f aca="false">TblProd[[#This Row],[Hour]]</f>
        <v>40</v>
      </c>
      <c r="BD43" s="152" t="n">
        <f aca="false">-TblProd[[#This Row],[Bank Lumber]] / 2 + -TblProd[[#This Row],[Bank Gems]] * 2 + -TblProd[[#This Row],[Bank Ore]] / 2</f>
        <v>0</v>
      </c>
      <c r="BE43" s="152"/>
      <c r="BF43" s="152"/>
      <c r="BG43" s="152"/>
      <c r="BH43" s="153" t="n">
        <f aca="false">TblProd[[#This Row],[Time]]</f>
        <v>45431.375</v>
      </c>
      <c r="BI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J43" s="69" t="n">
        <f aca="false">TblProd[[#This Row],[Platinum]]</f>
        <v>72799</v>
      </c>
      <c r="BK43" s="69" t="n">
        <f aca="false">TblProd[[#This Row],[Food]]</f>
        <v>630020</v>
      </c>
      <c r="BL43" s="69" t="n">
        <f aca="false">TblProd[[#This Row],[Lumber]]</f>
        <v>14550</v>
      </c>
      <c r="BM43" s="69" t="n">
        <f aca="false">TblProd[[#This Row],[Mana]]</f>
        <v>811945.5</v>
      </c>
      <c r="BN43" s="69" t="n">
        <f aca="false">TblProd[[#This Row],[Ore]]</f>
        <v>-357</v>
      </c>
    </row>
    <row r="44" customFormat="false" ht="12.75" hidden="false" customHeight="false" outlineLevel="0" collapsed="false">
      <c r="A44" s="128" t="n">
        <v>41</v>
      </c>
      <c r="B44" s="144" t="n">
        <f aca="false">TblImps[[#This Row],[Time]]</f>
        <v>45431.4166666667</v>
      </c>
      <c r="C44" s="145"/>
      <c r="D44" s="146"/>
      <c r="E44" s="69" t="n">
        <f aca="false">TblConstr[[#This Row],[Land]]</f>
        <v>501</v>
      </c>
      <c r="F44" s="69" t="n">
        <f aca="false">TblPop[[#This Row],[Peasants]]</f>
        <v>7146</v>
      </c>
      <c r="G44" s="69"/>
      <c r="H44" s="69" t="e">
        <f aca="false">TblMili[[#This Row],[Networth (2)]]</f>
        <v>#VALUE!</v>
      </c>
      <c r="I44" s="69" t="n">
        <f aca="false">OFFSET(TblProd[[#This Row],[Platinum]],-1,0)+OFFSET(TblProd[[#This Row],[Plat/hr]],-1,0) - TblProd[[#This Row],[Expenses Platinum]] + IF(TblProd[[#This Row],[Plat Bonus]],TblPop[[#This Row],[Peasants]]*4) + SUM(TblConstr[[#This Row],[Dest Hom]:[Dest Doc]])*TblConstr[[#This Row],[CPA Platinum -DB]]*tech_3_3_2*TblTech[[#This Row],[3-3]]</f>
        <v>41346</v>
      </c>
      <c r="J44" s="69" t="n">
        <f aca="false">OFFSET(TblProd[[#This Row],[Food]],-1,0)+OFFSET(TblProd[[#This Row],[Food/hr]],-1,0)+ROUNDUP((TblConstr[[#This Row],[Farms]]*80+TblConstr[[#This Row],[Docks]]*35)*(1+OFFSET(TblProd[[#This Row],[Bonus Food/hr]],-1,0)),0)</f>
        <v>622906</v>
      </c>
      <c r="K44" s="69" t="n">
        <f aca="false">OFFSET(TblProd[[#This Row],[Lumber]],-1,0)+OFFSET(TblProd[[#This Row],[Lumber/hr]],-1,0) - TblProd[[#This Row],[Expenses Lumber]] + SUM(TblConstr[[#This Row],[Dest Hom]:[Dest Doc]])*TblConstr[[#This Row],[CPA Lumber -DB]]*tech_3_3_2*TblTech[[#This Row],[3-3]]</f>
        <v>8962</v>
      </c>
      <c r="L44" s="69" t="n">
        <f aca="false">OFFSET(TblProd[[#This Row],[Mana]],-1,0)+OFFSET(TblProd[[#This Row],[Mana/hr]],-1,0)- TblProd[[#This Row],[Expenses Mana]]</f>
        <v>796156.5</v>
      </c>
      <c r="M44" s="69" t="n">
        <f aca="false">OFFSET(TblProd[[#This Row],[Ore]],-1,0)+OFFSET(TblProd[[#This Row],[Ore/hr]],-1,0) -TblProd[[#This Row],[Expenses Ore]]</f>
        <v>-357</v>
      </c>
      <c r="N44" s="69" t="n">
        <f aca="false">OFFSET(TblProd[[#This Row],[Gems]],-1,0)+OFFSET(TblProd[[#This Row],[Gems/hr]],-1,0) - TblProd[[#This Row],[Expenses Gems]]</f>
        <v>-1000</v>
      </c>
      <c r="O44" s="69" t="n">
        <f aca="false">OFFSET(TblProd[[#This Row],[Boats]],-1,0)+OFFSET(TblProd[[#This Row],[Boats/hr]],-1,0)</f>
        <v>4.25</v>
      </c>
      <c r="P44" s="69" t="n">
        <f aca="false">OFFSET(TblProd[[#This Row],[Prestige]],-1,0)</f>
        <v>250</v>
      </c>
      <c r="Q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4" s="69" t="n">
        <f aca="false">MAX(3750,_xlfn.CEILING.MATH(TblProd[[#This Row],[Land]]*2.5+OFFSET(TblTech[[#This Row],[Sum of tech]],-1,0)*150))</f>
        <v>3750</v>
      </c>
      <c r="S44" s="132"/>
      <c r="T44" s="69" t="n">
        <f aca="false">ROUNDDOWN(TblProd[[#This Row],[Raw Plat/hr]]*(1+TblProd[[#This Row],[Bonus Plat/hr]]),0)</f>
        <v>34366</v>
      </c>
      <c r="U44" s="69" t="n">
        <f aca="false">ROUND(TblProd[[#This Row],[Raw Food/hr]]*(1+TblProd[[#This Row],[Bonus Food/hr]])-TblProd[[#This Row],[Food decay]]-TblProd[[#This Row],[Food eaten]],0)</f>
        <v>-7130</v>
      </c>
      <c r="V44" s="69" t="n">
        <f aca="false">ROUND(TblProd[[#This Row],[Raw Lumber/hr]]*(1+TblProd[[#This Row],[Bonus Lumber/hr]])-TblProd[[#This Row],[Lumber rot]],0)</f>
        <v>945</v>
      </c>
      <c r="W44" s="69" t="n">
        <f aca="false">ROUND(TblProd[[#This Row],[Raw Mana/hr]]*(1+TblProd[[#This Row],[Bonus Mana/hr]])-TblProd[[#This Row],[Mana drain]],0)</f>
        <v>-15473</v>
      </c>
      <c r="X44" s="69" t="n">
        <f aca="false">ROUNDDOWN(TblProd[[#This Row],[Raw Ore/hr]]*(1+TblProd[[#This Row],[Bonux Ore/hr]]),0)</f>
        <v>0</v>
      </c>
      <c r="Y44" s="69" t="n">
        <f aca="false">ROUNDDOWN(TblProd[[#This Row],[Raw Gems/hr]]*(1+TblProd[[#This Row],[Bonus Gems/hr]]),0)</f>
        <v>0</v>
      </c>
      <c r="Z44" s="148" t="n">
        <f aca="false">OFFSET(TblConstr[[#This Row],[Tot Doc]],1,0)*dock_boats_hr * (1 + tech_4_1*TblTech[[#This Row],[4-1]])</f>
        <v>0.5</v>
      </c>
      <c r="AA44" s="146"/>
      <c r="AB44" s="69" t="n">
        <f aca="false">TblPop[[#This Row],[Peasants]]*tax*TblPop[[#This Row],[Employment]] + (Construction!AZ45+Construction!BX45)*(alch_plat+(Magic!AM44&gt;0)*alchemist_flame_bonus)</f>
        <v>31242.2</v>
      </c>
      <c r="AC44" s="69" t="n">
        <f aca="false">TblConstr[[#This Row],[Tot Farm]]*farm_food + TblConstr[[#This Row],[Tot Doc]]*dock_food</f>
        <v>840</v>
      </c>
      <c r="AD44" s="69" t="n">
        <f aca="false">TblConstr[[#This Row],[Tot Ly]]*ly_lumber + TblConstr[[#This Row],[Tot Hav]]*fh_lumber</f>
        <v>1150</v>
      </c>
      <c r="AE44" s="69" t="n">
        <f aca="false">OFFSET(TblConstr[[#This Row],[Tot Tow]],1,0)*(tower_mana + tech_4_5*TblTech[[#This Row],[4-5]]) + OFFSET(TblConstr[[#This Row],[Tot WG]],1,0)*wg_mana_prod</f>
        <v>450</v>
      </c>
      <c r="AF44" s="69" t="n">
        <f aca="false">OFFSET(TblConstr[[#This Row],[Tot OM]],1,0)*om_ore+IF(race="Dwarf",ROUNDDOWN(TblMili[[#This Row],[Unit 2]]*0.4,0),)</f>
        <v>0</v>
      </c>
      <c r="AG44" s="69" t="n">
        <f aca="false">OFFSET(TblConstr[[#This Row],[Tot DM]],1,0)*dm_gems</f>
        <v>0</v>
      </c>
      <c r="AH44" s="132"/>
      <c r="AI44" s="149" t="n">
        <f aca="false">MIN(race_platinum_bonus + IF(TblMagic[[#This Row],[Active Alch Frost]]&gt;0,alch_frost_bonus,IF(Magic!AD44&gt;0,midas_bonus)) + TblImps[[#This Row],[Science]] - TblProd[[#This Row],[Guard]]*(0.02 + tech_5_7*TblTech[[#This Row],[5-7]]) + tech_1_5*TblTech[[#This Row],[1-5]] + tech_4_4*TblTech[[#This Row],[4-4]], 0.5)</f>
        <v>0.1</v>
      </c>
      <c r="AJ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4" s="149" t="n">
        <f aca="false">race_lumber_bonus+ IF(TblMagic[[#This Row],[Active Gaia''s Blessing]]&gt;0,gaias_blessing_lumber)+ tech_1_3*TblTech[[#This Row],[1-3]] + tech_1_6*TblTech[[#This Row],[1-6]] + tech_3_3*TblTech[[#This Row],[3-3]]</f>
        <v>-0.1</v>
      </c>
      <c r="AL44" s="149" t="n">
        <f aca="false">race_mana_bonus+ 0 + TblImps[[#This Row],[Towers]] + tech_1_2*TblTech[[#This Row],[1-2]] + tech_3_4*TblTech[[#This Row],[3-4]]</f>
        <v>0</v>
      </c>
      <c r="AM44" s="149" t="n">
        <f aca="false">race_ore_bonus + IF(TblMagic[[#This Row],[Active Miner''s Sight]]&gt;0,miners_sight_bonus,IF(TblMagic[[#This Row],[Active Mining Strength]]&gt;0,mining_strength_bonus)) +  tech_1_6*TblTech[[#This Row],[1-6]]</f>
        <v>0</v>
      </c>
      <c r="AN44" s="149" t="n">
        <f aca="false">race_gem_bonus+ tech_3_2*TblTech[[#This Row],[3-2]] + tech_4_3*TblTech[[#This Row],[4-3]] + tech_6_2*TblTech[[#This Row],[6-2]]</f>
        <v>0.15</v>
      </c>
      <c r="AO44" s="132"/>
      <c r="AP44" s="69" t="n">
        <f aca="false">TblProd[[#This Row],[Food]]*food_decay * (1 + tech_2_1*TblTech[[#This Row],[2-1]] + tech_2_8*TblTech[[#This Row],[2-8]])</f>
        <v>6229.06</v>
      </c>
      <c r="AQ44" s="69" t="n">
        <f aca="false">(1+race_food_consumption)*TblPop[[#This Row],[Total]]*food_per_person*(1+tech_1_10*TblTech[[#This Row],[1-10]]+tech_7_5*TblTech[[#This Row],[7-5]])</f>
        <v>1762.25</v>
      </c>
      <c r="AR44" s="69" t="n">
        <f aca="false">TblProd[[#This Row],[Lumber]]*lumber_rot * (1 + tech_2_1*TblTech[[#This Row],[2-1]] + tech_2_8*TblTech[[#This Row],[2-8]] + tech_5_2*TblTech[[#This Row],[5-2]])</f>
        <v>89.62</v>
      </c>
      <c r="AS44" s="69" t="n">
        <f aca="false">TblProd[[#This Row],[Mana]]*mana_drain * (1 + tech_2_1*TblTech[[#This Row],[2-1]] + tech_2_8*TblTech[[#This Row],[2-8]])</f>
        <v>15923.13</v>
      </c>
      <c r="AT44" s="146"/>
      <c r="AU44" s="69" t="n">
        <f aca="false">TblExplore[[#This Row],[Platinum (2)]]+TblConstr[[#This Row],[Total Plat Cost]]+TblMili[[#This Row],[Plat Cost]]+TblRezone[[#This Row],[Platinum cost]]+TblImps[[#This Row],[P1]]-TblProd[[#This Row],[Bank Plat]]</f>
        <v>59349</v>
      </c>
      <c r="AV44" s="69" t="n">
        <f aca="false">TblConstr[[#This Row],[Total Lum Cost]]+TblImps[[#This Row],[L1]]-TblProd[[#This Row],[Bank Lumber]] + Military!$CL$25*TblMili[[#This Row],[Sec. rec. Cost]]</f>
        <v>6478</v>
      </c>
      <c r="AW44" s="69" t="n">
        <f aca="false">TblMagic[[#This Row],[Mana cost]] + Military!$CL$26*TblMili[[#This Row],[Sec. rec. Cost]]</f>
        <v>0</v>
      </c>
      <c r="AX44" s="69" t="n">
        <f aca="false">Military!$CL$24*TblMili[[#This Row],[Sec. rec. Cost]]+TblImps[[#This Row],[O1]]-TblProd[[#This Row],[Bank Ore]]</f>
        <v>0</v>
      </c>
      <c r="AY44" s="69" t="n">
        <f aca="false">TblImps[[#This Row],[G1]]-TblProd[[#This Row],[Bank Gems]]</f>
        <v>0</v>
      </c>
      <c r="AZ44" s="132"/>
      <c r="BA44" s="33" t="n">
        <f aca="false">IF(TblProd[[#This Row],[Set Guard]]&lt;&gt;"",TblProd[[#This Row],[Set Guard]],OFFSET(TblProd[[#This Row],[Guard]],-1,0))</f>
        <v>0</v>
      </c>
      <c r="BB44" s="145"/>
      <c r="BC44" s="151" t="n">
        <f aca="false">TblProd[[#This Row],[Hour]]</f>
        <v>41</v>
      </c>
      <c r="BD44" s="152" t="n">
        <f aca="false">-TblProd[[#This Row],[Bank Lumber]] / 2 + -TblProd[[#This Row],[Bank Gems]] * 2 + -TblProd[[#This Row],[Bank Ore]] / 2</f>
        <v>0</v>
      </c>
      <c r="BE44" s="152"/>
      <c r="BF44" s="152"/>
      <c r="BG44" s="152"/>
      <c r="BH44" s="153" t="n">
        <f aca="false">TblProd[[#This Row],[Time]]</f>
        <v>45431.4166666667</v>
      </c>
      <c r="BI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J44" s="69" t="n">
        <f aca="false">TblProd[[#This Row],[Platinum]]</f>
        <v>41346</v>
      </c>
      <c r="BK44" s="69" t="n">
        <f aca="false">TblProd[[#This Row],[Food]]</f>
        <v>622906</v>
      </c>
      <c r="BL44" s="69" t="n">
        <f aca="false">TblProd[[#This Row],[Lumber]]</f>
        <v>8962</v>
      </c>
      <c r="BM44" s="69" t="n">
        <f aca="false">TblProd[[#This Row],[Mana]]</f>
        <v>796156.5</v>
      </c>
      <c r="BN44" s="69" t="n">
        <f aca="false">TblProd[[#This Row],[Ore]]</f>
        <v>-357</v>
      </c>
    </row>
    <row r="45" customFormat="false" ht="12.75" hidden="false" customHeight="false" outlineLevel="0" collapsed="false">
      <c r="A45" s="128" t="n">
        <v>42</v>
      </c>
      <c r="B45" s="144" t="n">
        <f aca="false">TblImps[[#This Row],[Time]]</f>
        <v>45431.4583333333</v>
      </c>
      <c r="C45" s="145"/>
      <c r="D45" s="146"/>
      <c r="E45" s="69" t="n">
        <f aca="false">TblConstr[[#This Row],[Land]]</f>
        <v>510</v>
      </c>
      <c r="F45" s="69" t="n">
        <f aca="false">TblPop[[#This Row],[Peasants]]</f>
        <v>7511</v>
      </c>
      <c r="G45" s="69"/>
      <c r="H45" s="69" t="e">
        <f aca="false">TblMili[[#This Row],[Networth (2)]]</f>
        <v>#VALUE!</v>
      </c>
      <c r="I45" s="69" t="n">
        <f aca="false">OFFSET(TblProd[[#This Row],[Platinum]],-1,0)+OFFSET(TblProd[[#This Row],[Plat/hr]],-1,0) - TblProd[[#This Row],[Expenses Platinum]] + IF(TblProd[[#This Row],[Plat Bonus]],TblPop[[#This Row],[Peasants]]*4) + SUM(TblConstr[[#This Row],[Dest Hom]:[Dest Doc]])*TblConstr[[#This Row],[CPA Platinum -DB]]*tech_3_3_2*TblTech[[#This Row],[3-3]]</f>
        <v>47794</v>
      </c>
      <c r="J45" s="69" t="n">
        <f aca="false">OFFSET(TblProd[[#This Row],[Food]],-1,0)+OFFSET(TblProd[[#This Row],[Food/hr]],-1,0)+ROUNDUP((TblConstr[[#This Row],[Farms]]*80+TblConstr[[#This Row],[Docks]]*35)*(1+OFFSET(TblProd[[#This Row],[Bonus Food/hr]],-1,0)),0)</f>
        <v>616202</v>
      </c>
      <c r="K45" s="69" t="n">
        <f aca="false">OFFSET(TblProd[[#This Row],[Lumber]],-1,0)+OFFSET(TblProd[[#This Row],[Lumber/hr]],-1,0) - TblProd[[#This Row],[Expenses Lumber]] + SUM(TblConstr[[#This Row],[Dest Hom]:[Dest Doc]])*TblConstr[[#This Row],[CPA Lumber -DB]]*tech_3_3_2*TblTech[[#This Row],[3-3]]</f>
        <v>9178</v>
      </c>
      <c r="L45" s="69" t="n">
        <f aca="false">OFFSET(TblProd[[#This Row],[Mana]],-1,0)+OFFSET(TblProd[[#This Row],[Mana/hr]],-1,0)- TblProd[[#This Row],[Expenses Mana]]</f>
        <v>780683.5</v>
      </c>
      <c r="M45" s="69" t="n">
        <f aca="false">OFFSET(TblProd[[#This Row],[Ore]],-1,0)+OFFSET(TblProd[[#This Row],[Ore/hr]],-1,0) -TblProd[[#This Row],[Expenses Ore]]</f>
        <v>-357</v>
      </c>
      <c r="N45" s="69" t="n">
        <f aca="false">OFFSET(TblProd[[#This Row],[Gems]],-1,0)+OFFSET(TblProd[[#This Row],[Gems/hr]],-1,0) - TblProd[[#This Row],[Expenses Gems]]</f>
        <v>-1000</v>
      </c>
      <c r="O45" s="69" t="n">
        <f aca="false">OFFSET(TblProd[[#This Row],[Boats]],-1,0)+OFFSET(TblProd[[#This Row],[Boats/hr]],-1,0)</f>
        <v>4.75</v>
      </c>
      <c r="P45" s="69" t="n">
        <f aca="false">OFFSET(TblProd[[#This Row],[Prestige]],-1,0)</f>
        <v>250</v>
      </c>
      <c r="Q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5" s="69" t="n">
        <f aca="false">MAX(3750,_xlfn.CEILING.MATH(TblProd[[#This Row],[Land]]*2.5+OFFSET(TblTech[[#This Row],[Sum of tech]],-1,0)*150))</f>
        <v>3750</v>
      </c>
      <c r="S45" s="132"/>
      <c r="T45" s="69" t="n">
        <f aca="false">ROUNDDOWN(TblProd[[#This Row],[Raw Plat/hr]]*(1+TblProd[[#This Row],[Bonus Plat/hr]]),0)</f>
        <v>36088</v>
      </c>
      <c r="U45" s="69" t="n">
        <f aca="false">ROUND(TblProd[[#This Row],[Raw Food/hr]]*(1+TblProd[[#This Row],[Bonus Food/hr]])-TblProd[[#This Row],[Food decay]]-TblProd[[#This Row],[Food eaten]],0)</f>
        <v>-6703</v>
      </c>
      <c r="V45" s="69" t="n">
        <f aca="false">ROUND(TblProd[[#This Row],[Raw Lumber/hr]]*(1+TblProd[[#This Row],[Bonus Lumber/hr]])-TblProd[[#This Row],[Lumber rot]],0)</f>
        <v>1033</v>
      </c>
      <c r="W45" s="69" t="n">
        <f aca="false">ROUND(TblProd[[#This Row],[Raw Mana/hr]]*(1+TblProd[[#This Row],[Bonus Mana/hr]])-TblProd[[#This Row],[Mana drain]],0)</f>
        <v>-15164</v>
      </c>
      <c r="X45" s="69" t="n">
        <f aca="false">ROUNDDOWN(TblProd[[#This Row],[Raw Ore/hr]]*(1+TblProd[[#This Row],[Bonux Ore/hr]]),0)</f>
        <v>0</v>
      </c>
      <c r="Y45" s="69" t="n">
        <f aca="false">ROUNDDOWN(TblProd[[#This Row],[Raw Gems/hr]]*(1+TblProd[[#This Row],[Bonus Gems/hr]]),0)</f>
        <v>0</v>
      </c>
      <c r="Z45" s="148" t="n">
        <f aca="false">OFFSET(TblConstr[[#This Row],[Tot Doc]],1,0)*dock_boats_hr * (1 + tech_4_1*TblTech[[#This Row],[4-1]])</f>
        <v>0.5</v>
      </c>
      <c r="AA45" s="146"/>
      <c r="AB45" s="69" t="n">
        <f aca="false">TblPop[[#This Row],[Peasants]]*tax*TblPop[[#This Row],[Employment]] + (Construction!AZ46+Construction!BX46)*(alch_plat+(Magic!AM45&gt;0)*alchemist_flame_bonus)</f>
        <v>32807.7</v>
      </c>
      <c r="AC45" s="69" t="n">
        <f aca="false">TblConstr[[#This Row],[Tot Farm]]*farm_food + TblConstr[[#This Row],[Tot Doc]]*dock_food</f>
        <v>1280</v>
      </c>
      <c r="AD45" s="69" t="n">
        <f aca="false">TblConstr[[#This Row],[Tot Ly]]*ly_lumber + TblConstr[[#This Row],[Tot Hav]]*fh_lumber</f>
        <v>1250</v>
      </c>
      <c r="AE45" s="69" t="n">
        <f aca="false">OFFSET(TblConstr[[#This Row],[Tot Tow]],1,0)*(tower_mana + tech_4_5*TblTech[[#This Row],[4-5]]) + OFFSET(TblConstr[[#This Row],[Tot WG]],1,0)*wg_mana_prod</f>
        <v>450</v>
      </c>
      <c r="AF45" s="69" t="n">
        <f aca="false">OFFSET(TblConstr[[#This Row],[Tot OM]],1,0)*om_ore+IF(race="Dwarf",ROUNDDOWN(TblMili[[#This Row],[Unit 2]]*0.4,0),)</f>
        <v>0</v>
      </c>
      <c r="AG45" s="69" t="n">
        <f aca="false">OFFSET(TblConstr[[#This Row],[Tot DM]],1,0)*dm_gems</f>
        <v>0</v>
      </c>
      <c r="AH45" s="132"/>
      <c r="AI45" s="149" t="n">
        <f aca="false">MIN(race_platinum_bonus + IF(TblMagic[[#This Row],[Active Alch Frost]]&gt;0,alch_frost_bonus,IF(Magic!AD45&gt;0,midas_bonus)) + TblImps[[#This Row],[Science]] - TblProd[[#This Row],[Guard]]*(0.02 + tech_5_7*TblTech[[#This Row],[5-7]]) + tech_1_5*TblTech[[#This Row],[1-5]] + tech_4_4*TblTech[[#This Row],[4-4]], 0.5)</f>
        <v>0.1</v>
      </c>
      <c r="AJ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5" s="149" t="n">
        <f aca="false">race_lumber_bonus+ IF(TblMagic[[#This Row],[Active Gaia''s Blessing]]&gt;0,gaias_blessing_lumber)+ tech_1_3*TblTech[[#This Row],[1-3]] + tech_1_6*TblTech[[#This Row],[1-6]] + tech_3_3*TblTech[[#This Row],[3-3]]</f>
        <v>-0.1</v>
      </c>
      <c r="AL45" s="149" t="n">
        <f aca="false">race_mana_bonus+ 0 + TblImps[[#This Row],[Towers]] + tech_1_2*TblTech[[#This Row],[1-2]] + tech_3_4*TblTech[[#This Row],[3-4]]</f>
        <v>0</v>
      </c>
      <c r="AM45" s="149" t="n">
        <f aca="false">race_ore_bonus + IF(TblMagic[[#This Row],[Active Miner''s Sight]]&gt;0,miners_sight_bonus,IF(TblMagic[[#This Row],[Active Mining Strength]]&gt;0,mining_strength_bonus)) +  tech_1_6*TblTech[[#This Row],[1-6]]</f>
        <v>0</v>
      </c>
      <c r="AN45" s="149" t="n">
        <f aca="false">race_gem_bonus+ tech_3_2*TblTech[[#This Row],[3-2]] + tech_4_3*TblTech[[#This Row],[4-3]] + tech_6_2*TblTech[[#This Row],[6-2]]</f>
        <v>0.15</v>
      </c>
      <c r="AO45" s="132"/>
      <c r="AP45" s="69" t="n">
        <f aca="false">TblProd[[#This Row],[Food]]*food_decay * (1 + tech_2_1*TblTech[[#This Row],[2-1]] + tech_2_8*TblTech[[#This Row],[2-8]])</f>
        <v>6162.02</v>
      </c>
      <c r="AQ45" s="69" t="n">
        <f aca="false">(1+race_food_consumption)*TblPop[[#This Row],[Total]]*food_per_person*(1+tech_1_10*TblTech[[#This Row],[1-10]]+tech_7_5*TblTech[[#This Row],[7-5]])</f>
        <v>1853.25</v>
      </c>
      <c r="AR45" s="69" t="n">
        <f aca="false">TblProd[[#This Row],[Lumber]]*lumber_rot * (1 + tech_2_1*TblTech[[#This Row],[2-1]] + tech_2_8*TblTech[[#This Row],[2-8]] + tech_5_2*TblTech[[#This Row],[5-2]])</f>
        <v>91.78</v>
      </c>
      <c r="AS45" s="69" t="n">
        <f aca="false">TblProd[[#This Row],[Mana]]*mana_drain * (1 + tech_2_1*TblTech[[#This Row],[2-1]] + tech_2_8*TblTech[[#This Row],[2-8]])</f>
        <v>15613.67</v>
      </c>
      <c r="AT45" s="146"/>
      <c r="AU45" s="69" t="n">
        <f aca="false">TblExplore[[#This Row],[Platinum (2)]]+TblConstr[[#This Row],[Total Plat Cost]]+TblMili[[#This Row],[Plat Cost]]+TblRezone[[#This Row],[Platinum cost]]+TblImps[[#This Row],[P1]]-TblProd[[#This Row],[Bank Plat]]</f>
        <v>27918</v>
      </c>
      <c r="AV45" s="69" t="n">
        <f aca="false">TblConstr[[#This Row],[Total Lum Cost]]+TblImps[[#This Row],[L1]]-TblProd[[#This Row],[Bank Lumber]] + Military!$CL$25*TblMili[[#This Row],[Sec. rec. Cost]]</f>
        <v>729</v>
      </c>
      <c r="AW45" s="69" t="n">
        <f aca="false">TblMagic[[#This Row],[Mana cost]] + Military!$CL$26*TblMili[[#This Row],[Sec. rec. Cost]]</f>
        <v>0</v>
      </c>
      <c r="AX45" s="69" t="n">
        <f aca="false">Military!$CL$24*TblMili[[#This Row],[Sec. rec. Cost]]+TblImps[[#This Row],[O1]]-TblProd[[#This Row],[Bank Ore]]</f>
        <v>0</v>
      </c>
      <c r="AY45" s="69" t="n">
        <f aca="false">TblImps[[#This Row],[G1]]-TblProd[[#This Row],[Bank Gems]]</f>
        <v>0</v>
      </c>
      <c r="AZ45" s="132"/>
      <c r="BA45" s="33" t="n">
        <f aca="false">IF(TblProd[[#This Row],[Set Guard]]&lt;&gt;"",TblProd[[#This Row],[Set Guard]],OFFSET(TblProd[[#This Row],[Guard]],-1,0))</f>
        <v>0</v>
      </c>
      <c r="BB45" s="145"/>
      <c r="BC45" s="151" t="n">
        <f aca="false">TblProd[[#This Row],[Hour]]</f>
        <v>42</v>
      </c>
      <c r="BD45" s="152" t="n">
        <f aca="false">-TblProd[[#This Row],[Bank Lumber]] / 2 + -TblProd[[#This Row],[Bank Gems]] * 2 + -TblProd[[#This Row],[Bank Ore]] / 2</f>
        <v>0</v>
      </c>
      <c r="BE45" s="152"/>
      <c r="BF45" s="152"/>
      <c r="BG45" s="152"/>
      <c r="BH45" s="153" t="n">
        <f aca="false">TblProd[[#This Row],[Time]]</f>
        <v>45431.4583333333</v>
      </c>
      <c r="BI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J45" s="69" t="n">
        <f aca="false">TblProd[[#This Row],[Platinum]]</f>
        <v>47794</v>
      </c>
      <c r="BK45" s="69" t="n">
        <f aca="false">TblProd[[#This Row],[Food]]</f>
        <v>616202</v>
      </c>
      <c r="BL45" s="69" t="n">
        <f aca="false">TblProd[[#This Row],[Lumber]]</f>
        <v>9178</v>
      </c>
      <c r="BM45" s="69" t="n">
        <f aca="false">TblProd[[#This Row],[Mana]]</f>
        <v>780683.5</v>
      </c>
      <c r="BN45" s="69" t="n">
        <f aca="false">TblProd[[#This Row],[Ore]]</f>
        <v>-357</v>
      </c>
    </row>
    <row r="46" customFormat="false" ht="12.75" hidden="false" customHeight="false" outlineLevel="0" collapsed="false">
      <c r="A46" s="128" t="n">
        <v>43</v>
      </c>
      <c r="B46" s="144" t="n">
        <f aca="false">TblImps[[#This Row],[Time]]</f>
        <v>45431.5</v>
      </c>
      <c r="C46" s="145"/>
      <c r="D46" s="146"/>
      <c r="E46" s="69" t="n">
        <f aca="false">TblConstr[[#This Row],[Land]]</f>
        <v>520</v>
      </c>
      <c r="F46" s="69" t="n">
        <f aca="false">TblPop[[#This Row],[Peasants]]</f>
        <v>7892</v>
      </c>
      <c r="G46" s="69"/>
      <c r="H46" s="69" t="e">
        <f aca="false">TblMili[[#This Row],[Networth (2)]]</f>
        <v>#VALUE!</v>
      </c>
      <c r="I46" s="69" t="n">
        <f aca="false">OFFSET(TblProd[[#This Row],[Platinum]],-1,0)+OFFSET(TblProd[[#This Row],[Plat/hr]],-1,0) - TblProd[[#This Row],[Expenses Platinum]] + IF(TblProd[[#This Row],[Plat Bonus]],TblPop[[#This Row],[Peasants]]*4) + SUM(TblConstr[[#This Row],[Dest Hom]:[Dest Doc]])*TblConstr[[#This Row],[CPA Platinum -DB]]*tech_3_3_2*TblTech[[#This Row],[3-3]]</f>
        <v>62940</v>
      </c>
      <c r="J46" s="69" t="n">
        <f aca="false">OFFSET(TblProd[[#This Row],[Food]],-1,0)+OFFSET(TblProd[[#This Row],[Food/hr]],-1,0)+ROUNDUP((TblConstr[[#This Row],[Farms]]*80+TblConstr[[#This Row],[Docks]]*35)*(1+OFFSET(TblProd[[#This Row],[Bonus Food/hr]],-1,0)),0)</f>
        <v>609499</v>
      </c>
      <c r="K46" s="69" t="n">
        <f aca="false">OFFSET(TblProd[[#This Row],[Lumber]],-1,0)+OFFSET(TblProd[[#This Row],[Lumber/hr]],-1,0) - TblProd[[#This Row],[Expenses Lumber]] + SUM(TblConstr[[#This Row],[Dest Hom]:[Dest Doc]])*TblConstr[[#This Row],[CPA Lumber -DB]]*tech_3_3_2*TblTech[[#This Row],[3-3]]</f>
        <v>9391</v>
      </c>
      <c r="L46" s="69" t="n">
        <f aca="false">OFFSET(TblProd[[#This Row],[Mana]],-1,0)+OFFSET(TblProd[[#This Row],[Mana/hr]],-1,0)- TblProd[[#This Row],[Expenses Mana]]</f>
        <v>765519.5</v>
      </c>
      <c r="M46" s="69" t="n">
        <f aca="false">OFFSET(TblProd[[#This Row],[Ore]],-1,0)+OFFSET(TblProd[[#This Row],[Ore/hr]],-1,0) -TblProd[[#This Row],[Expenses Ore]]</f>
        <v>-357</v>
      </c>
      <c r="N46" s="69" t="n">
        <f aca="false">OFFSET(TblProd[[#This Row],[Gems]],-1,0)+OFFSET(TblProd[[#This Row],[Gems/hr]],-1,0) - TblProd[[#This Row],[Expenses Gems]]</f>
        <v>-1000</v>
      </c>
      <c r="O46" s="69" t="n">
        <f aca="false">OFFSET(TblProd[[#This Row],[Boats]],-1,0)+OFFSET(TblProd[[#This Row],[Boats/hr]],-1,0)</f>
        <v>5.25</v>
      </c>
      <c r="P46" s="69" t="n">
        <f aca="false">OFFSET(TblProd[[#This Row],[Prestige]],-1,0)</f>
        <v>250</v>
      </c>
      <c r="Q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6" s="69" t="n">
        <f aca="false">MAX(3750,_xlfn.CEILING.MATH(TblProd[[#This Row],[Land]]*2.5+OFFSET(TblTech[[#This Row],[Sum of tech]],-1,0)*150))</f>
        <v>3750</v>
      </c>
      <c r="S46" s="132"/>
      <c r="T46" s="69" t="n">
        <f aca="false">ROUNDDOWN(TblProd[[#This Row],[Raw Plat/hr]]*(1+TblProd[[#This Row],[Bonus Plat/hr]]),0)</f>
        <v>37858</v>
      </c>
      <c r="U46" s="69" t="n">
        <f aca="false">ROUND(TblProd[[#This Row],[Raw Food/hr]]*(1+TblProd[[#This Row],[Bonus Food/hr]])-TblProd[[#This Row],[Food decay]]-TblProd[[#This Row],[Food eaten]],0)</f>
        <v>-6738</v>
      </c>
      <c r="V46" s="69" t="n">
        <f aca="false">ROUND(TblProd[[#This Row],[Raw Lumber/hr]]*(1+TblProd[[#This Row],[Bonus Lumber/hr]])-TblProd[[#This Row],[Lumber rot]],0)</f>
        <v>1031</v>
      </c>
      <c r="W46" s="69" t="n">
        <f aca="false">ROUND(TblProd[[#This Row],[Raw Mana/hr]]*(1+TblProd[[#This Row],[Bonus Mana/hr]])-TblProd[[#This Row],[Mana drain]],0)</f>
        <v>-14835</v>
      </c>
      <c r="X46" s="69" t="n">
        <f aca="false">ROUNDDOWN(TblProd[[#This Row],[Raw Ore/hr]]*(1+TblProd[[#This Row],[Bonux Ore/hr]]),0)</f>
        <v>0</v>
      </c>
      <c r="Y46" s="69" t="n">
        <f aca="false">ROUNDDOWN(TblProd[[#This Row],[Raw Gems/hr]]*(1+TblProd[[#This Row],[Bonus Gems/hr]]),0)</f>
        <v>0</v>
      </c>
      <c r="Z46" s="148" t="n">
        <f aca="false">OFFSET(TblConstr[[#This Row],[Tot Doc]],1,0)*dock_boats_hr * (1 + tech_4_1*TblTech[[#This Row],[4-1]])</f>
        <v>0.5</v>
      </c>
      <c r="AA46" s="146"/>
      <c r="AB46" s="69" t="n">
        <f aca="false">TblPop[[#This Row],[Peasants]]*tax*TblPop[[#This Row],[Employment]] + (Construction!AZ47+Construction!BX47)*(alch_plat+(Magic!AM46&gt;0)*alchemist_flame_bonus)</f>
        <v>34416.4</v>
      </c>
      <c r="AC46" s="69" t="n">
        <f aca="false">TblConstr[[#This Row],[Tot Farm]]*farm_food + TblConstr[[#This Row],[Tot Doc]]*dock_food</f>
        <v>1280</v>
      </c>
      <c r="AD46" s="69" t="n">
        <f aca="false">TblConstr[[#This Row],[Tot Ly]]*ly_lumber + TblConstr[[#This Row],[Tot Hav]]*fh_lumber</f>
        <v>1250</v>
      </c>
      <c r="AE46" s="69" t="n">
        <f aca="false">OFFSET(TblConstr[[#This Row],[Tot Tow]],1,0)*(tower_mana + tech_4_5*TblTech[[#This Row],[4-5]]) + OFFSET(TblConstr[[#This Row],[Tot WG]],1,0)*wg_mana_prod</f>
        <v>475</v>
      </c>
      <c r="AF46" s="69" t="n">
        <f aca="false">OFFSET(TblConstr[[#This Row],[Tot OM]],1,0)*om_ore+IF(race="Dwarf",ROUNDDOWN(TblMili[[#This Row],[Unit 2]]*0.4,0),)</f>
        <v>0</v>
      </c>
      <c r="AG46" s="69" t="n">
        <f aca="false">OFFSET(TblConstr[[#This Row],[Tot DM]],1,0)*dm_gems</f>
        <v>0</v>
      </c>
      <c r="AH46" s="132"/>
      <c r="AI46" s="149" t="n">
        <f aca="false">MIN(race_platinum_bonus + IF(TblMagic[[#This Row],[Active Alch Frost]]&gt;0,alch_frost_bonus,IF(Magic!AD46&gt;0,midas_bonus)) + TblImps[[#This Row],[Science]] - TblProd[[#This Row],[Guard]]*(0.02 + tech_5_7*TblTech[[#This Row],[5-7]]) + tech_1_5*TblTech[[#This Row],[1-5]] + tech_4_4*TblTech[[#This Row],[4-4]], 0.5)</f>
        <v>0.1</v>
      </c>
      <c r="AJ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6" s="149" t="n">
        <f aca="false">race_lumber_bonus+ IF(TblMagic[[#This Row],[Active Gaia''s Blessing]]&gt;0,gaias_blessing_lumber)+ tech_1_3*TblTech[[#This Row],[1-3]] + tech_1_6*TblTech[[#This Row],[1-6]] + tech_3_3*TblTech[[#This Row],[3-3]]</f>
        <v>-0.1</v>
      </c>
      <c r="AL46" s="149" t="n">
        <f aca="false">race_mana_bonus+ 0 + TblImps[[#This Row],[Towers]] + tech_1_2*TblTech[[#This Row],[1-2]] + tech_3_4*TblTech[[#This Row],[3-4]]</f>
        <v>0</v>
      </c>
      <c r="AM46" s="149" t="n">
        <f aca="false">race_ore_bonus + IF(TblMagic[[#This Row],[Active Miner''s Sight]]&gt;0,miners_sight_bonus,IF(TblMagic[[#This Row],[Active Mining Strength]]&gt;0,mining_strength_bonus)) +  tech_1_6*TblTech[[#This Row],[1-6]]</f>
        <v>0</v>
      </c>
      <c r="AN46" s="149" t="n">
        <f aca="false">race_gem_bonus+ tech_3_2*TblTech[[#This Row],[3-2]] + tech_4_3*TblTech[[#This Row],[4-3]] + tech_6_2*TblTech[[#This Row],[6-2]]</f>
        <v>0.15</v>
      </c>
      <c r="AO46" s="132"/>
      <c r="AP46" s="69" t="n">
        <f aca="false">TblProd[[#This Row],[Food]]*food_decay * (1 + tech_2_1*TblTech[[#This Row],[2-1]] + tech_2_8*TblTech[[#This Row],[2-8]])</f>
        <v>6094.99</v>
      </c>
      <c r="AQ46" s="69" t="n">
        <f aca="false">(1+race_food_consumption)*TblPop[[#This Row],[Total]]*food_per_person*(1+tech_1_10*TblTech[[#This Row],[1-10]]+tech_7_5*TblTech[[#This Row],[7-5]])</f>
        <v>1955.25</v>
      </c>
      <c r="AR46" s="69" t="n">
        <f aca="false">TblProd[[#This Row],[Lumber]]*lumber_rot * (1 + tech_2_1*TblTech[[#This Row],[2-1]] + tech_2_8*TblTech[[#This Row],[2-8]] + tech_5_2*TblTech[[#This Row],[5-2]])</f>
        <v>93.91</v>
      </c>
      <c r="AS46" s="69" t="n">
        <f aca="false">TblProd[[#This Row],[Mana]]*mana_drain * (1 + tech_2_1*TblTech[[#This Row],[2-1]] + tech_2_8*TblTech[[#This Row],[2-8]])</f>
        <v>15310.39</v>
      </c>
      <c r="AT46" s="146"/>
      <c r="AU46" s="69" t="n">
        <f aca="false">TblExplore[[#This Row],[Platinum (2)]]+TblConstr[[#This Row],[Total Plat Cost]]+TblMili[[#This Row],[Plat Cost]]+TblRezone[[#This Row],[Platinum cost]]+TblImps[[#This Row],[P1]]-TblProd[[#This Row],[Bank Plat]]</f>
        <v>20942</v>
      </c>
      <c r="AV46" s="69" t="n">
        <f aca="false">TblConstr[[#This Row],[Total Lum Cost]]+TblImps[[#This Row],[L1]]-TblProd[[#This Row],[Bank Lumber]] + Military!$CL$25*TblMili[[#This Row],[Sec. rec. Cost]]</f>
        <v>820</v>
      </c>
      <c r="AW46" s="69" t="n">
        <f aca="false">TblMagic[[#This Row],[Mana cost]] + Military!$CL$26*TblMili[[#This Row],[Sec. rec. Cost]]</f>
        <v>0</v>
      </c>
      <c r="AX46" s="69" t="n">
        <f aca="false">Military!$CL$24*TblMili[[#This Row],[Sec. rec. Cost]]+TblImps[[#This Row],[O1]]-TblProd[[#This Row],[Bank Ore]]</f>
        <v>0</v>
      </c>
      <c r="AY46" s="69" t="n">
        <f aca="false">TblImps[[#This Row],[G1]]-TblProd[[#This Row],[Bank Gems]]</f>
        <v>0</v>
      </c>
      <c r="AZ46" s="132"/>
      <c r="BA46" s="33" t="n">
        <f aca="false">IF(TblProd[[#This Row],[Set Guard]]&lt;&gt;"",TblProd[[#This Row],[Set Guard]],OFFSET(TblProd[[#This Row],[Guard]],-1,0))</f>
        <v>0</v>
      </c>
      <c r="BB46" s="145"/>
      <c r="BC46" s="151" t="n">
        <f aca="false">TblProd[[#This Row],[Hour]]</f>
        <v>43</v>
      </c>
      <c r="BD46" s="152" t="n">
        <f aca="false">-TblProd[[#This Row],[Bank Lumber]] / 2 + -TblProd[[#This Row],[Bank Gems]] * 2 + -TblProd[[#This Row],[Bank Ore]] / 2</f>
        <v>0</v>
      </c>
      <c r="BE46" s="152"/>
      <c r="BF46" s="152"/>
      <c r="BG46" s="152"/>
      <c r="BH46" s="153" t="n">
        <f aca="false">TblProd[[#This Row],[Time]]</f>
        <v>45431.5</v>
      </c>
      <c r="BI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J46" s="69" t="n">
        <f aca="false">TblProd[[#This Row],[Platinum]]</f>
        <v>62940</v>
      </c>
      <c r="BK46" s="69" t="n">
        <f aca="false">TblProd[[#This Row],[Food]]</f>
        <v>609499</v>
      </c>
      <c r="BL46" s="69" t="n">
        <f aca="false">TblProd[[#This Row],[Lumber]]</f>
        <v>9391</v>
      </c>
      <c r="BM46" s="69" t="n">
        <f aca="false">TblProd[[#This Row],[Mana]]</f>
        <v>765519.5</v>
      </c>
      <c r="BN46" s="69" t="n">
        <f aca="false">TblProd[[#This Row],[Ore]]</f>
        <v>-357</v>
      </c>
    </row>
    <row r="47" customFormat="false" ht="12.75" hidden="false" customHeight="false" outlineLevel="0" collapsed="false">
      <c r="A47" s="128" t="n">
        <v>44</v>
      </c>
      <c r="B47" s="144" t="n">
        <f aca="false">TblImps[[#This Row],[Time]]</f>
        <v>45431.5416666667</v>
      </c>
      <c r="C47" s="145"/>
      <c r="D47" s="146"/>
      <c r="E47" s="69" t="n">
        <f aca="false">TblConstr[[#This Row],[Land]]</f>
        <v>530</v>
      </c>
      <c r="F47" s="69" t="n">
        <f aca="false">TblPop[[#This Row],[Peasants]]</f>
        <v>8289</v>
      </c>
      <c r="G47" s="69"/>
      <c r="H47" s="69" t="e">
        <f aca="false">TblMili[[#This Row],[Networth (2)]]</f>
        <v>#VALUE!</v>
      </c>
      <c r="I47" s="69" t="n">
        <f aca="false">OFFSET(TblProd[[#This Row],[Platinum]],-1,0)+OFFSET(TblProd[[#This Row],[Plat/hr]],-1,0) - TblProd[[#This Row],[Expenses Platinum]] + IF(TblProd[[#This Row],[Plat Bonus]],TblPop[[#This Row],[Peasants]]*4) + SUM(TblConstr[[#This Row],[Dest Hom]:[Dest Doc]])*TblConstr[[#This Row],[CPA Platinum -DB]]*tech_3_3_2*TblTech[[#This Row],[3-3]]</f>
        <v>95998</v>
      </c>
      <c r="J47" s="69" t="n">
        <f aca="false">OFFSET(TblProd[[#This Row],[Food]],-1,0)+OFFSET(TblProd[[#This Row],[Food/hr]],-1,0)+ROUNDUP((TblConstr[[#This Row],[Farms]]*80+TblConstr[[#This Row],[Docks]]*35)*(1+OFFSET(TblProd[[#This Row],[Bonus Food/hr]],-1,0)),0)</f>
        <v>602761</v>
      </c>
      <c r="K47" s="69" t="n">
        <f aca="false">OFFSET(TblProd[[#This Row],[Lumber]],-1,0)+OFFSET(TblProd[[#This Row],[Lumber/hr]],-1,0) - TblProd[[#This Row],[Expenses Lumber]] + SUM(TblConstr[[#This Row],[Dest Hom]:[Dest Doc]])*TblConstr[[#This Row],[CPA Lumber -DB]]*tech_3_3_2*TblTech[[#This Row],[3-3]]</f>
        <v>9592</v>
      </c>
      <c r="L47" s="69" t="n">
        <f aca="false">OFFSET(TblProd[[#This Row],[Mana]],-1,0)+OFFSET(TblProd[[#This Row],[Mana/hr]],-1,0)- TblProd[[#This Row],[Expenses Mana]]</f>
        <v>750684.5</v>
      </c>
      <c r="M47" s="69" t="n">
        <f aca="false">OFFSET(TblProd[[#This Row],[Ore]],-1,0)+OFFSET(TblProd[[#This Row],[Ore/hr]],-1,0) -TblProd[[#This Row],[Expenses Ore]]</f>
        <v>-357</v>
      </c>
      <c r="N47" s="69" t="n">
        <f aca="false">OFFSET(TblProd[[#This Row],[Gems]],-1,0)+OFFSET(TblProd[[#This Row],[Gems/hr]],-1,0) - TblProd[[#This Row],[Expenses Gems]]</f>
        <v>-1000</v>
      </c>
      <c r="O47" s="69" t="n">
        <f aca="false">OFFSET(TblProd[[#This Row],[Boats]],-1,0)+OFFSET(TblProd[[#This Row],[Boats/hr]],-1,0)</f>
        <v>5.75</v>
      </c>
      <c r="P47" s="69" t="n">
        <f aca="false">OFFSET(TblProd[[#This Row],[Prestige]],-1,0)</f>
        <v>250</v>
      </c>
      <c r="Q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7" s="69" t="n">
        <f aca="false">MAX(3750,_xlfn.CEILING.MATH(TblProd[[#This Row],[Land]]*2.5+OFFSET(TblTech[[#This Row],[Sum of tech]],-1,0)*150))</f>
        <v>3750</v>
      </c>
      <c r="S47" s="132"/>
      <c r="T47" s="69" t="n">
        <f aca="false">ROUNDDOWN(TblProd[[#This Row],[Raw Plat/hr]]*(1+TblProd[[#This Row],[Bonus Plat/hr]]),0)</f>
        <v>39037</v>
      </c>
      <c r="U47" s="69" t="n">
        <f aca="false">ROUND(TblProd[[#This Row],[Raw Food/hr]]*(1+TblProd[[#This Row],[Bonus Food/hr]])-TblProd[[#This Row],[Food decay]]-TblProd[[#This Row],[Food eaten]],0)</f>
        <v>-6790</v>
      </c>
      <c r="V47" s="69" t="n">
        <f aca="false">ROUND(TblProd[[#This Row],[Raw Lumber/hr]]*(1+TblProd[[#This Row],[Bonus Lumber/hr]])-TblProd[[#This Row],[Lumber rot]],0)</f>
        <v>1029</v>
      </c>
      <c r="W47" s="69" t="n">
        <f aca="false">ROUND(TblProd[[#This Row],[Raw Mana/hr]]*(1+TblProd[[#This Row],[Bonus Mana/hr]])-TblProd[[#This Row],[Mana drain]],0)</f>
        <v>-14389</v>
      </c>
      <c r="X47" s="69" t="n">
        <f aca="false">ROUNDDOWN(TblProd[[#This Row],[Raw Ore/hr]]*(1+TblProd[[#This Row],[Bonux Ore/hr]]),0)</f>
        <v>0</v>
      </c>
      <c r="Y47" s="69" t="n">
        <f aca="false">ROUNDDOWN(TblProd[[#This Row],[Raw Gems/hr]]*(1+TblProd[[#This Row],[Bonus Gems/hr]]),0)</f>
        <v>0</v>
      </c>
      <c r="Z47" s="148" t="n">
        <f aca="false">OFFSET(TblConstr[[#This Row],[Tot Doc]],1,0)*dock_boats_hr * (1 + tech_4_1*TblTech[[#This Row],[4-1]])</f>
        <v>0.5</v>
      </c>
      <c r="AA47" s="146"/>
      <c r="AB47" s="69" t="n">
        <f aca="false">TblPop[[#This Row],[Peasants]]*tax*TblPop[[#This Row],[Employment]] + (Construction!AZ48+Construction!BX48)*(alch_plat+(Magic!AM47&gt;0)*alchemist_flame_bonus)</f>
        <v>35488.3</v>
      </c>
      <c r="AC47" s="69" t="n">
        <f aca="false">TblConstr[[#This Row],[Tot Farm]]*farm_food + TblConstr[[#This Row],[Tot Doc]]*dock_food</f>
        <v>1280</v>
      </c>
      <c r="AD47" s="69" t="n">
        <f aca="false">TblConstr[[#This Row],[Tot Ly]]*ly_lumber + TblConstr[[#This Row],[Tot Hav]]*fh_lumber</f>
        <v>1250</v>
      </c>
      <c r="AE47" s="69" t="n">
        <f aca="false">OFFSET(TblConstr[[#This Row],[Tot Tow]],1,0)*(tower_mana + tech_4_5*TblTech[[#This Row],[4-5]]) + OFFSET(TblConstr[[#This Row],[Tot WG]],1,0)*wg_mana_prod</f>
        <v>625</v>
      </c>
      <c r="AF47" s="69" t="n">
        <f aca="false">OFFSET(TblConstr[[#This Row],[Tot OM]],1,0)*om_ore+IF(race="Dwarf",ROUNDDOWN(TblMili[[#This Row],[Unit 2]]*0.4,0),)</f>
        <v>0</v>
      </c>
      <c r="AG47" s="69" t="n">
        <f aca="false">OFFSET(TblConstr[[#This Row],[Tot DM]],1,0)*dm_gems</f>
        <v>0</v>
      </c>
      <c r="AH47" s="132"/>
      <c r="AI47" s="149" t="n">
        <f aca="false">MIN(race_platinum_bonus + IF(TblMagic[[#This Row],[Active Alch Frost]]&gt;0,alch_frost_bonus,IF(Magic!AD47&gt;0,midas_bonus)) + TblImps[[#This Row],[Science]] - TblProd[[#This Row],[Guard]]*(0.02 + tech_5_7*TblTech[[#This Row],[5-7]]) + tech_1_5*TblTech[[#This Row],[1-5]] + tech_4_4*TblTech[[#This Row],[4-4]], 0.5)</f>
        <v>0.1</v>
      </c>
      <c r="AJ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7" s="149" t="n">
        <f aca="false">race_lumber_bonus+ IF(TblMagic[[#This Row],[Active Gaia''s Blessing]]&gt;0,gaias_blessing_lumber)+ tech_1_3*TblTech[[#This Row],[1-3]] + tech_1_6*TblTech[[#This Row],[1-6]] + tech_3_3*TblTech[[#This Row],[3-3]]</f>
        <v>-0.1</v>
      </c>
      <c r="AL47" s="149" t="n">
        <f aca="false">race_mana_bonus+ 0 + TblImps[[#This Row],[Towers]] + tech_1_2*TblTech[[#This Row],[1-2]] + tech_3_4*TblTech[[#This Row],[3-4]]</f>
        <v>0</v>
      </c>
      <c r="AM47" s="149" t="n">
        <f aca="false">race_ore_bonus + IF(TblMagic[[#This Row],[Active Miner''s Sight]]&gt;0,miners_sight_bonus,IF(TblMagic[[#This Row],[Active Mining Strength]]&gt;0,mining_strength_bonus)) +  tech_1_6*TblTech[[#This Row],[1-6]]</f>
        <v>0</v>
      </c>
      <c r="AN47" s="149" t="n">
        <f aca="false">race_gem_bonus+ tech_3_2*TblTech[[#This Row],[3-2]] + tech_4_3*TblTech[[#This Row],[4-3]] + tech_6_2*TblTech[[#This Row],[6-2]]</f>
        <v>0.15</v>
      </c>
      <c r="AO47" s="132"/>
      <c r="AP47" s="69" t="n">
        <f aca="false">TblProd[[#This Row],[Food]]*food_decay * (1 + tech_2_1*TblTech[[#This Row],[2-1]] + tech_2_8*TblTech[[#This Row],[2-8]])</f>
        <v>6027.61</v>
      </c>
      <c r="AQ47" s="69" t="n">
        <f aca="false">(1+race_food_consumption)*TblPop[[#This Row],[Total]]*food_per_person*(1+tech_1_10*TblTech[[#This Row],[1-10]]+tech_7_5*TblTech[[#This Row],[7-5]])</f>
        <v>2074.25</v>
      </c>
      <c r="AR47" s="69" t="n">
        <f aca="false">TblProd[[#This Row],[Lumber]]*lumber_rot * (1 + tech_2_1*TblTech[[#This Row],[2-1]] + tech_2_8*TblTech[[#This Row],[2-8]] + tech_5_2*TblTech[[#This Row],[5-2]])</f>
        <v>95.92</v>
      </c>
      <c r="AS47" s="69" t="n">
        <f aca="false">TblProd[[#This Row],[Mana]]*mana_drain * (1 + tech_2_1*TblTech[[#This Row],[2-1]] + tech_2_8*TblTech[[#This Row],[2-8]])</f>
        <v>15013.69</v>
      </c>
      <c r="AT47" s="146"/>
      <c r="AU47" s="69" t="n">
        <f aca="false">TblExplore[[#This Row],[Platinum (2)]]+TblConstr[[#This Row],[Total Plat Cost]]+TblMili[[#This Row],[Plat Cost]]+TblRezone[[#This Row],[Platinum cost]]+TblImps[[#This Row],[P1]]-TblProd[[#This Row],[Bank Plat]]</f>
        <v>4800</v>
      </c>
      <c r="AV47" s="69" t="n">
        <f aca="false">TblConstr[[#This Row],[Total Lum Cost]]+TblImps[[#This Row],[L1]]-TblProd[[#This Row],[Bank Lumber]] + Military!$CL$25*TblMili[[#This Row],[Sec. rec. Cost]]</f>
        <v>830</v>
      </c>
      <c r="AW47" s="69" t="n">
        <f aca="false">TblMagic[[#This Row],[Mana cost]] + Military!$CL$26*TblMili[[#This Row],[Sec. rec. Cost]]</f>
        <v>0</v>
      </c>
      <c r="AX47" s="69" t="n">
        <f aca="false">Military!$CL$24*TblMili[[#This Row],[Sec. rec. Cost]]+TblImps[[#This Row],[O1]]-TblProd[[#This Row],[Bank Ore]]</f>
        <v>0</v>
      </c>
      <c r="AY47" s="69" t="n">
        <f aca="false">TblImps[[#This Row],[G1]]-TblProd[[#This Row],[Bank Gems]]</f>
        <v>0</v>
      </c>
      <c r="AZ47" s="132"/>
      <c r="BA47" s="33" t="n">
        <f aca="false">IF(TblProd[[#This Row],[Set Guard]]&lt;&gt;"",TblProd[[#This Row],[Set Guard]],OFFSET(TblProd[[#This Row],[Guard]],-1,0))</f>
        <v>0</v>
      </c>
      <c r="BB47" s="145"/>
      <c r="BC47" s="151" t="n">
        <f aca="false">TblProd[[#This Row],[Hour]]</f>
        <v>44</v>
      </c>
      <c r="BD47" s="152" t="n">
        <f aca="false">-TblProd[[#This Row],[Bank Lumber]] / 2 + -TblProd[[#This Row],[Bank Gems]] * 2 + -TblProd[[#This Row],[Bank Ore]] / 2</f>
        <v>0</v>
      </c>
      <c r="BE47" s="152"/>
      <c r="BF47" s="152"/>
      <c r="BG47" s="152"/>
      <c r="BH47" s="153" t="n">
        <f aca="false">TblProd[[#This Row],[Time]]</f>
        <v>45431.5416666667</v>
      </c>
      <c r="BI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J47" s="69" t="n">
        <f aca="false">TblProd[[#This Row],[Platinum]]</f>
        <v>95998</v>
      </c>
      <c r="BK47" s="69" t="n">
        <f aca="false">TblProd[[#This Row],[Food]]</f>
        <v>602761</v>
      </c>
      <c r="BL47" s="69" t="n">
        <f aca="false">TblProd[[#This Row],[Lumber]]</f>
        <v>9592</v>
      </c>
      <c r="BM47" s="69" t="n">
        <f aca="false">TblProd[[#This Row],[Mana]]</f>
        <v>750684.5</v>
      </c>
      <c r="BN47" s="69" t="n">
        <f aca="false">TblProd[[#This Row],[Ore]]</f>
        <v>-357</v>
      </c>
    </row>
    <row r="48" customFormat="false" ht="12.75" hidden="false" customHeight="false" outlineLevel="0" collapsed="false">
      <c r="A48" s="128" t="n">
        <v>45</v>
      </c>
      <c r="B48" s="144" t="n">
        <f aca="false">TblImps[[#This Row],[Time]]</f>
        <v>45431.5833333333</v>
      </c>
      <c r="C48" s="145"/>
      <c r="D48" s="146"/>
      <c r="E48" s="69" t="n">
        <f aca="false">TblConstr[[#This Row],[Land]]</f>
        <v>540</v>
      </c>
      <c r="F48" s="69" t="n">
        <f aca="false">TblPop[[#This Row],[Peasants]]</f>
        <v>8519</v>
      </c>
      <c r="G48" s="69"/>
      <c r="H48" s="69" t="e">
        <f aca="false">TblMili[[#This Row],[Networth (2)]]</f>
        <v>#VALUE!</v>
      </c>
      <c r="I48" s="69" t="n">
        <f aca="false">OFFSET(TblProd[[#This Row],[Platinum]],-1,0)+OFFSET(TblProd[[#This Row],[Plat/hr]],-1,0) - TblProd[[#This Row],[Expenses Platinum]] + IF(TblProd[[#This Row],[Plat Bonus]],TblPop[[#This Row],[Peasants]]*4) + SUM(TblConstr[[#This Row],[Dest Hom]:[Dest Doc]])*TblConstr[[#This Row],[CPA Platinum -DB]]*tech_3_3_2*TblTech[[#This Row],[3-3]]</f>
        <v>130185</v>
      </c>
      <c r="J48" s="69" t="n">
        <f aca="false">OFFSET(TblProd[[#This Row],[Food]],-1,0)+OFFSET(TblProd[[#This Row],[Food/hr]],-1,0)+ROUNDUP((TblConstr[[#This Row],[Farms]]*80+TblConstr[[#This Row],[Docks]]*35)*(1+OFFSET(TblProd[[#This Row],[Bonus Food/hr]],-1,0)),0)</f>
        <v>596381</v>
      </c>
      <c r="K48" s="69" t="n">
        <f aca="false">OFFSET(TblProd[[#This Row],[Lumber]],-1,0)+OFFSET(TblProd[[#This Row],[Lumber/hr]],-1,0) - TblProd[[#This Row],[Expenses Lumber]] + SUM(TblConstr[[#This Row],[Dest Hom]:[Dest Doc]])*TblConstr[[#This Row],[CPA Lumber -DB]]*tech_3_3_2*TblTech[[#This Row],[3-3]]</f>
        <v>9771</v>
      </c>
      <c r="L48" s="69" t="n">
        <f aca="false">OFFSET(TblProd[[#This Row],[Mana]],-1,0)+OFFSET(TblProd[[#This Row],[Mana/hr]],-1,0)- TblProd[[#This Row],[Expenses Mana]]</f>
        <v>736295.5</v>
      </c>
      <c r="M48" s="69" t="n">
        <f aca="false">OFFSET(TblProd[[#This Row],[Ore]],-1,0)+OFFSET(TblProd[[#This Row],[Ore/hr]],-1,0) -TblProd[[#This Row],[Expenses Ore]]</f>
        <v>-357</v>
      </c>
      <c r="N48" s="69" t="n">
        <f aca="false">OFFSET(TblProd[[#This Row],[Gems]],-1,0)+OFFSET(TblProd[[#This Row],[Gems/hr]],-1,0) - TblProd[[#This Row],[Expenses Gems]]</f>
        <v>-1000</v>
      </c>
      <c r="O48" s="69" t="n">
        <f aca="false">OFFSET(TblProd[[#This Row],[Boats]],-1,0)+OFFSET(TblProd[[#This Row],[Boats/hr]],-1,0)</f>
        <v>6.25</v>
      </c>
      <c r="P48" s="69" t="n">
        <f aca="false">OFFSET(TblProd[[#This Row],[Prestige]],-1,0)</f>
        <v>250</v>
      </c>
      <c r="Q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8" s="69" t="n">
        <f aca="false">MAX(3750,_xlfn.CEILING.MATH(TblProd[[#This Row],[Land]]*2.5+OFFSET(TblTech[[#This Row],[Sum of tech]],-1,0)*150))</f>
        <v>3750</v>
      </c>
      <c r="S48" s="132"/>
      <c r="T48" s="69" t="n">
        <f aca="false">ROUNDDOWN(TblProd[[#This Row],[Raw Plat/hr]]*(1+TblProd[[#This Row],[Bonus Plat/hr]]),0)</f>
        <v>39426</v>
      </c>
      <c r="U48" s="69" t="n">
        <f aca="false">ROUND(TblProd[[#This Row],[Raw Food/hr]]*(1+TblProd[[#This Row],[Bonus Food/hr]])-TblProd[[#This Row],[Food decay]]-TblProd[[#This Row],[Food eaten]],0)</f>
        <v>-6394</v>
      </c>
      <c r="V48" s="69" t="n">
        <f aca="false">ROUND(TblProd[[#This Row],[Raw Lumber/hr]]*(1+TblProd[[#This Row],[Bonus Lumber/hr]])-TblProd[[#This Row],[Lumber rot]],0)</f>
        <v>1027</v>
      </c>
      <c r="W48" s="69" t="n">
        <f aca="false">ROUND(TblProd[[#This Row],[Raw Mana/hr]]*(1+TblProd[[#This Row],[Bonus Mana/hr]])-TblProd[[#This Row],[Mana drain]],0)</f>
        <v>-14101</v>
      </c>
      <c r="X48" s="69" t="n">
        <f aca="false">ROUNDDOWN(TblProd[[#This Row],[Raw Ore/hr]]*(1+TblProd[[#This Row],[Bonux Ore/hr]]),0)</f>
        <v>0</v>
      </c>
      <c r="Y48" s="69" t="n">
        <f aca="false">ROUNDDOWN(TblProd[[#This Row],[Raw Gems/hr]]*(1+TblProd[[#This Row],[Bonus Gems/hr]]),0)</f>
        <v>0</v>
      </c>
      <c r="Z48" s="148" t="n">
        <f aca="false">OFFSET(TblConstr[[#This Row],[Tot Doc]],1,0)*dock_boats_hr * (1 + tech_4_1*TblTech[[#This Row],[4-1]])</f>
        <v>0.5</v>
      </c>
      <c r="AA48" s="146"/>
      <c r="AB48" s="69" t="n">
        <f aca="false">TblPop[[#This Row],[Peasants]]*tax*TblPop[[#This Row],[Employment]] + (Construction!AZ49+Construction!BX49)*(alch_plat+(Magic!AM48&gt;0)*alchemist_flame_bonus)</f>
        <v>35842</v>
      </c>
      <c r="AC48" s="69" t="n">
        <f aca="false">TblConstr[[#This Row],[Tot Farm]]*farm_food + TblConstr[[#This Row],[Tot Doc]]*dock_food</f>
        <v>1680</v>
      </c>
      <c r="AD48" s="69" t="n">
        <f aca="false">TblConstr[[#This Row],[Tot Ly]]*ly_lumber + TblConstr[[#This Row],[Tot Hav]]*fh_lumber</f>
        <v>1250</v>
      </c>
      <c r="AE48" s="69" t="n">
        <f aca="false">OFFSET(TblConstr[[#This Row],[Tot Tow]],1,0)*(tower_mana + tech_4_5*TblTech[[#This Row],[4-5]]) + OFFSET(TblConstr[[#This Row],[Tot WG]],1,0)*wg_mana_prod</f>
        <v>625</v>
      </c>
      <c r="AF48" s="69" t="n">
        <f aca="false">OFFSET(TblConstr[[#This Row],[Tot OM]],1,0)*om_ore+IF(race="Dwarf",ROUNDDOWN(TblMili[[#This Row],[Unit 2]]*0.4,0),)</f>
        <v>0</v>
      </c>
      <c r="AG48" s="69" t="n">
        <f aca="false">OFFSET(TblConstr[[#This Row],[Tot DM]],1,0)*dm_gems</f>
        <v>0</v>
      </c>
      <c r="AH48" s="132"/>
      <c r="AI48" s="149" t="n">
        <f aca="false">MIN(race_platinum_bonus + IF(TblMagic[[#This Row],[Active Alch Frost]]&gt;0,alch_frost_bonus,IF(Magic!AD48&gt;0,midas_bonus)) + TblImps[[#This Row],[Science]] - TblProd[[#This Row],[Guard]]*(0.02 + tech_5_7*TblTech[[#This Row],[5-7]]) + tech_1_5*TblTech[[#This Row],[1-5]] + tech_4_4*TblTech[[#This Row],[4-4]], 0.5)</f>
        <v>0.1</v>
      </c>
      <c r="AJ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8" s="149" t="n">
        <f aca="false">race_lumber_bonus+ IF(TblMagic[[#This Row],[Active Gaia''s Blessing]]&gt;0,gaias_blessing_lumber)+ tech_1_3*TblTech[[#This Row],[1-3]] + tech_1_6*TblTech[[#This Row],[1-6]] + tech_3_3*TblTech[[#This Row],[3-3]]</f>
        <v>-0.1</v>
      </c>
      <c r="AL48" s="149" t="n">
        <f aca="false">race_mana_bonus+ 0 + TblImps[[#This Row],[Towers]] + tech_1_2*TblTech[[#This Row],[1-2]] + tech_3_4*TblTech[[#This Row],[3-4]]</f>
        <v>0</v>
      </c>
      <c r="AM48" s="149" t="n">
        <f aca="false">race_ore_bonus + IF(TblMagic[[#This Row],[Active Miner''s Sight]]&gt;0,miners_sight_bonus,IF(TblMagic[[#This Row],[Active Mining Strength]]&gt;0,mining_strength_bonus)) +  tech_1_6*TblTech[[#This Row],[1-6]]</f>
        <v>0</v>
      </c>
      <c r="AN48" s="149" t="n">
        <f aca="false">race_gem_bonus+ tech_3_2*TblTech[[#This Row],[3-2]] + tech_4_3*TblTech[[#This Row],[4-3]] + tech_6_2*TblTech[[#This Row],[6-2]]</f>
        <v>0.15</v>
      </c>
      <c r="AO48" s="132"/>
      <c r="AP48" s="69" t="n">
        <f aca="false">TblProd[[#This Row],[Food]]*food_decay * (1 + tech_2_1*TblTech[[#This Row],[2-1]] + tech_2_8*TblTech[[#This Row],[2-8]])</f>
        <v>5963.81</v>
      </c>
      <c r="AQ48" s="69" t="n">
        <f aca="false">(1+race_food_consumption)*TblPop[[#This Row],[Total]]*food_per_person*(1+tech_1_10*TblTech[[#This Row],[1-10]]+tech_7_5*TblTech[[#This Row],[7-5]])</f>
        <v>2152.5</v>
      </c>
      <c r="AR48" s="69" t="n">
        <f aca="false">TblProd[[#This Row],[Lumber]]*lumber_rot * (1 + tech_2_1*TblTech[[#This Row],[2-1]] + tech_2_8*TblTech[[#This Row],[2-8]] + tech_5_2*TblTech[[#This Row],[5-2]])</f>
        <v>97.71</v>
      </c>
      <c r="AS48" s="69" t="n">
        <f aca="false">TblProd[[#This Row],[Mana]]*mana_drain * (1 + tech_2_1*TblTech[[#This Row],[2-1]] + tech_2_8*TblTech[[#This Row],[2-8]])</f>
        <v>14725.91</v>
      </c>
      <c r="AT48" s="146"/>
      <c r="AU48" s="69" t="n">
        <f aca="false">TblExplore[[#This Row],[Platinum (2)]]+TblConstr[[#This Row],[Total Plat Cost]]+TblMili[[#This Row],[Plat Cost]]+TblRezone[[#This Row],[Platinum cost]]+TblImps[[#This Row],[P1]]-TblProd[[#This Row],[Bank Plat]]</f>
        <v>4850</v>
      </c>
      <c r="AV48" s="69" t="n">
        <f aca="false">TblConstr[[#This Row],[Total Lum Cost]]+TblImps[[#This Row],[L1]]-TblProd[[#This Row],[Bank Lumber]] + Military!$CL$25*TblMili[[#This Row],[Sec. rec. Cost]]</f>
        <v>850</v>
      </c>
      <c r="AW48" s="69" t="n">
        <f aca="false">TblMagic[[#This Row],[Mana cost]] + Military!$CL$26*TblMili[[#This Row],[Sec. rec. Cost]]</f>
        <v>0</v>
      </c>
      <c r="AX48" s="69" t="n">
        <f aca="false">Military!$CL$24*TblMili[[#This Row],[Sec. rec. Cost]]+TblImps[[#This Row],[O1]]-TblProd[[#This Row],[Bank Ore]]</f>
        <v>0</v>
      </c>
      <c r="AY48" s="69" t="n">
        <f aca="false">TblImps[[#This Row],[G1]]-TblProd[[#This Row],[Bank Gems]]</f>
        <v>0</v>
      </c>
      <c r="AZ48" s="132"/>
      <c r="BA48" s="33" t="n">
        <f aca="false">IF(TblProd[[#This Row],[Set Guard]]&lt;&gt;"",TblProd[[#This Row],[Set Guard]],OFFSET(TblProd[[#This Row],[Guard]],-1,0))</f>
        <v>0</v>
      </c>
      <c r="BB48" s="145"/>
      <c r="BC48" s="151" t="n">
        <f aca="false">TblProd[[#This Row],[Hour]]</f>
        <v>45</v>
      </c>
      <c r="BD48" s="152" t="n">
        <f aca="false">-TblProd[[#This Row],[Bank Lumber]] / 2 + -TblProd[[#This Row],[Bank Gems]] * 2 + -TblProd[[#This Row],[Bank Ore]] / 2</f>
        <v>0</v>
      </c>
      <c r="BE48" s="152"/>
      <c r="BF48" s="152"/>
      <c r="BG48" s="152"/>
      <c r="BH48" s="153" t="n">
        <f aca="false">TblProd[[#This Row],[Time]]</f>
        <v>45431.5833333333</v>
      </c>
      <c r="BI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J48" s="69" t="n">
        <f aca="false">TblProd[[#This Row],[Platinum]]</f>
        <v>130185</v>
      </c>
      <c r="BK48" s="69" t="n">
        <f aca="false">TblProd[[#This Row],[Food]]</f>
        <v>596381</v>
      </c>
      <c r="BL48" s="69" t="n">
        <f aca="false">TblProd[[#This Row],[Lumber]]</f>
        <v>9771</v>
      </c>
      <c r="BM48" s="69" t="n">
        <f aca="false">TblProd[[#This Row],[Mana]]</f>
        <v>736295.5</v>
      </c>
      <c r="BN48" s="69" t="n">
        <f aca="false">TblProd[[#This Row],[Ore]]</f>
        <v>-357</v>
      </c>
    </row>
    <row r="49" customFormat="false" ht="12.75" hidden="false" customHeight="false" outlineLevel="0" collapsed="false">
      <c r="A49" s="128" t="n">
        <v>46</v>
      </c>
      <c r="B49" s="144" t="n">
        <f aca="false">TblImps[[#This Row],[Time]]</f>
        <v>45431.625</v>
      </c>
      <c r="C49" s="145"/>
      <c r="D49" s="146"/>
      <c r="E49" s="69" t="n">
        <f aca="false">TblConstr[[#This Row],[Land]]</f>
        <v>551</v>
      </c>
      <c r="F49" s="69" t="n">
        <f aca="false">TblPop[[#This Row],[Peasants]]</f>
        <v>8601</v>
      </c>
      <c r="G49" s="69"/>
      <c r="H49" s="69" t="e">
        <f aca="false">TblMili[[#This Row],[Networth (2)]]</f>
        <v>#VALUE!</v>
      </c>
      <c r="I49" s="69" t="n">
        <f aca="false">OFFSET(TblProd[[#This Row],[Platinum]],-1,0)+OFFSET(TblProd[[#This Row],[Plat/hr]],-1,0) - TblProd[[#This Row],[Expenses Platinum]] + IF(TblProd[[#This Row],[Plat Bonus]],TblPop[[#This Row],[Peasants]]*4) + SUM(TblConstr[[#This Row],[Dest Hom]:[Dest Doc]])*TblConstr[[#This Row],[CPA Platinum -DB]]*tech_3_3_2*TblTech[[#This Row],[3-3]]</f>
        <v>164221</v>
      </c>
      <c r="J49" s="69" t="n">
        <f aca="false">OFFSET(TblProd[[#This Row],[Food]],-1,0)+OFFSET(TblProd[[#This Row],[Food/hr]],-1,0)+ROUNDUP((TblConstr[[#This Row],[Farms]]*80+TblConstr[[#This Row],[Docks]]*35)*(1+OFFSET(TblProd[[#This Row],[Bonus Food/hr]],-1,0)),0)</f>
        <v>590151</v>
      </c>
      <c r="K49" s="69" t="n">
        <f aca="false">OFFSET(TblProd[[#This Row],[Lumber]],-1,0)+OFFSET(TblProd[[#This Row],[Lumber/hr]],-1,0) - TblProd[[#This Row],[Expenses Lumber]] + SUM(TblConstr[[#This Row],[Dest Hom]:[Dest Doc]])*TblConstr[[#This Row],[CPA Lumber -DB]]*tech_3_3_2*TblTech[[#This Row],[3-3]]</f>
        <v>9852</v>
      </c>
      <c r="L49" s="69" t="n">
        <f aca="false">OFFSET(TblProd[[#This Row],[Mana]],-1,0)+OFFSET(TblProd[[#This Row],[Mana/hr]],-1,0)- TblProd[[#This Row],[Expenses Mana]]</f>
        <v>722194.5</v>
      </c>
      <c r="M49" s="69" t="n">
        <f aca="false">OFFSET(TblProd[[#This Row],[Ore]],-1,0)+OFFSET(TblProd[[#This Row],[Ore/hr]],-1,0) -TblProd[[#This Row],[Expenses Ore]]</f>
        <v>-357</v>
      </c>
      <c r="N49" s="69" t="n">
        <f aca="false">OFFSET(TblProd[[#This Row],[Gems]],-1,0)+OFFSET(TblProd[[#This Row],[Gems/hr]],-1,0) - TblProd[[#This Row],[Expenses Gems]]</f>
        <v>-1000</v>
      </c>
      <c r="O49" s="69" t="n">
        <f aca="false">OFFSET(TblProd[[#This Row],[Boats]],-1,0)+OFFSET(TblProd[[#This Row],[Boats/hr]],-1,0)</f>
        <v>6.75</v>
      </c>
      <c r="P49" s="69" t="n">
        <f aca="false">OFFSET(TblProd[[#This Row],[Prestige]],-1,0)</f>
        <v>250</v>
      </c>
      <c r="Q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9" s="69" t="n">
        <f aca="false">MAX(3750,_xlfn.CEILING.MATH(TblProd[[#This Row],[Land]]*2.5+OFFSET(TblTech[[#This Row],[Sum of tech]],-1,0)*150))</f>
        <v>3750</v>
      </c>
      <c r="S49" s="132"/>
      <c r="T49" s="69" t="n">
        <f aca="false">ROUNDDOWN(TblProd[[#This Row],[Raw Plat/hr]]*(1+TblProd[[#This Row],[Bonus Plat/hr]]),0)</f>
        <v>39559</v>
      </c>
      <c r="U49" s="69" t="n">
        <f aca="false">ROUND(TblProd[[#This Row],[Raw Food/hr]]*(1+TblProd[[#This Row],[Bonus Food/hr]])-TblProd[[#This Row],[Food decay]]-TblProd[[#This Row],[Food eaten]],0)</f>
        <v>-6210</v>
      </c>
      <c r="V49" s="69" t="n">
        <f aca="false">ROUND(TblProd[[#This Row],[Raw Lumber/hr]]*(1+TblProd[[#This Row],[Bonus Lumber/hr]])-TblProd[[#This Row],[Lumber rot]],0)</f>
        <v>1026</v>
      </c>
      <c r="W49" s="69" t="n">
        <f aca="false">ROUND(TblProd[[#This Row],[Raw Mana/hr]]*(1+TblProd[[#This Row],[Bonus Mana/hr]])-TblProd[[#This Row],[Mana drain]],0)</f>
        <v>-13819</v>
      </c>
      <c r="X49" s="69" t="n">
        <f aca="false">ROUNDDOWN(TblProd[[#This Row],[Raw Ore/hr]]*(1+TblProd[[#This Row],[Bonux Ore/hr]]),0)</f>
        <v>0</v>
      </c>
      <c r="Y49" s="69" t="n">
        <f aca="false">ROUNDDOWN(TblProd[[#This Row],[Raw Gems/hr]]*(1+TblProd[[#This Row],[Bonus Gems/hr]]),0)</f>
        <v>0</v>
      </c>
      <c r="Z49" s="148" t="n">
        <f aca="false">OFFSET(TblConstr[[#This Row],[Tot Doc]],1,0)*dock_boats_hr * (1 + tech_4_1*TblTech[[#This Row],[4-1]])</f>
        <v>0.5</v>
      </c>
      <c r="AA49" s="146"/>
      <c r="AB49" s="69" t="n">
        <f aca="false">TblPop[[#This Row],[Peasants]]*tax*TblPop[[#This Row],[Employment]] + (Construction!AZ50+Construction!BX50)*(alch_plat+(Magic!AM49&gt;0)*alchemist_flame_bonus)</f>
        <v>35963.5</v>
      </c>
      <c r="AC49" s="69" t="n">
        <f aca="false">TblConstr[[#This Row],[Tot Farm]]*farm_food + TblConstr[[#This Row],[Tot Doc]]*dock_food</f>
        <v>1840</v>
      </c>
      <c r="AD49" s="69" t="n">
        <f aca="false">TblConstr[[#This Row],[Tot Ly]]*ly_lumber + TblConstr[[#This Row],[Tot Hav]]*fh_lumber</f>
        <v>1250</v>
      </c>
      <c r="AE49" s="69" t="n">
        <f aca="false">OFFSET(TblConstr[[#This Row],[Tot Tow]],1,0)*(tower_mana + tech_4_5*TblTech[[#This Row],[4-5]]) + OFFSET(TblConstr[[#This Row],[Tot WG]],1,0)*wg_mana_prod</f>
        <v>625</v>
      </c>
      <c r="AF49" s="69" t="n">
        <f aca="false">OFFSET(TblConstr[[#This Row],[Tot OM]],1,0)*om_ore+IF(race="Dwarf",ROUNDDOWN(TblMili[[#This Row],[Unit 2]]*0.4,0),)</f>
        <v>0</v>
      </c>
      <c r="AG49" s="69" t="n">
        <f aca="false">OFFSET(TblConstr[[#This Row],[Tot DM]],1,0)*dm_gems</f>
        <v>0</v>
      </c>
      <c r="AH49" s="132"/>
      <c r="AI49" s="149" t="n">
        <f aca="false">MIN(race_platinum_bonus + IF(TblMagic[[#This Row],[Active Alch Frost]]&gt;0,alch_frost_bonus,IF(Magic!AD49&gt;0,midas_bonus)) + TblImps[[#This Row],[Science]] - TblProd[[#This Row],[Guard]]*(0.02 + tech_5_7*TblTech[[#This Row],[5-7]]) + tech_1_5*TblTech[[#This Row],[1-5]] + tech_4_4*TblTech[[#This Row],[4-4]], 0.5)</f>
        <v>0.1</v>
      </c>
      <c r="AJ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9" s="149" t="n">
        <f aca="false">race_lumber_bonus+ IF(TblMagic[[#This Row],[Active Gaia''s Blessing]]&gt;0,gaias_blessing_lumber)+ tech_1_3*TblTech[[#This Row],[1-3]] + tech_1_6*TblTech[[#This Row],[1-6]] + tech_3_3*TblTech[[#This Row],[3-3]]</f>
        <v>-0.1</v>
      </c>
      <c r="AL49" s="149" t="n">
        <f aca="false">race_mana_bonus+ 0 + TblImps[[#This Row],[Towers]] + tech_1_2*TblTech[[#This Row],[1-2]] + tech_3_4*TblTech[[#This Row],[3-4]]</f>
        <v>0</v>
      </c>
      <c r="AM49" s="149" t="n">
        <f aca="false">race_ore_bonus + IF(TblMagic[[#This Row],[Active Miner''s Sight]]&gt;0,miners_sight_bonus,IF(TblMagic[[#This Row],[Active Mining Strength]]&gt;0,mining_strength_bonus)) +  tech_1_6*TblTech[[#This Row],[1-6]]</f>
        <v>0</v>
      </c>
      <c r="AN49" s="149" t="n">
        <f aca="false">race_gem_bonus+ tech_3_2*TblTech[[#This Row],[3-2]] + tech_4_3*TblTech[[#This Row],[4-3]] + tech_6_2*TblTech[[#This Row],[6-2]]</f>
        <v>0.15</v>
      </c>
      <c r="AO49" s="132"/>
      <c r="AP49" s="69" t="n">
        <f aca="false">TblProd[[#This Row],[Food]]*food_decay * (1 + tech_2_1*TblTech[[#This Row],[2-1]] + tech_2_8*TblTech[[#This Row],[2-8]])</f>
        <v>5901.51</v>
      </c>
      <c r="AQ49" s="69" t="n">
        <f aca="false">(1+race_food_consumption)*TblPop[[#This Row],[Total]]*food_per_person*(1+tech_1_10*TblTech[[#This Row],[1-10]]+tech_7_5*TblTech[[#This Row],[7-5]])</f>
        <v>2194.25</v>
      </c>
      <c r="AR49" s="69" t="n">
        <f aca="false">TblProd[[#This Row],[Lumber]]*lumber_rot * (1 + tech_2_1*TblTech[[#This Row],[2-1]] + tech_2_8*TblTech[[#This Row],[2-8]] + tech_5_2*TblTech[[#This Row],[5-2]])</f>
        <v>98.52</v>
      </c>
      <c r="AS49" s="69" t="n">
        <f aca="false">TblProd[[#This Row],[Mana]]*mana_drain * (1 + tech_2_1*TblTech[[#This Row],[2-1]] + tech_2_8*TblTech[[#This Row],[2-8]])</f>
        <v>14443.89</v>
      </c>
      <c r="AT49" s="146"/>
      <c r="AU49" s="69" t="n">
        <f aca="false">TblExplore[[#This Row],[Platinum (2)]]+TblConstr[[#This Row],[Total Plat Cost]]+TblMili[[#This Row],[Plat Cost]]+TblRezone[[#This Row],[Platinum cost]]+TblImps[[#This Row],[P1]]-TblProd[[#This Row],[Bank Plat]]</f>
        <v>5390</v>
      </c>
      <c r="AV49" s="69" t="n">
        <f aca="false">TblConstr[[#This Row],[Total Lum Cost]]+TblImps[[#This Row],[L1]]-TblProd[[#This Row],[Bank Lumber]] + Military!$CL$25*TblMili[[#This Row],[Sec. rec. Cost]]</f>
        <v>946</v>
      </c>
      <c r="AW49" s="69" t="n">
        <f aca="false">TblMagic[[#This Row],[Mana cost]] + Military!$CL$26*TblMili[[#This Row],[Sec. rec. Cost]]</f>
        <v>0</v>
      </c>
      <c r="AX49" s="69" t="n">
        <f aca="false">Military!$CL$24*TblMili[[#This Row],[Sec. rec. Cost]]+TblImps[[#This Row],[O1]]-TblProd[[#This Row],[Bank Ore]]</f>
        <v>0</v>
      </c>
      <c r="AY49" s="69" t="n">
        <f aca="false">TblImps[[#This Row],[G1]]-TblProd[[#This Row],[Bank Gems]]</f>
        <v>0</v>
      </c>
      <c r="AZ49" s="132"/>
      <c r="BA49" s="33" t="n">
        <f aca="false">IF(TblProd[[#This Row],[Set Guard]]&lt;&gt;"",TblProd[[#This Row],[Set Guard]],OFFSET(TblProd[[#This Row],[Guard]],-1,0))</f>
        <v>0</v>
      </c>
      <c r="BB49" s="145"/>
      <c r="BC49" s="151" t="n">
        <f aca="false">TblProd[[#This Row],[Hour]]</f>
        <v>46</v>
      </c>
      <c r="BD49" s="152" t="n">
        <f aca="false">-TblProd[[#This Row],[Bank Lumber]] / 2 + -TblProd[[#This Row],[Bank Gems]] * 2 + -TblProd[[#This Row],[Bank Ore]] / 2</f>
        <v>0</v>
      </c>
      <c r="BE49" s="152"/>
      <c r="BF49" s="152"/>
      <c r="BG49" s="152"/>
      <c r="BH49" s="153" t="n">
        <f aca="false">TblProd[[#This Row],[Time]]</f>
        <v>45431.625</v>
      </c>
      <c r="BI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J49" s="69" t="n">
        <f aca="false">TblProd[[#This Row],[Platinum]]</f>
        <v>164221</v>
      </c>
      <c r="BK49" s="69" t="n">
        <f aca="false">TblProd[[#This Row],[Food]]</f>
        <v>590151</v>
      </c>
      <c r="BL49" s="69" t="n">
        <f aca="false">TblProd[[#This Row],[Lumber]]</f>
        <v>9852</v>
      </c>
      <c r="BM49" s="69" t="n">
        <f aca="false">TblProd[[#This Row],[Mana]]</f>
        <v>722194.5</v>
      </c>
      <c r="BN49" s="69" t="n">
        <f aca="false">TblProd[[#This Row],[Ore]]</f>
        <v>-357</v>
      </c>
    </row>
    <row r="50" customFormat="false" ht="12.75" hidden="false" customHeight="false" outlineLevel="0" collapsed="false">
      <c r="A50" s="128" t="n">
        <v>47</v>
      </c>
      <c r="B50" s="144" t="n">
        <f aca="false">TblImps[[#This Row],[Time]]</f>
        <v>45431.6666666667</v>
      </c>
      <c r="C50" s="145"/>
      <c r="D50" s="146"/>
      <c r="E50" s="69" t="n">
        <f aca="false">TblConstr[[#This Row],[Land]]</f>
        <v>563</v>
      </c>
      <c r="F50" s="69" t="n">
        <f aca="false">TblPop[[#This Row],[Peasants]]</f>
        <v>8698</v>
      </c>
      <c r="G50" s="69"/>
      <c r="H50" s="69" t="e">
        <f aca="false">TblMili[[#This Row],[Networth (2)]]</f>
        <v>#VALUE!</v>
      </c>
      <c r="I50" s="69" t="n">
        <f aca="false">OFFSET(TblProd[[#This Row],[Platinum]],-1,0)+OFFSET(TblProd[[#This Row],[Plat/hr]],-1,0) - TblProd[[#This Row],[Expenses Platinum]] + IF(TblProd[[#This Row],[Plat Bonus]],TblPop[[#This Row],[Peasants]]*4) + SUM(TblConstr[[#This Row],[Dest Hom]:[Dest Doc]])*TblConstr[[#This Row],[CPA Platinum -DB]]*tech_3_3_2*TblTech[[#This Row],[3-3]]</f>
        <v>197828</v>
      </c>
      <c r="J50" s="69" t="n">
        <f aca="false">OFFSET(TblProd[[#This Row],[Food]],-1,0)+OFFSET(TblProd[[#This Row],[Food/hr]],-1,0)+ROUNDUP((TblConstr[[#This Row],[Farms]]*80+TblConstr[[#This Row],[Docks]]*35)*(1+OFFSET(TblProd[[#This Row],[Bonus Food/hr]],-1,0)),0)</f>
        <v>584023</v>
      </c>
      <c r="K50" s="69" t="n">
        <f aca="false">OFFSET(TblProd[[#This Row],[Lumber]],-1,0)+OFFSET(TblProd[[#This Row],[Lumber/hr]],-1,0) - TblProd[[#This Row],[Expenses Lumber]] + SUM(TblConstr[[#This Row],[Dest Hom]:[Dest Doc]])*TblConstr[[#This Row],[CPA Lumber -DB]]*tech_3_3_2*TblTech[[#This Row],[3-3]]</f>
        <v>9822</v>
      </c>
      <c r="L50" s="69" t="n">
        <f aca="false">OFFSET(TblProd[[#This Row],[Mana]],-1,0)+OFFSET(TblProd[[#This Row],[Mana/hr]],-1,0)- TblProd[[#This Row],[Expenses Mana]]</f>
        <v>708375.5</v>
      </c>
      <c r="M50" s="69" t="n">
        <f aca="false">OFFSET(TblProd[[#This Row],[Ore]],-1,0)+OFFSET(TblProd[[#This Row],[Ore/hr]],-1,0) -TblProd[[#This Row],[Expenses Ore]]</f>
        <v>-357</v>
      </c>
      <c r="N50" s="69" t="n">
        <f aca="false">OFFSET(TblProd[[#This Row],[Gems]],-1,0)+OFFSET(TblProd[[#This Row],[Gems/hr]],-1,0) - TblProd[[#This Row],[Expenses Gems]]</f>
        <v>-1000</v>
      </c>
      <c r="O50" s="69" t="n">
        <f aca="false">OFFSET(TblProd[[#This Row],[Boats]],-1,0)+OFFSET(TblProd[[#This Row],[Boats/hr]],-1,0)</f>
        <v>7.25</v>
      </c>
      <c r="P50" s="69" t="n">
        <f aca="false">OFFSET(TblProd[[#This Row],[Prestige]],-1,0)</f>
        <v>250</v>
      </c>
      <c r="Q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50" s="69" t="n">
        <f aca="false">MAX(3750,_xlfn.CEILING.MATH(TblProd[[#This Row],[Land]]*2.5+OFFSET(TblTech[[#This Row],[Sum of tech]],-1,0)*150))</f>
        <v>3750</v>
      </c>
      <c r="S50" s="132"/>
      <c r="T50" s="69" t="n">
        <f aca="false">ROUNDDOWN(TblProd[[#This Row],[Raw Plat/hr]]*(1+TblProd[[#This Row],[Bonus Plat/hr]]),0)</f>
        <v>40251</v>
      </c>
      <c r="U50" s="69" t="n">
        <f aca="false">ROUND(TblProd[[#This Row],[Raw Food/hr]]*(1+TblProd[[#This Row],[Bonus Food/hr]])-TblProd[[#This Row],[Food decay]]-TblProd[[#This Row],[Food eaten]],0)</f>
        <v>-6112</v>
      </c>
      <c r="V50" s="69" t="n">
        <f aca="false">ROUND(TblProd[[#This Row],[Raw Lumber/hr]]*(1+TblProd[[#This Row],[Bonus Lumber/hr]])-TblProd[[#This Row],[Lumber rot]],0)</f>
        <v>1027</v>
      </c>
      <c r="W50" s="69" t="n">
        <f aca="false">ROUND(TblProd[[#This Row],[Raw Mana/hr]]*(1+TblProd[[#This Row],[Bonus Mana/hr]])-TblProd[[#This Row],[Mana drain]],0)</f>
        <v>-13543</v>
      </c>
      <c r="X50" s="69" t="n">
        <f aca="false">ROUNDDOWN(TblProd[[#This Row],[Raw Ore/hr]]*(1+TblProd[[#This Row],[Bonux Ore/hr]]),0)</f>
        <v>0</v>
      </c>
      <c r="Y50" s="69" t="n">
        <f aca="false">ROUNDDOWN(TblProd[[#This Row],[Raw Gems/hr]]*(1+TblProd[[#This Row],[Bonus Gems/hr]]),0)</f>
        <v>0</v>
      </c>
      <c r="Z50" s="148" t="n">
        <f aca="false">OFFSET(TblConstr[[#This Row],[Tot Doc]],1,0)*dock_boats_hr * (1 + tech_4_1*TblTech[[#This Row],[4-1]])</f>
        <v>0.5</v>
      </c>
      <c r="AA50" s="146"/>
      <c r="AB50" s="69" t="n">
        <f aca="false">TblPop[[#This Row],[Peasants]]*tax*TblPop[[#This Row],[Employment]] + (Construction!AZ51+Construction!BX51)*(alch_plat+(Magic!AM50&gt;0)*alchemist_flame_bonus)</f>
        <v>36592.6</v>
      </c>
      <c r="AC50" s="69" t="n">
        <f aca="false">TblConstr[[#This Row],[Tot Farm]]*farm_food + TblConstr[[#This Row],[Tot Doc]]*dock_food</f>
        <v>1920</v>
      </c>
      <c r="AD50" s="69" t="n">
        <f aca="false">TblConstr[[#This Row],[Tot Ly]]*ly_lumber + TblConstr[[#This Row],[Tot Hav]]*fh_lumber</f>
        <v>1250</v>
      </c>
      <c r="AE50" s="69" t="n">
        <f aca="false">OFFSET(TblConstr[[#This Row],[Tot Tow]],1,0)*(tower_mana + tech_4_5*TblTech[[#This Row],[4-5]]) + OFFSET(TblConstr[[#This Row],[Tot WG]],1,0)*wg_mana_prod</f>
        <v>625</v>
      </c>
      <c r="AF50" s="69" t="n">
        <f aca="false">OFFSET(TblConstr[[#This Row],[Tot OM]],1,0)*om_ore+IF(race="Dwarf",ROUNDDOWN(TblMili[[#This Row],[Unit 2]]*0.4,0),)</f>
        <v>0</v>
      </c>
      <c r="AG50" s="69" t="n">
        <f aca="false">OFFSET(TblConstr[[#This Row],[Tot DM]],1,0)*dm_gems</f>
        <v>0</v>
      </c>
      <c r="AH50" s="132"/>
      <c r="AI50" s="149" t="n">
        <f aca="false">MIN(race_platinum_bonus + IF(TblMagic[[#This Row],[Active Alch Frost]]&gt;0,alch_frost_bonus,IF(Magic!AD50&gt;0,midas_bonus)) + TblImps[[#This Row],[Science]] - TblProd[[#This Row],[Guard]]*(0.02 + tech_5_7*TblTech[[#This Row],[5-7]]) + tech_1_5*TblTech[[#This Row],[1-5]] + tech_4_4*TblTech[[#This Row],[4-4]], 0.5)</f>
        <v>0.1</v>
      </c>
      <c r="AJ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0" s="149" t="n">
        <f aca="false">race_lumber_bonus+ IF(TblMagic[[#This Row],[Active Gaia''s Blessing]]&gt;0,gaias_blessing_lumber)+ tech_1_3*TblTech[[#This Row],[1-3]] + tech_1_6*TblTech[[#This Row],[1-6]] + tech_3_3*TblTech[[#This Row],[3-3]]</f>
        <v>-0.1</v>
      </c>
      <c r="AL50" s="149" t="n">
        <f aca="false">race_mana_bonus+ 0 + TblImps[[#This Row],[Towers]] + tech_1_2*TblTech[[#This Row],[1-2]] + tech_3_4*TblTech[[#This Row],[3-4]]</f>
        <v>0</v>
      </c>
      <c r="AM50" s="149" t="n">
        <f aca="false">race_ore_bonus + IF(TblMagic[[#This Row],[Active Miner''s Sight]]&gt;0,miners_sight_bonus,IF(TblMagic[[#This Row],[Active Mining Strength]]&gt;0,mining_strength_bonus)) +  tech_1_6*TblTech[[#This Row],[1-6]]</f>
        <v>0</v>
      </c>
      <c r="AN50" s="149" t="n">
        <f aca="false">race_gem_bonus+ tech_3_2*TblTech[[#This Row],[3-2]] + tech_4_3*TblTech[[#This Row],[4-3]] + tech_6_2*TblTech[[#This Row],[6-2]]</f>
        <v>0.15</v>
      </c>
      <c r="AO50" s="132"/>
      <c r="AP50" s="69" t="n">
        <f aca="false">TblProd[[#This Row],[Food]]*food_decay * (1 + tech_2_1*TblTech[[#This Row],[2-1]] + tech_2_8*TblTech[[#This Row],[2-8]])</f>
        <v>5840.23</v>
      </c>
      <c r="AQ50" s="69" t="n">
        <f aca="false">(1+race_food_consumption)*TblPop[[#This Row],[Total]]*food_per_person*(1+tech_1_10*TblTech[[#This Row],[1-10]]+tech_7_5*TblTech[[#This Row],[7-5]])</f>
        <v>2240</v>
      </c>
      <c r="AR50" s="69" t="n">
        <f aca="false">TblProd[[#This Row],[Lumber]]*lumber_rot * (1 + tech_2_1*TblTech[[#This Row],[2-1]] + tech_2_8*TblTech[[#This Row],[2-8]] + tech_5_2*TblTech[[#This Row],[5-2]])</f>
        <v>98.22</v>
      </c>
      <c r="AS50" s="69" t="n">
        <f aca="false">TblProd[[#This Row],[Mana]]*mana_drain * (1 + tech_2_1*TblTech[[#This Row],[2-1]] + tech_2_8*TblTech[[#This Row],[2-8]])</f>
        <v>14167.51</v>
      </c>
      <c r="AT50" s="146"/>
      <c r="AU50" s="69" t="n">
        <f aca="false">TblExplore[[#This Row],[Platinum (2)]]+TblConstr[[#This Row],[Total Plat Cost]]+TblMili[[#This Row],[Plat Cost]]+TblRezone[[#This Row],[Platinum cost]]+TblImps[[#This Row],[P1]]-TblProd[[#This Row],[Bank Plat]]</f>
        <v>5952</v>
      </c>
      <c r="AV50" s="69" t="n">
        <f aca="false">TblConstr[[#This Row],[Total Lum Cost]]+TblImps[[#This Row],[L1]]-TblProd[[#This Row],[Bank Lumber]] + Military!$CL$25*TblMili[[#This Row],[Sec. rec. Cost]]</f>
        <v>1056</v>
      </c>
      <c r="AW50" s="69" t="n">
        <f aca="false">TblMagic[[#This Row],[Mana cost]] + Military!$CL$26*TblMili[[#This Row],[Sec. rec. Cost]]</f>
        <v>0</v>
      </c>
      <c r="AX50" s="69" t="n">
        <f aca="false">Military!$CL$24*TblMili[[#This Row],[Sec. rec. Cost]]+TblImps[[#This Row],[O1]]-TblProd[[#This Row],[Bank Ore]]</f>
        <v>0</v>
      </c>
      <c r="AY50" s="69" t="n">
        <f aca="false">TblImps[[#This Row],[G1]]-TblProd[[#This Row],[Bank Gems]]</f>
        <v>0</v>
      </c>
      <c r="AZ50" s="132"/>
      <c r="BA50" s="33" t="n">
        <f aca="false">IF(TblProd[[#This Row],[Set Guard]]&lt;&gt;"",TblProd[[#This Row],[Set Guard]],OFFSET(TblProd[[#This Row],[Guard]],-1,0))</f>
        <v>0</v>
      </c>
      <c r="BB50" s="145"/>
      <c r="BC50" s="151" t="n">
        <f aca="false">TblProd[[#This Row],[Hour]]</f>
        <v>47</v>
      </c>
      <c r="BD50" s="152" t="n">
        <f aca="false">-TblProd[[#This Row],[Bank Lumber]] / 2 + -TblProd[[#This Row],[Bank Gems]] * 2 + -TblProd[[#This Row],[Bank Ore]] / 2</f>
        <v>0</v>
      </c>
      <c r="BE50" s="152"/>
      <c r="BF50" s="152"/>
      <c r="BG50" s="152"/>
      <c r="BH50" s="153" t="n">
        <f aca="false">TblProd[[#This Row],[Time]]</f>
        <v>45431.6666666667</v>
      </c>
      <c r="BI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J50" s="69" t="n">
        <f aca="false">TblProd[[#This Row],[Platinum]]</f>
        <v>197828</v>
      </c>
      <c r="BK50" s="69" t="n">
        <f aca="false">TblProd[[#This Row],[Food]]</f>
        <v>584023</v>
      </c>
      <c r="BL50" s="69" t="n">
        <f aca="false">TblProd[[#This Row],[Lumber]]</f>
        <v>9822</v>
      </c>
      <c r="BM50" s="69" t="n">
        <f aca="false">TblProd[[#This Row],[Mana]]</f>
        <v>708375.5</v>
      </c>
      <c r="BN50" s="69" t="n">
        <f aca="false">TblProd[[#This Row],[Ore]]</f>
        <v>-357</v>
      </c>
    </row>
    <row r="51" customFormat="false" ht="12.75" hidden="false" customHeight="false" outlineLevel="0" collapsed="false">
      <c r="A51" s="128" t="n">
        <v>48</v>
      </c>
      <c r="B51" s="144" t="n">
        <f aca="false">TblImps[[#This Row],[Time]]</f>
        <v>45431.7083333333</v>
      </c>
      <c r="C51" s="145" t="n">
        <v>1</v>
      </c>
      <c r="D51" s="146"/>
      <c r="E51" s="69" t="n">
        <f aca="false">TblConstr[[#This Row],[Land]]</f>
        <v>596</v>
      </c>
      <c r="F51" s="69" t="n">
        <f aca="false">TblPop[[#This Row],[Peasants]]</f>
        <v>8810</v>
      </c>
      <c r="G51" s="69"/>
      <c r="H51" s="69" t="e">
        <f aca="false">TblMili[[#This Row],[Networth (2)]]</f>
        <v>#VALUE!</v>
      </c>
      <c r="I51" s="69" t="n">
        <f aca="false">OFFSET(TblProd[[#This Row],[Platinum]],-1,0)+OFFSET(TblProd[[#This Row],[Plat/hr]],-1,0) - TblProd[[#This Row],[Expenses Platinum]] + IF(TblProd[[#This Row],[Plat Bonus]],TblPop[[#This Row],[Peasants]]*4) + SUM(TblConstr[[#This Row],[Dest Hom]:[Dest Doc]])*TblConstr[[#This Row],[CPA Platinum -DB]]*tech_3_3_2*TblTech[[#This Row],[3-3]]</f>
        <v>256520</v>
      </c>
      <c r="J51" s="69" t="n">
        <f aca="false">OFFSET(TblProd[[#This Row],[Food]],-1,0)+OFFSET(TblProd[[#This Row],[Food/hr]],-1,0)+ROUNDUP((TblConstr[[#This Row],[Farms]]*80+TblConstr[[#This Row],[Docks]]*35)*(1+OFFSET(TblProd[[#This Row],[Bonus Food/hr]],-1,0)),0)</f>
        <v>577911</v>
      </c>
      <c r="K51" s="69" t="n">
        <f aca="false">OFFSET(TblProd[[#This Row],[Lumber]],-1,0)+OFFSET(TblProd[[#This Row],[Lumber/hr]],-1,0) - TblProd[[#This Row],[Expenses Lumber]] + SUM(TblConstr[[#This Row],[Dest Hom]:[Dest Doc]])*TblConstr[[#This Row],[CPA Lumber -DB]]*tech_3_3_2*TblTech[[#This Row],[3-3]]</f>
        <v>7819</v>
      </c>
      <c r="L51" s="69" t="n">
        <f aca="false">OFFSET(TblProd[[#This Row],[Mana]],-1,0)+OFFSET(TblProd[[#This Row],[Mana/hr]],-1,0)- TblProd[[#This Row],[Expenses Mana]]</f>
        <v>694832.5</v>
      </c>
      <c r="M51" s="69" t="n">
        <f aca="false">OFFSET(TblProd[[#This Row],[Ore]],-1,0)+OFFSET(TblProd[[#This Row],[Ore/hr]],-1,0) -TblProd[[#This Row],[Expenses Ore]]</f>
        <v>-357</v>
      </c>
      <c r="N51" s="69" t="n">
        <f aca="false">OFFSET(TblProd[[#This Row],[Gems]],-1,0)+OFFSET(TblProd[[#This Row],[Gems/hr]],-1,0) - TblProd[[#This Row],[Expenses Gems]]</f>
        <v>-1000</v>
      </c>
      <c r="O51" s="69" t="n">
        <f aca="false">OFFSET(TblProd[[#This Row],[Boats]],-1,0)+OFFSET(TblProd[[#This Row],[Boats/hr]],-1,0)</f>
        <v>7.75</v>
      </c>
      <c r="P51" s="69" t="n">
        <f aca="false">OFFSET(TblProd[[#This Row],[Prestige]],-1,0)</f>
        <v>250</v>
      </c>
      <c r="Q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1" s="69" t="n">
        <f aca="false">MAX(3750,_xlfn.CEILING.MATH(TblProd[[#This Row],[Land]]*2.5+OFFSET(TblTech[[#This Row],[Sum of tech]],-1,0)*150))</f>
        <v>3750</v>
      </c>
      <c r="S51" s="132"/>
      <c r="T51" s="69" t="n">
        <f aca="false">ROUNDDOWN(TblProd[[#This Row],[Raw Plat/hr]]*(1+TblProd[[#This Row],[Bonus Plat/hr]]),0)</f>
        <v>40302</v>
      </c>
      <c r="U51" s="69" t="n">
        <f aca="false">ROUND(TblProd[[#This Row],[Raw Food/hr]]*(1+TblProd[[#This Row],[Bonus Food/hr]])-TblProd[[#This Row],[Food decay]]-TblProd[[#This Row],[Food eaten]],0)</f>
        <v>-6101</v>
      </c>
      <c r="V51" s="69" t="n">
        <f aca="false">ROUND(TblProd[[#This Row],[Raw Lumber/hr]]*(1+TblProd[[#This Row],[Bonus Lumber/hr]])-TblProd[[#This Row],[Lumber rot]],0)</f>
        <v>1047</v>
      </c>
      <c r="W51" s="69" t="n">
        <f aca="false">ROUND(TblProd[[#This Row],[Raw Mana/hr]]*(1+TblProd[[#This Row],[Bonus Mana/hr]])-TblProd[[#This Row],[Mana drain]],0)</f>
        <v>-13272</v>
      </c>
      <c r="X51" s="69" t="n">
        <f aca="false">ROUNDDOWN(TblProd[[#This Row],[Raw Ore/hr]]*(1+TblProd[[#This Row],[Bonux Ore/hr]]),0)</f>
        <v>0</v>
      </c>
      <c r="Y51" s="69" t="n">
        <f aca="false">ROUNDDOWN(TblProd[[#This Row],[Raw Gems/hr]]*(1+TblProd[[#This Row],[Bonus Gems/hr]]),0)</f>
        <v>0</v>
      </c>
      <c r="Z51" s="148" t="n">
        <f aca="false">OFFSET(TblConstr[[#This Row],[Tot Doc]],1,0)*dock_boats_hr * (1 + tech_4_1*TblTech[[#This Row],[4-1]])</f>
        <v>0.5</v>
      </c>
      <c r="AA51" s="146"/>
      <c r="AB51" s="69" t="n">
        <f aca="false">TblPop[[#This Row],[Peasants]]*tax*TblPop[[#This Row],[Employment]] + (Construction!AZ52+Construction!BX52)*(alch_plat+(Magic!AM51&gt;0)*alchemist_flame_bonus)</f>
        <v>36638.5</v>
      </c>
      <c r="AC51" s="69" t="n">
        <f aca="false">TblConstr[[#This Row],[Tot Farm]]*farm_food + TblConstr[[#This Row],[Tot Doc]]*dock_food</f>
        <v>1920</v>
      </c>
      <c r="AD51" s="69" t="n">
        <f aca="false">TblConstr[[#This Row],[Tot Ly]]*ly_lumber + TblConstr[[#This Row],[Tot Hav]]*fh_lumber</f>
        <v>1250</v>
      </c>
      <c r="AE51" s="69" t="n">
        <f aca="false">OFFSET(TblConstr[[#This Row],[Tot Tow]],1,0)*(tower_mana + tech_4_5*TblTech[[#This Row],[4-5]]) + OFFSET(TblConstr[[#This Row],[Tot WG]],1,0)*wg_mana_prod</f>
        <v>625</v>
      </c>
      <c r="AF51" s="69" t="n">
        <f aca="false">OFFSET(TblConstr[[#This Row],[Tot OM]],1,0)*om_ore+IF(race="Dwarf",ROUNDDOWN(TblMili[[#This Row],[Unit 2]]*0.4,0),)</f>
        <v>0</v>
      </c>
      <c r="AG51" s="69" t="n">
        <f aca="false">OFFSET(TblConstr[[#This Row],[Tot DM]],1,0)*dm_gems</f>
        <v>0</v>
      </c>
      <c r="AH51" s="132"/>
      <c r="AI51" s="149" t="n">
        <f aca="false">MIN(race_platinum_bonus + IF(TblMagic[[#This Row],[Active Alch Frost]]&gt;0,alch_frost_bonus,IF(Magic!AD51&gt;0,midas_bonus)) + TblImps[[#This Row],[Science]] - TblProd[[#This Row],[Guard]]*(0.02 + tech_5_7*TblTech[[#This Row],[5-7]]) + tech_1_5*TblTech[[#This Row],[1-5]] + tech_4_4*TblTech[[#This Row],[4-4]], 0.5)</f>
        <v>0.1</v>
      </c>
      <c r="AJ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1" s="149" t="n">
        <f aca="false">race_lumber_bonus+ IF(TblMagic[[#This Row],[Active Gaia''s Blessing]]&gt;0,gaias_blessing_lumber)+ tech_1_3*TblTech[[#This Row],[1-3]] + tech_1_6*TblTech[[#This Row],[1-6]] + tech_3_3*TblTech[[#This Row],[3-3]]</f>
        <v>-0.1</v>
      </c>
      <c r="AL51" s="149" t="n">
        <f aca="false">race_mana_bonus+ 0 + TblImps[[#This Row],[Towers]] + tech_1_2*TblTech[[#This Row],[1-2]] + tech_3_4*TblTech[[#This Row],[3-4]]</f>
        <v>0</v>
      </c>
      <c r="AM51" s="149" t="n">
        <f aca="false">race_ore_bonus + IF(TblMagic[[#This Row],[Active Miner''s Sight]]&gt;0,miners_sight_bonus,IF(TblMagic[[#This Row],[Active Mining Strength]]&gt;0,mining_strength_bonus)) +  tech_1_6*TblTech[[#This Row],[1-6]]</f>
        <v>0</v>
      </c>
      <c r="AN51" s="149" t="n">
        <f aca="false">race_gem_bonus+ tech_3_2*TblTech[[#This Row],[3-2]] + tech_4_3*TblTech[[#This Row],[4-3]] + tech_6_2*TblTech[[#This Row],[6-2]]</f>
        <v>0.15</v>
      </c>
      <c r="AO51" s="132"/>
      <c r="AP51" s="69" t="n">
        <f aca="false">TblProd[[#This Row],[Food]]*food_decay * (1 + tech_2_1*TblTech[[#This Row],[2-1]] + tech_2_8*TblTech[[#This Row],[2-8]])</f>
        <v>5779.11</v>
      </c>
      <c r="AQ51" s="69" t="n">
        <f aca="false">(1+race_food_consumption)*TblPop[[#This Row],[Total]]*food_per_person*(1+tech_1_10*TblTech[[#This Row],[1-10]]+tech_7_5*TblTech[[#This Row],[7-5]])</f>
        <v>2289.75</v>
      </c>
      <c r="AR51" s="69" t="n">
        <f aca="false">TblProd[[#This Row],[Lumber]]*lumber_rot * (1 + tech_2_1*TblTech[[#This Row],[2-1]] + tech_2_8*TblTech[[#This Row],[2-8]] + tech_5_2*TblTech[[#This Row],[5-2]])</f>
        <v>78.19</v>
      </c>
      <c r="AS51" s="69" t="n">
        <f aca="false">TblProd[[#This Row],[Mana]]*mana_drain * (1 + tech_2_1*TblTech[[#This Row],[2-1]] + tech_2_8*TblTech[[#This Row],[2-8]])</f>
        <v>13896.65</v>
      </c>
      <c r="AT51" s="146"/>
      <c r="AU51" s="69" t="n">
        <f aca="false">TblExplore[[#This Row],[Platinum (2)]]+TblConstr[[#This Row],[Total Plat Cost]]+TblMili[[#This Row],[Plat Cost]]+TblRezone[[#This Row],[Platinum cost]]+TblImps[[#This Row],[P1]]-TblProd[[#This Row],[Bank Plat]]</f>
        <v>16799</v>
      </c>
      <c r="AV51" s="69" t="n">
        <f aca="false">TblConstr[[#This Row],[Total Lum Cost]]+TblImps[[#This Row],[L1]]-TblProd[[#This Row],[Bank Lumber]] + Military!$CL$25*TblMili[[#This Row],[Sec. rec. Cost]]</f>
        <v>3030</v>
      </c>
      <c r="AW51" s="69" t="n">
        <f aca="false">TblMagic[[#This Row],[Mana cost]] + Military!$CL$26*TblMili[[#This Row],[Sec. rec. Cost]]</f>
        <v>0</v>
      </c>
      <c r="AX51" s="69" t="n">
        <f aca="false">Military!$CL$24*TblMili[[#This Row],[Sec. rec. Cost]]+TblImps[[#This Row],[O1]]-TblProd[[#This Row],[Bank Ore]]</f>
        <v>0</v>
      </c>
      <c r="AY51" s="69" t="n">
        <f aca="false">TblImps[[#This Row],[G1]]-TblProd[[#This Row],[Bank Gems]]</f>
        <v>0</v>
      </c>
      <c r="AZ51" s="132"/>
      <c r="BA51" s="33" t="n">
        <f aca="false">IF(TblProd[[#This Row],[Set Guard]]&lt;&gt;"",TblProd[[#This Row],[Set Guard]],OFFSET(TblProd[[#This Row],[Guard]],-1,0))</f>
        <v>0</v>
      </c>
      <c r="BB51" s="145"/>
      <c r="BC51" s="151" t="n">
        <f aca="false">TblProd[[#This Row],[Hour]]</f>
        <v>48</v>
      </c>
      <c r="BD51" s="152" t="n">
        <f aca="false">-TblProd[[#This Row],[Bank Lumber]] / 2 + -TblProd[[#This Row],[Bank Gems]] * 2 + -TblProd[[#This Row],[Bank Ore]] / 2</f>
        <v>0</v>
      </c>
      <c r="BE51" s="152"/>
      <c r="BF51" s="152"/>
      <c r="BG51" s="152"/>
      <c r="BH51" s="153" t="n">
        <f aca="false">TblProd[[#This Row],[Time]]</f>
        <v>45431.7083333333</v>
      </c>
      <c r="BI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J51" s="69" t="n">
        <f aca="false">TblProd[[#This Row],[Platinum]]</f>
        <v>256520</v>
      </c>
      <c r="BK51" s="69" t="n">
        <f aca="false">TblProd[[#This Row],[Food]]</f>
        <v>577911</v>
      </c>
      <c r="BL51" s="69" t="n">
        <f aca="false">TblProd[[#This Row],[Lumber]]</f>
        <v>7819</v>
      </c>
      <c r="BM51" s="69" t="n">
        <f aca="false">TblProd[[#This Row],[Mana]]</f>
        <v>694832.5</v>
      </c>
      <c r="BN51" s="69" t="n">
        <f aca="false">TblProd[[#This Row],[Ore]]</f>
        <v>-357</v>
      </c>
    </row>
    <row r="52" customFormat="false" ht="12.75" hidden="false" customHeight="false" outlineLevel="0" collapsed="false">
      <c r="A52" s="128" t="n">
        <v>49</v>
      </c>
      <c r="B52" s="144" t="n">
        <f aca="false">TblImps[[#This Row],[Time]]</f>
        <v>45431.75</v>
      </c>
      <c r="C52" s="145"/>
      <c r="D52" s="146"/>
      <c r="E52" s="69" t="n">
        <f aca="false">TblConstr[[#This Row],[Land]]</f>
        <v>629</v>
      </c>
      <c r="F52" s="69" t="n">
        <f aca="false">TblPop[[#This Row],[Peasants]]</f>
        <v>9236</v>
      </c>
      <c r="G52" s="69"/>
      <c r="H52" s="69" t="e">
        <f aca="false">TblMili[[#This Row],[Networth (2)]]</f>
        <v>#VALUE!</v>
      </c>
      <c r="I52" s="69" t="n">
        <f aca="false">OFFSET(TblProd[[#This Row],[Platinum]],-1,0)+OFFSET(TblProd[[#This Row],[Plat/hr]],-1,0) - TblProd[[#This Row],[Expenses Platinum]] + IF(TblProd[[#This Row],[Plat Bonus]],TblPop[[#This Row],[Peasants]]*4) + SUM(TblConstr[[#This Row],[Dest Hom]:[Dest Doc]])*TblConstr[[#This Row],[CPA Platinum -DB]]*tech_3_3_2*TblTech[[#This Row],[3-3]]</f>
        <v>279495</v>
      </c>
      <c r="J52" s="69" t="n">
        <f aca="false">OFFSET(TblProd[[#This Row],[Food]],-1,0)+OFFSET(TblProd[[#This Row],[Food/hr]],-1,0)+ROUNDUP((TblConstr[[#This Row],[Farms]]*80+TblConstr[[#This Row],[Docks]]*35)*(1+OFFSET(TblProd[[#This Row],[Bonus Food/hr]],-1,0)),0)</f>
        <v>571810</v>
      </c>
      <c r="K52" s="69" t="n">
        <f aca="false">OFFSET(TblProd[[#This Row],[Lumber]],-1,0)+OFFSET(TblProd[[#This Row],[Lumber/hr]],-1,0) - TblProd[[#This Row],[Expenses Lumber]] + SUM(TblConstr[[#This Row],[Dest Hom]:[Dest Doc]])*TblConstr[[#This Row],[CPA Lumber -DB]]*tech_3_3_2*TblTech[[#This Row],[3-3]]</f>
        <v>5671</v>
      </c>
      <c r="L52" s="69" t="n">
        <f aca="false">OFFSET(TblProd[[#This Row],[Mana]],-1,0)+OFFSET(TblProd[[#This Row],[Mana/hr]],-1,0)- TblProd[[#This Row],[Expenses Mana]]</f>
        <v>681560.5</v>
      </c>
      <c r="M52" s="69" t="n">
        <f aca="false">OFFSET(TblProd[[#This Row],[Ore]],-1,0)+OFFSET(TblProd[[#This Row],[Ore/hr]],-1,0) -TblProd[[#This Row],[Expenses Ore]]</f>
        <v>-357</v>
      </c>
      <c r="N52" s="69" t="n">
        <f aca="false">OFFSET(TblProd[[#This Row],[Gems]],-1,0)+OFFSET(TblProd[[#This Row],[Gems/hr]],-1,0) - TblProd[[#This Row],[Expenses Gems]]</f>
        <v>-1000</v>
      </c>
      <c r="O52" s="69" t="n">
        <f aca="false">OFFSET(TblProd[[#This Row],[Boats]],-1,0)+OFFSET(TblProd[[#This Row],[Boats/hr]],-1,0)</f>
        <v>8.25</v>
      </c>
      <c r="P52" s="69" t="n">
        <f aca="false">OFFSET(TblProd[[#This Row],[Prestige]],-1,0)</f>
        <v>250</v>
      </c>
      <c r="Q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2" s="69" t="n">
        <f aca="false">MAX(3750,_xlfn.CEILING.MATH(TblProd[[#This Row],[Land]]*2.5+OFFSET(TblTech[[#This Row],[Sum of tech]],-1,0)*150))</f>
        <v>3750</v>
      </c>
      <c r="S52" s="132"/>
      <c r="T52" s="69" t="n">
        <f aca="false">ROUNDDOWN(TblProd[[#This Row],[Raw Plat/hr]]*(1+TblProd[[#This Row],[Bonus Plat/hr]]),0)</f>
        <v>40302</v>
      </c>
      <c r="U52" s="69" t="n">
        <f aca="false">ROUND(TblProd[[#This Row],[Raw Food/hr]]*(1+TblProd[[#This Row],[Bonus Food/hr]])-TblProd[[#This Row],[Food decay]]-TblProd[[#This Row],[Food eaten]],0)</f>
        <v>-6168</v>
      </c>
      <c r="V52" s="69" t="n">
        <f aca="false">ROUND(TblProd[[#This Row],[Raw Lumber/hr]]*(1+TblProd[[#This Row],[Bonus Lumber/hr]])-TblProd[[#This Row],[Lumber rot]],0)</f>
        <v>1068</v>
      </c>
      <c r="W52" s="69" t="n">
        <f aca="false">ROUND(TblProd[[#This Row],[Raw Mana/hr]]*(1+TblProd[[#This Row],[Bonus Mana/hr]])-TblProd[[#This Row],[Mana drain]],0)</f>
        <v>-13006</v>
      </c>
      <c r="X52" s="69" t="n">
        <f aca="false">ROUNDDOWN(TblProd[[#This Row],[Raw Ore/hr]]*(1+TblProd[[#This Row],[Bonux Ore/hr]]),0)</f>
        <v>0</v>
      </c>
      <c r="Y52" s="69" t="n">
        <f aca="false">ROUNDDOWN(TblProd[[#This Row],[Raw Gems/hr]]*(1+TblProd[[#This Row],[Bonus Gems/hr]]),0)</f>
        <v>0</v>
      </c>
      <c r="Z52" s="148" t="n">
        <f aca="false">OFFSET(TblConstr[[#This Row],[Tot Doc]],1,0)*dock_boats_hr * (1 + tech_4_1*TblTech[[#This Row],[4-1]])</f>
        <v>0.5</v>
      </c>
      <c r="AA52" s="146"/>
      <c r="AB52" s="69" t="n">
        <f aca="false">TblPop[[#This Row],[Peasants]]*tax*TblPop[[#This Row],[Employment]] + (Construction!AZ53+Construction!BX53)*(alch_plat+(Magic!AM52&gt;0)*alchemist_flame_bonus)</f>
        <v>36638.5</v>
      </c>
      <c r="AC52" s="69" t="n">
        <f aca="false">TblConstr[[#This Row],[Tot Farm]]*farm_food + TblConstr[[#This Row],[Tot Doc]]*dock_food</f>
        <v>1920</v>
      </c>
      <c r="AD52" s="69" t="n">
        <f aca="false">TblConstr[[#This Row],[Tot Ly]]*ly_lumber + TblConstr[[#This Row],[Tot Hav]]*fh_lumber</f>
        <v>1250</v>
      </c>
      <c r="AE52" s="69" t="n">
        <f aca="false">OFFSET(TblConstr[[#This Row],[Tot Tow]],1,0)*(tower_mana + tech_4_5*TblTech[[#This Row],[4-5]]) + OFFSET(TblConstr[[#This Row],[Tot WG]],1,0)*wg_mana_prod</f>
        <v>625</v>
      </c>
      <c r="AF52" s="69" t="n">
        <f aca="false">OFFSET(TblConstr[[#This Row],[Tot OM]],1,0)*om_ore+IF(race="Dwarf",ROUNDDOWN(TblMili[[#This Row],[Unit 2]]*0.4,0),)</f>
        <v>0</v>
      </c>
      <c r="AG52" s="69" t="n">
        <f aca="false">OFFSET(TblConstr[[#This Row],[Tot DM]],1,0)*dm_gems</f>
        <v>0</v>
      </c>
      <c r="AH52" s="132"/>
      <c r="AI52" s="149" t="n">
        <f aca="false">MIN(race_platinum_bonus + IF(TblMagic[[#This Row],[Active Alch Frost]]&gt;0,alch_frost_bonus,IF(Magic!AD52&gt;0,midas_bonus)) + TblImps[[#This Row],[Science]] - TblProd[[#This Row],[Guard]]*(0.02 + tech_5_7*TblTech[[#This Row],[5-7]]) + tech_1_5*TblTech[[#This Row],[1-5]] + tech_4_4*TblTech[[#This Row],[4-4]], 0.5)</f>
        <v>0.1</v>
      </c>
      <c r="AJ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2" s="149" t="n">
        <f aca="false">race_lumber_bonus+ IF(TblMagic[[#This Row],[Active Gaia''s Blessing]]&gt;0,gaias_blessing_lumber)+ tech_1_3*TblTech[[#This Row],[1-3]] + tech_1_6*TblTech[[#This Row],[1-6]] + tech_3_3*TblTech[[#This Row],[3-3]]</f>
        <v>-0.1</v>
      </c>
      <c r="AL52" s="149" t="n">
        <f aca="false">race_mana_bonus+ 0 + TblImps[[#This Row],[Towers]] + tech_1_2*TblTech[[#This Row],[1-2]] + tech_3_4*TblTech[[#This Row],[3-4]]</f>
        <v>0</v>
      </c>
      <c r="AM52" s="149" t="n">
        <f aca="false">race_ore_bonus + IF(TblMagic[[#This Row],[Active Miner''s Sight]]&gt;0,miners_sight_bonus,IF(TblMagic[[#This Row],[Active Mining Strength]]&gt;0,mining_strength_bonus)) +  tech_1_6*TblTech[[#This Row],[1-6]]</f>
        <v>0</v>
      </c>
      <c r="AN52" s="149" t="n">
        <f aca="false">race_gem_bonus+ tech_3_2*TblTech[[#This Row],[3-2]] + tech_4_3*TblTech[[#This Row],[4-3]] + tech_6_2*TblTech[[#This Row],[6-2]]</f>
        <v>0.15</v>
      </c>
      <c r="AO52" s="132"/>
      <c r="AP52" s="69" t="n">
        <f aca="false">TblProd[[#This Row],[Food]]*food_decay * (1 + tech_2_1*TblTech[[#This Row],[2-1]] + tech_2_8*TblTech[[#This Row],[2-8]])</f>
        <v>5718.1</v>
      </c>
      <c r="AQ52" s="69" t="n">
        <f aca="false">(1+race_food_consumption)*TblPop[[#This Row],[Total]]*food_per_person*(1+tech_1_10*TblTech[[#This Row],[1-10]]+tech_7_5*TblTech[[#This Row],[7-5]])</f>
        <v>2418.25</v>
      </c>
      <c r="AR52" s="69" t="n">
        <f aca="false">TblProd[[#This Row],[Lumber]]*lumber_rot * (1 + tech_2_1*TblTech[[#This Row],[2-1]] + tech_2_8*TblTech[[#This Row],[2-8]] + tech_5_2*TblTech[[#This Row],[5-2]])</f>
        <v>56.71</v>
      </c>
      <c r="AS52" s="69" t="n">
        <f aca="false">TblProd[[#This Row],[Mana]]*mana_drain * (1 + tech_2_1*TblTech[[#This Row],[2-1]] + tech_2_8*TblTech[[#This Row],[2-8]])</f>
        <v>13631.21</v>
      </c>
      <c r="AT52" s="146"/>
      <c r="AU52" s="69" t="n">
        <f aca="false">TblExplore[[#This Row],[Platinum (2)]]+TblConstr[[#This Row],[Total Plat Cost]]+TblMili[[#This Row],[Plat Cost]]+TblRezone[[#This Row],[Platinum cost]]+TblImps[[#This Row],[P1]]-TblProd[[#This Row],[Bank Plat]]</f>
        <v>17327</v>
      </c>
      <c r="AV52" s="69" t="n">
        <f aca="false">TblConstr[[#This Row],[Total Lum Cost]]+TblImps[[#This Row],[L1]]-TblProd[[#This Row],[Bank Lumber]] + Military!$CL$25*TblMili[[#This Row],[Sec. rec. Cost]]</f>
        <v>3195</v>
      </c>
      <c r="AW52" s="69" t="n">
        <f aca="false">TblMagic[[#This Row],[Mana cost]] + Military!$CL$26*TblMili[[#This Row],[Sec. rec. Cost]]</f>
        <v>0</v>
      </c>
      <c r="AX52" s="69" t="n">
        <f aca="false">Military!$CL$24*TblMili[[#This Row],[Sec. rec. Cost]]+TblImps[[#This Row],[O1]]-TblProd[[#This Row],[Bank Ore]]</f>
        <v>0</v>
      </c>
      <c r="AY52" s="69" t="n">
        <f aca="false">TblImps[[#This Row],[G1]]-TblProd[[#This Row],[Bank Gems]]</f>
        <v>0</v>
      </c>
      <c r="AZ52" s="132"/>
      <c r="BA52" s="33" t="n">
        <f aca="false">IF(TblProd[[#This Row],[Set Guard]]&lt;&gt;"",TblProd[[#This Row],[Set Guard]],OFFSET(TblProd[[#This Row],[Guard]],-1,0))</f>
        <v>0</v>
      </c>
      <c r="BB52" s="145"/>
      <c r="BC52" s="151" t="n">
        <f aca="false">TblProd[[#This Row],[Hour]]</f>
        <v>49</v>
      </c>
      <c r="BD52" s="152" t="n">
        <f aca="false">-TblProd[[#This Row],[Bank Lumber]] / 2 + -TblProd[[#This Row],[Bank Gems]] * 2 + -TblProd[[#This Row],[Bank Ore]] / 2</f>
        <v>0</v>
      </c>
      <c r="BE52" s="152"/>
      <c r="BF52" s="152"/>
      <c r="BG52" s="152"/>
      <c r="BH52" s="153" t="n">
        <f aca="false">TblProd[[#This Row],[Time]]</f>
        <v>45431.75</v>
      </c>
      <c r="BI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J52" s="69" t="n">
        <f aca="false">TblProd[[#This Row],[Platinum]]</f>
        <v>279495</v>
      </c>
      <c r="BK52" s="69" t="n">
        <f aca="false">TblProd[[#This Row],[Food]]</f>
        <v>571810</v>
      </c>
      <c r="BL52" s="69" t="n">
        <f aca="false">TblProd[[#This Row],[Lumber]]</f>
        <v>5671</v>
      </c>
      <c r="BM52" s="69" t="n">
        <f aca="false">TblProd[[#This Row],[Mana]]</f>
        <v>681560.5</v>
      </c>
      <c r="BN52" s="69" t="n">
        <f aca="false">TblProd[[#This Row],[Ore]]</f>
        <v>-357</v>
      </c>
    </row>
    <row r="53" customFormat="false" ht="12.75" hidden="false" customHeight="false" outlineLevel="0" collapsed="false">
      <c r="A53" s="128" t="n">
        <v>50</v>
      </c>
      <c r="B53" s="144" t="n">
        <f aca="false">TblImps[[#This Row],[Time]]</f>
        <v>45431.7916666667</v>
      </c>
      <c r="C53" s="145"/>
      <c r="D53" s="146"/>
      <c r="E53" s="69" t="n">
        <f aca="false">TblConstr[[#This Row],[Land]]</f>
        <v>642</v>
      </c>
      <c r="F53" s="69" t="n">
        <f aca="false">TblPop[[#This Row],[Peasants]]</f>
        <v>9676</v>
      </c>
      <c r="G53" s="69"/>
      <c r="H53" s="69" t="e">
        <f aca="false">TblMili[[#This Row],[Networth (2)]]</f>
        <v>#VALUE!</v>
      </c>
      <c r="I53" s="69" t="n">
        <f aca="false">OFFSET(TblProd[[#This Row],[Platinum]],-1,0)+OFFSET(TblProd[[#This Row],[Plat/hr]],-1,0) - TblProd[[#This Row],[Expenses Platinum]] + IF(TblProd[[#This Row],[Plat Bonus]],TblPop[[#This Row],[Peasants]]*4) + SUM(TblConstr[[#This Row],[Dest Hom]:[Dest Doc]])*TblConstr[[#This Row],[CPA Platinum -DB]]*tech_3_3_2*TblTech[[#This Row],[3-3]]</f>
        <v>312829</v>
      </c>
      <c r="J53" s="69" t="n">
        <f aca="false">OFFSET(TblProd[[#This Row],[Food]],-1,0)+OFFSET(TblProd[[#This Row],[Food/hr]],-1,0)+ROUNDUP((TblConstr[[#This Row],[Farms]]*80+TblConstr[[#This Row],[Docks]]*35)*(1+OFFSET(TblProd[[#This Row],[Bonus Food/hr]],-1,0)),0)</f>
        <v>565642</v>
      </c>
      <c r="K53" s="69" t="n">
        <f aca="false">OFFSET(TblProd[[#This Row],[Lumber]],-1,0)+OFFSET(TblProd[[#This Row],[Lumber/hr]],-1,0) - TblProd[[#This Row],[Expenses Lumber]] + SUM(TblConstr[[#This Row],[Dest Hom]:[Dest Doc]])*TblConstr[[#This Row],[CPA Lumber -DB]]*tech_3_3_2*TblTech[[#This Row],[3-3]]</f>
        <v>5452</v>
      </c>
      <c r="L53" s="69" t="n">
        <f aca="false">OFFSET(TblProd[[#This Row],[Mana]],-1,0)+OFFSET(TblProd[[#This Row],[Mana/hr]],-1,0)- TblProd[[#This Row],[Expenses Mana]]</f>
        <v>665344.5</v>
      </c>
      <c r="M53" s="69" t="n">
        <f aca="false">OFFSET(TblProd[[#This Row],[Ore]],-1,0)+OFFSET(TblProd[[#This Row],[Ore/hr]],-1,0) -TblProd[[#This Row],[Expenses Ore]]</f>
        <v>-357</v>
      </c>
      <c r="N53" s="69" t="n">
        <f aca="false">OFFSET(TblProd[[#This Row],[Gems]],-1,0)+OFFSET(TblProd[[#This Row],[Gems/hr]],-1,0) - TblProd[[#This Row],[Expenses Gems]]</f>
        <v>-1000</v>
      </c>
      <c r="O53" s="69" t="n">
        <f aca="false">OFFSET(TblProd[[#This Row],[Boats]],-1,0)+OFFSET(TblProd[[#This Row],[Boats/hr]],-1,0)</f>
        <v>8.75</v>
      </c>
      <c r="P53" s="69" t="n">
        <f aca="false">OFFSET(TblProd[[#This Row],[Prestige]],-1,0)</f>
        <v>250</v>
      </c>
      <c r="Q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3" s="69" t="n">
        <f aca="false">MAX(3750,_xlfn.CEILING.MATH(TblProd[[#This Row],[Land]]*2.5+OFFSET(TblTech[[#This Row],[Sum of tech]],-1,0)*150))</f>
        <v>3750</v>
      </c>
      <c r="S53" s="132"/>
      <c r="T53" s="69" t="n">
        <f aca="false">ROUNDDOWN(TblProd[[#This Row],[Raw Plat/hr]]*(1+TblProd[[#This Row],[Bonus Plat/hr]]),0)</f>
        <v>40302</v>
      </c>
      <c r="U53" s="69" t="n">
        <f aca="false">ROUND(TblProd[[#This Row],[Raw Food/hr]]*(1+TblProd[[#This Row],[Bonus Food/hr]])-TblProd[[#This Row],[Food decay]]-TblProd[[#This Row],[Food eaten]],0)</f>
        <v>-6240</v>
      </c>
      <c r="V53" s="69" t="n">
        <f aca="false">ROUND(TblProd[[#This Row],[Raw Lumber/hr]]*(1+TblProd[[#This Row],[Bonus Lumber/hr]])-TblProd[[#This Row],[Lumber rot]],0)</f>
        <v>1070</v>
      </c>
      <c r="W53" s="69" t="n">
        <f aca="false">ROUND(TblProd[[#This Row],[Raw Mana/hr]]*(1+TblProd[[#This Row],[Bonus Mana/hr]])-TblProd[[#This Row],[Mana drain]],0)</f>
        <v>-12682</v>
      </c>
      <c r="X53" s="69" t="n">
        <f aca="false">ROUNDDOWN(TblProd[[#This Row],[Raw Ore/hr]]*(1+TblProd[[#This Row],[Bonux Ore/hr]]),0)</f>
        <v>0</v>
      </c>
      <c r="Y53" s="69" t="n">
        <f aca="false">ROUNDDOWN(TblProd[[#This Row],[Raw Gems/hr]]*(1+TblProd[[#This Row],[Bonus Gems/hr]]),0)</f>
        <v>0</v>
      </c>
      <c r="Z53" s="148" t="n">
        <f aca="false">OFFSET(TblConstr[[#This Row],[Tot Doc]],1,0)*dock_boats_hr * (1 + tech_4_1*TblTech[[#This Row],[4-1]])</f>
        <v>0.5</v>
      </c>
      <c r="AA53" s="146"/>
      <c r="AB53" s="69" t="n">
        <f aca="false">TblPop[[#This Row],[Peasants]]*tax*TblPop[[#This Row],[Employment]] + (Construction!AZ54+Construction!BX54)*(alch_plat+(Magic!AM53&gt;0)*alchemist_flame_bonus)</f>
        <v>36638.5</v>
      </c>
      <c r="AC53" s="69" t="n">
        <f aca="false">TblConstr[[#This Row],[Tot Farm]]*farm_food + TblConstr[[#This Row],[Tot Doc]]*dock_food</f>
        <v>1920</v>
      </c>
      <c r="AD53" s="69" t="n">
        <f aca="false">TblConstr[[#This Row],[Tot Ly]]*ly_lumber + TblConstr[[#This Row],[Tot Hav]]*fh_lumber</f>
        <v>1250</v>
      </c>
      <c r="AE53" s="69" t="n">
        <f aca="false">OFFSET(TblConstr[[#This Row],[Tot Tow]],1,0)*(tower_mana + tech_4_5*TblTech[[#This Row],[4-5]]) + OFFSET(TblConstr[[#This Row],[Tot WG]],1,0)*wg_mana_prod</f>
        <v>625</v>
      </c>
      <c r="AF53" s="69" t="n">
        <f aca="false">OFFSET(TblConstr[[#This Row],[Tot OM]],1,0)*om_ore+IF(race="Dwarf",ROUNDDOWN(TblMili[[#This Row],[Unit 2]]*0.4,0),)</f>
        <v>0</v>
      </c>
      <c r="AG53" s="69" t="n">
        <f aca="false">OFFSET(TblConstr[[#This Row],[Tot DM]],1,0)*dm_gems</f>
        <v>0</v>
      </c>
      <c r="AH53" s="132"/>
      <c r="AI53" s="149" t="n">
        <f aca="false">MIN(race_platinum_bonus + IF(TblMagic[[#This Row],[Active Alch Frost]]&gt;0,alch_frost_bonus,IF(Magic!AD53&gt;0,midas_bonus)) + TblImps[[#This Row],[Science]] - TblProd[[#This Row],[Guard]]*(0.02 + tech_5_7*TblTech[[#This Row],[5-7]]) + tech_1_5*TblTech[[#This Row],[1-5]] + tech_4_4*TblTech[[#This Row],[4-4]], 0.5)</f>
        <v>0.1</v>
      </c>
      <c r="AJ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3" s="149" t="n">
        <f aca="false">race_lumber_bonus+ IF(TblMagic[[#This Row],[Active Gaia''s Blessing]]&gt;0,gaias_blessing_lumber)+ tech_1_3*TblTech[[#This Row],[1-3]] + tech_1_6*TblTech[[#This Row],[1-6]] + tech_3_3*TblTech[[#This Row],[3-3]]</f>
        <v>-0.1</v>
      </c>
      <c r="AL53" s="149" t="n">
        <f aca="false">race_mana_bonus+ 0 + TblImps[[#This Row],[Towers]] + tech_1_2*TblTech[[#This Row],[1-2]] + tech_3_4*TblTech[[#This Row],[3-4]]</f>
        <v>0</v>
      </c>
      <c r="AM53" s="149" t="n">
        <f aca="false">race_ore_bonus + IF(TblMagic[[#This Row],[Active Miner''s Sight]]&gt;0,miners_sight_bonus,IF(TblMagic[[#This Row],[Active Mining Strength]]&gt;0,mining_strength_bonus)) +  tech_1_6*TblTech[[#This Row],[1-6]]</f>
        <v>0</v>
      </c>
      <c r="AN53" s="149" t="n">
        <f aca="false">race_gem_bonus+ tech_3_2*TblTech[[#This Row],[3-2]] + tech_4_3*TblTech[[#This Row],[4-3]] + tech_6_2*TblTech[[#This Row],[6-2]]</f>
        <v>0.15</v>
      </c>
      <c r="AO53" s="132"/>
      <c r="AP53" s="69" t="n">
        <f aca="false">TblProd[[#This Row],[Food]]*food_decay * (1 + tech_2_1*TblTech[[#This Row],[2-1]] + tech_2_8*TblTech[[#This Row],[2-8]])</f>
        <v>5656.42</v>
      </c>
      <c r="AQ53" s="69" t="n">
        <f aca="false">(1+race_food_consumption)*TblPop[[#This Row],[Total]]*food_per_person*(1+tech_1_10*TblTech[[#This Row],[1-10]]+tech_7_5*TblTech[[#This Row],[7-5]])</f>
        <v>2551.25</v>
      </c>
      <c r="AR53" s="69" t="n">
        <f aca="false">TblProd[[#This Row],[Lumber]]*lumber_rot * (1 + tech_2_1*TblTech[[#This Row],[2-1]] + tech_2_8*TblTech[[#This Row],[2-8]] + tech_5_2*TblTech[[#This Row],[5-2]])</f>
        <v>54.52</v>
      </c>
      <c r="AS53" s="69" t="n">
        <f aca="false">TblProd[[#This Row],[Mana]]*mana_drain * (1 + tech_2_1*TblTech[[#This Row],[2-1]] + tech_2_8*TblTech[[#This Row],[2-8]])</f>
        <v>13306.89</v>
      </c>
      <c r="AT53" s="146"/>
      <c r="AU53" s="69" t="n">
        <f aca="false">TblExplore[[#This Row],[Platinum (2)]]+TblConstr[[#This Row],[Total Plat Cost]]+TblMili[[#This Row],[Plat Cost]]+TblRezone[[#This Row],[Platinum cost]]+TblImps[[#This Row],[P1]]-TblProd[[#This Row],[Bank Plat]]</f>
        <v>6968</v>
      </c>
      <c r="AV53" s="69" t="n">
        <f aca="false">TblConstr[[#This Row],[Total Lum Cost]]+TblImps[[#This Row],[L1]]-TblProd[[#This Row],[Bank Lumber]] + Military!$CL$25*TblMili[[#This Row],[Sec. rec. Cost]]</f>
        <v>1287</v>
      </c>
      <c r="AW53" s="69" t="n">
        <f aca="false">TblMagic[[#This Row],[Mana cost]] + Military!$CL$26*TblMili[[#This Row],[Sec. rec. Cost]]</f>
        <v>3210</v>
      </c>
      <c r="AX53" s="69" t="n">
        <f aca="false">Military!$CL$24*TblMili[[#This Row],[Sec. rec. Cost]]+TblImps[[#This Row],[O1]]-TblProd[[#This Row],[Bank Ore]]</f>
        <v>0</v>
      </c>
      <c r="AY53" s="69" t="n">
        <f aca="false">TblImps[[#This Row],[G1]]-TblProd[[#This Row],[Bank Gems]]</f>
        <v>0</v>
      </c>
      <c r="AZ53" s="132"/>
      <c r="BA53" s="33" t="n">
        <f aca="false">IF(TblProd[[#This Row],[Set Guard]]&lt;&gt;"",TblProd[[#This Row],[Set Guard]],OFFSET(TblProd[[#This Row],[Guard]],-1,0))</f>
        <v>0</v>
      </c>
      <c r="BB53" s="145"/>
      <c r="BC53" s="151" t="n">
        <f aca="false">TblProd[[#This Row],[Hour]]</f>
        <v>50</v>
      </c>
      <c r="BD53" s="152" t="n">
        <f aca="false">-TblProd[[#This Row],[Bank Lumber]] / 2 + -TblProd[[#This Row],[Bank Gems]] * 2 + -TblProd[[#This Row],[Bank Ore]] / 2</f>
        <v>0</v>
      </c>
      <c r="BE53" s="152"/>
      <c r="BF53" s="152"/>
      <c r="BG53" s="152"/>
      <c r="BH53" s="153" t="n">
        <f aca="false">TblProd[[#This Row],[Time]]</f>
        <v>45431.7916666667</v>
      </c>
      <c r="BI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J53" s="69" t="n">
        <f aca="false">TblProd[[#This Row],[Platinum]]</f>
        <v>312829</v>
      </c>
      <c r="BK53" s="69" t="n">
        <f aca="false">TblProd[[#This Row],[Food]]</f>
        <v>565642</v>
      </c>
      <c r="BL53" s="69" t="n">
        <f aca="false">TblProd[[#This Row],[Lumber]]</f>
        <v>5452</v>
      </c>
      <c r="BM53" s="69" t="n">
        <f aca="false">TblProd[[#This Row],[Mana]]</f>
        <v>665344.5</v>
      </c>
      <c r="BN53" s="69" t="n">
        <f aca="false">TblProd[[#This Row],[Ore]]</f>
        <v>-357</v>
      </c>
    </row>
    <row r="54" customFormat="false" ht="12.75" hidden="false" customHeight="false" outlineLevel="0" collapsed="false">
      <c r="A54" s="128" t="n">
        <v>51</v>
      </c>
      <c r="B54" s="144" t="n">
        <f aca="false">TblImps[[#This Row],[Time]]</f>
        <v>45431.8333333333</v>
      </c>
      <c r="C54" s="145"/>
      <c r="D54" s="146"/>
      <c r="E54" s="69" t="n">
        <f aca="false">TblConstr[[#This Row],[Land]]</f>
        <v>656</v>
      </c>
      <c r="F54" s="69" t="n">
        <f aca="false">TblPop[[#This Row],[Peasants]]</f>
        <v>9814</v>
      </c>
      <c r="G54" s="69"/>
      <c r="H54" s="69" t="e">
        <f aca="false">TblMili[[#This Row],[Networth (2)]]</f>
        <v>#VALUE!</v>
      </c>
      <c r="I54" s="69" t="n">
        <f aca="false">OFFSET(TblProd[[#This Row],[Platinum]],-1,0)+OFFSET(TblProd[[#This Row],[Plat/hr]],-1,0) - TblProd[[#This Row],[Expenses Platinum]] + IF(TblProd[[#This Row],[Plat Bonus]],TblPop[[#This Row],[Peasants]]*4) + SUM(TblConstr[[#This Row],[Dest Hom]:[Dest Doc]])*TblConstr[[#This Row],[CPA Platinum -DB]]*tech_3_3_2*TblTech[[#This Row],[3-3]]</f>
        <v>345529</v>
      </c>
      <c r="J54" s="69" t="n">
        <f aca="false">OFFSET(TblProd[[#This Row],[Food]],-1,0)+OFFSET(TblProd[[#This Row],[Food/hr]],-1,0)+ROUNDUP((TblConstr[[#This Row],[Farms]]*80+TblConstr[[#This Row],[Docks]]*35)*(1+OFFSET(TblProd[[#This Row],[Bonus Food/hr]],-1,0)),0)</f>
        <v>559402</v>
      </c>
      <c r="K54" s="69" t="n">
        <f aca="false">OFFSET(TblProd[[#This Row],[Lumber]],-1,0)+OFFSET(TblProd[[#This Row],[Lumber/hr]],-1,0) - TblProd[[#This Row],[Expenses Lumber]] + SUM(TblConstr[[#This Row],[Dest Hom]:[Dest Doc]])*TblConstr[[#This Row],[CPA Lumber -DB]]*tech_3_3_2*TblTech[[#This Row],[3-3]]</f>
        <v>5108</v>
      </c>
      <c r="L54" s="69" t="n">
        <f aca="false">OFFSET(TblProd[[#This Row],[Mana]],-1,0)+OFFSET(TblProd[[#This Row],[Mana/hr]],-1,0)- TblProd[[#This Row],[Expenses Mana]]</f>
        <v>652662.5</v>
      </c>
      <c r="M54" s="69" t="n">
        <f aca="false">OFFSET(TblProd[[#This Row],[Ore]],-1,0)+OFFSET(TblProd[[#This Row],[Ore/hr]],-1,0) -TblProd[[#This Row],[Expenses Ore]]</f>
        <v>-357</v>
      </c>
      <c r="N54" s="69" t="n">
        <f aca="false">OFFSET(TblProd[[#This Row],[Gems]],-1,0)+OFFSET(TblProd[[#This Row],[Gems/hr]],-1,0) - TblProd[[#This Row],[Expenses Gems]]</f>
        <v>-1000</v>
      </c>
      <c r="O54" s="69" t="n">
        <f aca="false">OFFSET(TblProd[[#This Row],[Boats]],-1,0)+OFFSET(TblProd[[#This Row],[Boats/hr]],-1,0)</f>
        <v>9.25</v>
      </c>
      <c r="P54" s="69" t="n">
        <f aca="false">OFFSET(TblProd[[#This Row],[Prestige]],-1,0)</f>
        <v>250</v>
      </c>
      <c r="Q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4" s="69" t="n">
        <f aca="false">MAX(3750,_xlfn.CEILING.MATH(TblProd[[#This Row],[Land]]*2.5+OFFSET(TblTech[[#This Row],[Sum of tech]],-1,0)*150))</f>
        <v>3750</v>
      </c>
      <c r="S54" s="132"/>
      <c r="T54" s="69" t="n">
        <f aca="false">ROUNDDOWN(TblProd[[#This Row],[Raw Plat/hr]]*(1+TblProd[[#This Row],[Bonus Plat/hr]]),0)</f>
        <v>40302</v>
      </c>
      <c r="U54" s="69" t="n">
        <f aca="false">ROUND(TblProd[[#This Row],[Raw Food/hr]]*(1+TblProd[[#This Row],[Bonus Food/hr]])-TblProd[[#This Row],[Food decay]]-TblProd[[#This Row],[Food eaten]],0)</f>
        <v>-6236</v>
      </c>
      <c r="V54" s="69" t="n">
        <f aca="false">ROUND(TblProd[[#This Row],[Raw Lumber/hr]]*(1+TblProd[[#This Row],[Bonus Lumber/hr]])-TblProd[[#This Row],[Lumber rot]],0)</f>
        <v>1074</v>
      </c>
      <c r="W54" s="69" t="n">
        <f aca="false">ROUND(TblProd[[#This Row],[Raw Mana/hr]]*(1+TblProd[[#This Row],[Bonus Mana/hr]])-TblProd[[#This Row],[Mana drain]],0)</f>
        <v>-12428</v>
      </c>
      <c r="X54" s="69" t="n">
        <f aca="false">ROUNDDOWN(TblProd[[#This Row],[Raw Ore/hr]]*(1+TblProd[[#This Row],[Bonux Ore/hr]]),0)</f>
        <v>0</v>
      </c>
      <c r="Y54" s="69" t="n">
        <f aca="false">ROUNDDOWN(TblProd[[#This Row],[Raw Gems/hr]]*(1+TblProd[[#This Row],[Bonus Gems/hr]]),0)</f>
        <v>0</v>
      </c>
      <c r="Z54" s="148" t="n">
        <f aca="false">OFFSET(TblConstr[[#This Row],[Tot Doc]],1,0)*dock_boats_hr * (1 + tech_4_1*TblTech[[#This Row],[4-1]])</f>
        <v>0.5</v>
      </c>
      <c r="AA54" s="146"/>
      <c r="AB54" s="69" t="n">
        <f aca="false">TblPop[[#This Row],[Peasants]]*tax*TblPop[[#This Row],[Employment]] + (Construction!AZ55+Construction!BX55)*(alch_plat+(Magic!AM54&gt;0)*alchemist_flame_bonus)</f>
        <v>36638.5</v>
      </c>
      <c r="AC54" s="69" t="n">
        <f aca="false">TblConstr[[#This Row],[Tot Farm]]*farm_food + TblConstr[[#This Row],[Tot Doc]]*dock_food</f>
        <v>1920</v>
      </c>
      <c r="AD54" s="69" t="n">
        <f aca="false">TblConstr[[#This Row],[Tot Ly]]*ly_lumber + TblConstr[[#This Row],[Tot Hav]]*fh_lumber</f>
        <v>1250</v>
      </c>
      <c r="AE54" s="69" t="n">
        <f aca="false">OFFSET(TblConstr[[#This Row],[Tot Tow]],1,0)*(tower_mana + tech_4_5*TblTech[[#This Row],[4-5]]) + OFFSET(TblConstr[[#This Row],[Tot WG]],1,0)*wg_mana_prod</f>
        <v>625</v>
      </c>
      <c r="AF54" s="69" t="n">
        <f aca="false">OFFSET(TblConstr[[#This Row],[Tot OM]],1,0)*om_ore+IF(race="Dwarf",ROUNDDOWN(TblMili[[#This Row],[Unit 2]]*0.4,0),)</f>
        <v>0</v>
      </c>
      <c r="AG54" s="69" t="n">
        <f aca="false">OFFSET(TblConstr[[#This Row],[Tot DM]],1,0)*dm_gems</f>
        <v>0</v>
      </c>
      <c r="AH54" s="132"/>
      <c r="AI54" s="149" t="n">
        <f aca="false">MIN(race_platinum_bonus + IF(TblMagic[[#This Row],[Active Alch Frost]]&gt;0,alch_frost_bonus,IF(Magic!AD54&gt;0,midas_bonus)) + TblImps[[#This Row],[Science]] - TblProd[[#This Row],[Guard]]*(0.02 + tech_5_7*TblTech[[#This Row],[5-7]]) + tech_1_5*TblTech[[#This Row],[1-5]] + tech_4_4*TblTech[[#This Row],[4-4]], 0.5)</f>
        <v>0.1</v>
      </c>
      <c r="AJ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4" s="149" t="n">
        <f aca="false">race_lumber_bonus+ IF(TblMagic[[#This Row],[Active Gaia''s Blessing]]&gt;0,gaias_blessing_lumber)+ tech_1_3*TblTech[[#This Row],[1-3]] + tech_1_6*TblTech[[#This Row],[1-6]] + tech_3_3*TblTech[[#This Row],[3-3]]</f>
        <v>-0.1</v>
      </c>
      <c r="AL54" s="149" t="n">
        <f aca="false">race_mana_bonus+ 0 + TblImps[[#This Row],[Towers]] + tech_1_2*TblTech[[#This Row],[1-2]] + tech_3_4*TblTech[[#This Row],[3-4]]</f>
        <v>0</v>
      </c>
      <c r="AM54" s="149" t="n">
        <f aca="false">race_ore_bonus + IF(TblMagic[[#This Row],[Active Miner''s Sight]]&gt;0,miners_sight_bonus,IF(TblMagic[[#This Row],[Active Mining Strength]]&gt;0,mining_strength_bonus)) +  tech_1_6*TblTech[[#This Row],[1-6]]</f>
        <v>0</v>
      </c>
      <c r="AN54" s="149" t="n">
        <f aca="false">race_gem_bonus+ tech_3_2*TblTech[[#This Row],[3-2]] + tech_4_3*TblTech[[#This Row],[4-3]] + tech_6_2*TblTech[[#This Row],[6-2]]</f>
        <v>0.15</v>
      </c>
      <c r="AO54" s="132"/>
      <c r="AP54" s="69" t="n">
        <f aca="false">TblProd[[#This Row],[Food]]*food_decay * (1 + tech_2_1*TblTech[[#This Row],[2-1]] + tech_2_8*TblTech[[#This Row],[2-8]])</f>
        <v>5594.02</v>
      </c>
      <c r="AQ54" s="69" t="n">
        <f aca="false">(1+race_food_consumption)*TblPop[[#This Row],[Total]]*food_per_person*(1+tech_1_10*TblTech[[#This Row],[1-10]]+tech_7_5*TblTech[[#This Row],[7-5]])</f>
        <v>2610</v>
      </c>
      <c r="AR54" s="69" t="n">
        <f aca="false">TblProd[[#This Row],[Lumber]]*lumber_rot * (1 + tech_2_1*TblTech[[#This Row],[2-1]] + tech_2_8*TblTech[[#This Row],[2-8]] + tech_5_2*TblTech[[#This Row],[5-2]])</f>
        <v>51.08</v>
      </c>
      <c r="AS54" s="69" t="n">
        <f aca="false">TblProd[[#This Row],[Mana]]*mana_drain * (1 + tech_2_1*TblTech[[#This Row],[2-1]] + tech_2_8*TblTech[[#This Row],[2-8]])</f>
        <v>13053.25</v>
      </c>
      <c r="AT54" s="146"/>
      <c r="AU54" s="69" t="n">
        <f aca="false">TblExplore[[#This Row],[Platinum (2)]]+TblConstr[[#This Row],[Total Plat Cost]]+TblMili[[#This Row],[Plat Cost]]+TblRezone[[#This Row],[Platinum cost]]+TblImps[[#This Row],[P1]]-TblProd[[#This Row],[Bank Plat]]</f>
        <v>7602</v>
      </c>
      <c r="AV54" s="69" t="n">
        <f aca="false">TblConstr[[#This Row],[Total Lum Cost]]+TblImps[[#This Row],[L1]]-TblProd[[#This Row],[Bank Lumber]] + Military!$CL$25*TblMili[[#This Row],[Sec. rec. Cost]]</f>
        <v>1414</v>
      </c>
      <c r="AW54" s="69" t="n">
        <f aca="false">TblMagic[[#This Row],[Mana cost]] + Military!$CL$26*TblMili[[#This Row],[Sec. rec. Cost]]</f>
        <v>0</v>
      </c>
      <c r="AX54" s="69" t="n">
        <f aca="false">Military!$CL$24*TblMili[[#This Row],[Sec. rec. Cost]]+TblImps[[#This Row],[O1]]-TblProd[[#This Row],[Bank Ore]]</f>
        <v>0</v>
      </c>
      <c r="AY54" s="69" t="n">
        <f aca="false">TblImps[[#This Row],[G1]]-TblProd[[#This Row],[Bank Gems]]</f>
        <v>0</v>
      </c>
      <c r="AZ54" s="132"/>
      <c r="BA54" s="33" t="n">
        <f aca="false">IF(TblProd[[#This Row],[Set Guard]]&lt;&gt;"",TblProd[[#This Row],[Set Guard]],OFFSET(TblProd[[#This Row],[Guard]],-1,0))</f>
        <v>0</v>
      </c>
      <c r="BB54" s="145"/>
      <c r="BC54" s="151" t="n">
        <f aca="false">TblProd[[#This Row],[Hour]]</f>
        <v>51</v>
      </c>
      <c r="BD54" s="152" t="n">
        <f aca="false">-TblProd[[#This Row],[Bank Lumber]] / 2 + -TblProd[[#This Row],[Bank Gems]] * 2 + -TblProd[[#This Row],[Bank Ore]] / 2</f>
        <v>0</v>
      </c>
      <c r="BE54" s="152"/>
      <c r="BF54" s="152"/>
      <c r="BG54" s="152"/>
      <c r="BH54" s="153" t="n">
        <f aca="false">TblProd[[#This Row],[Time]]</f>
        <v>45431.8333333333</v>
      </c>
      <c r="BI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J54" s="69" t="n">
        <f aca="false">TblProd[[#This Row],[Platinum]]</f>
        <v>345529</v>
      </c>
      <c r="BK54" s="69" t="n">
        <f aca="false">TblProd[[#This Row],[Food]]</f>
        <v>559402</v>
      </c>
      <c r="BL54" s="69" t="n">
        <f aca="false">TblProd[[#This Row],[Lumber]]</f>
        <v>5108</v>
      </c>
      <c r="BM54" s="69" t="n">
        <f aca="false">TblProd[[#This Row],[Mana]]</f>
        <v>652662.5</v>
      </c>
      <c r="BN54" s="69" t="n">
        <f aca="false">TblProd[[#This Row],[Ore]]</f>
        <v>-357</v>
      </c>
    </row>
    <row r="55" customFormat="false" ht="12.75" hidden="false" customHeight="false" outlineLevel="0" collapsed="false">
      <c r="A55" s="128" t="n">
        <v>52</v>
      </c>
      <c r="B55" s="144" t="n">
        <f aca="false">TblImps[[#This Row],[Time]]</f>
        <v>45431.875</v>
      </c>
      <c r="C55" s="145"/>
      <c r="D55" s="146"/>
      <c r="E55" s="69" t="n">
        <f aca="false">TblConstr[[#This Row],[Land]]</f>
        <v>669</v>
      </c>
      <c r="F55" s="69" t="n">
        <f aca="false">TblPop[[#This Row],[Peasants]]</f>
        <v>9936</v>
      </c>
      <c r="G55" s="69"/>
      <c r="H55" s="69" t="e">
        <f aca="false">TblMili[[#This Row],[Networth (2)]]</f>
        <v>#VALUE!</v>
      </c>
      <c r="I55" s="69" t="n">
        <f aca="false">OFFSET(TblProd[[#This Row],[Platinum]],-1,0)+OFFSET(TblProd[[#This Row],[Plat/hr]],-1,0) - TblProd[[#This Row],[Expenses Platinum]] + IF(TblProd[[#This Row],[Plat Bonus]],TblPop[[#This Row],[Peasants]]*4) + SUM(TblConstr[[#This Row],[Dest Hom]:[Dest Doc]])*TblConstr[[#This Row],[CPA Platinum -DB]]*tech_3_3_2*TblTech[[#This Row],[3-3]]</f>
        <v>378694</v>
      </c>
      <c r="J55" s="69" t="n">
        <f aca="false">OFFSET(TblProd[[#This Row],[Food]],-1,0)+OFFSET(TblProd[[#This Row],[Food/hr]],-1,0)+ROUNDUP((TblConstr[[#This Row],[Farms]]*80+TblConstr[[#This Row],[Docks]]*35)*(1+OFFSET(TblProd[[#This Row],[Bonus Food/hr]],-1,0)),0)</f>
        <v>553166</v>
      </c>
      <c r="K55" s="69" t="n">
        <f aca="false">OFFSET(TblProd[[#This Row],[Lumber]],-1,0)+OFFSET(TblProd[[#This Row],[Lumber/hr]],-1,0) - TblProd[[#This Row],[Expenses Lumber]] + SUM(TblConstr[[#This Row],[Dest Hom]:[Dest Doc]])*TblConstr[[#This Row],[CPA Lumber -DB]]*tech_3_3_2*TblTech[[#This Row],[3-3]]</f>
        <v>4843</v>
      </c>
      <c r="L55" s="69" t="n">
        <f aca="false">OFFSET(TblProd[[#This Row],[Mana]],-1,0)+OFFSET(TblProd[[#This Row],[Mana/hr]],-1,0)- TblProd[[#This Row],[Expenses Mana]]</f>
        <v>638562</v>
      </c>
      <c r="M55" s="69" t="n">
        <f aca="false">OFFSET(TblProd[[#This Row],[Ore]],-1,0)+OFFSET(TblProd[[#This Row],[Ore/hr]],-1,0) -TblProd[[#This Row],[Expenses Ore]]</f>
        <v>-357</v>
      </c>
      <c r="N55" s="69" t="n">
        <f aca="false">OFFSET(TblProd[[#This Row],[Gems]],-1,0)+OFFSET(TblProd[[#This Row],[Gems/hr]],-1,0) - TblProd[[#This Row],[Expenses Gems]]</f>
        <v>-1000</v>
      </c>
      <c r="O55" s="69" t="n">
        <f aca="false">OFFSET(TblProd[[#This Row],[Boats]],-1,0)+OFFSET(TblProd[[#This Row],[Boats/hr]],-1,0)</f>
        <v>9.75</v>
      </c>
      <c r="P55" s="69" t="n">
        <f aca="false">OFFSET(TblProd[[#This Row],[Prestige]],-1,0)</f>
        <v>250</v>
      </c>
      <c r="Q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5" s="69" t="n">
        <f aca="false">MAX(3750,_xlfn.CEILING.MATH(TblProd[[#This Row],[Land]]*2.5+OFFSET(TblTech[[#This Row],[Sum of tech]],-1,0)*150))</f>
        <v>3750</v>
      </c>
      <c r="S55" s="132"/>
      <c r="T55" s="69" t="n">
        <f aca="false">ROUNDDOWN(TblProd[[#This Row],[Raw Plat/hr]]*(1+TblProd[[#This Row],[Bonus Plat/hr]]),0)</f>
        <v>46161</v>
      </c>
      <c r="U55" s="69" t="n">
        <f aca="false">ROUND(TblProd[[#This Row],[Raw Food/hr]]*(1+TblProd[[#This Row],[Bonus Food/hr]])-TblProd[[#This Row],[Food decay]]-TblProd[[#This Row],[Food eaten]],0)</f>
        <v>-6229</v>
      </c>
      <c r="V55" s="69" t="n">
        <f aca="false">ROUND(TblProd[[#This Row],[Raw Lumber/hr]]*(1+TblProd[[#This Row],[Bonus Lumber/hr]])-TblProd[[#This Row],[Lumber rot]],0)</f>
        <v>1077</v>
      </c>
      <c r="W55" s="69" t="n">
        <f aca="false">ROUND(TblProd[[#This Row],[Raw Mana/hr]]*(1+TblProd[[#This Row],[Bonus Mana/hr]])-TblProd[[#This Row],[Mana drain]],0)</f>
        <v>-12146</v>
      </c>
      <c r="X55" s="69" t="n">
        <f aca="false">ROUNDDOWN(TblProd[[#This Row],[Raw Ore/hr]]*(1+TblProd[[#This Row],[Bonux Ore/hr]]),0)</f>
        <v>0</v>
      </c>
      <c r="Y55" s="69" t="n">
        <f aca="false">ROUNDDOWN(TblProd[[#This Row],[Raw Gems/hr]]*(1+TblProd[[#This Row],[Bonus Gems/hr]]),0)</f>
        <v>0</v>
      </c>
      <c r="Z55" s="148" t="n">
        <f aca="false">OFFSET(TblConstr[[#This Row],[Tot Doc]],1,0)*dock_boats_hr * (1 + tech_4_1*TblTech[[#This Row],[4-1]])</f>
        <v>0.5</v>
      </c>
      <c r="AA55" s="146"/>
      <c r="AB55" s="69" t="n">
        <f aca="false">TblPop[[#This Row],[Peasants]]*tax*TblPop[[#This Row],[Employment]] + (Construction!AZ56+Construction!BX56)*(alch_plat+(Magic!AM55&gt;0)*alchemist_flame_bonus)</f>
        <v>41965.2</v>
      </c>
      <c r="AC55" s="69" t="n">
        <f aca="false">TblConstr[[#This Row],[Tot Farm]]*farm_food + TblConstr[[#This Row],[Tot Doc]]*dock_food</f>
        <v>1920</v>
      </c>
      <c r="AD55" s="69" t="n">
        <f aca="false">TblConstr[[#This Row],[Tot Ly]]*ly_lumber + TblConstr[[#This Row],[Tot Hav]]*fh_lumber</f>
        <v>1250</v>
      </c>
      <c r="AE55" s="69" t="n">
        <f aca="false">OFFSET(TblConstr[[#This Row],[Tot Tow]],1,0)*(tower_mana + tech_4_5*TblTech[[#This Row],[4-5]]) + OFFSET(TblConstr[[#This Row],[Tot WG]],1,0)*wg_mana_prod</f>
        <v>625</v>
      </c>
      <c r="AF55" s="69" t="n">
        <f aca="false">OFFSET(TblConstr[[#This Row],[Tot OM]],1,0)*om_ore+IF(race="Dwarf",ROUNDDOWN(TblMili[[#This Row],[Unit 2]]*0.4,0),)</f>
        <v>0</v>
      </c>
      <c r="AG55" s="69" t="n">
        <f aca="false">OFFSET(TblConstr[[#This Row],[Tot DM]],1,0)*dm_gems</f>
        <v>0</v>
      </c>
      <c r="AH55" s="132"/>
      <c r="AI55" s="149" t="n">
        <f aca="false">MIN(race_platinum_bonus + IF(TblMagic[[#This Row],[Active Alch Frost]]&gt;0,alch_frost_bonus,IF(Magic!AD55&gt;0,midas_bonus)) + TblImps[[#This Row],[Science]] - TblProd[[#This Row],[Guard]]*(0.02 + tech_5_7*TblTech[[#This Row],[5-7]]) + tech_1_5*TblTech[[#This Row],[1-5]] + tech_4_4*TblTech[[#This Row],[4-4]], 0.5)</f>
        <v>0.1</v>
      </c>
      <c r="AJ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5" s="149" t="n">
        <f aca="false">race_lumber_bonus+ IF(TblMagic[[#This Row],[Active Gaia''s Blessing]]&gt;0,gaias_blessing_lumber)+ tech_1_3*TblTech[[#This Row],[1-3]] + tech_1_6*TblTech[[#This Row],[1-6]] + tech_3_3*TblTech[[#This Row],[3-3]]</f>
        <v>-0.1</v>
      </c>
      <c r="AL55" s="149" t="n">
        <f aca="false">race_mana_bonus+ 0 + TblImps[[#This Row],[Towers]] + tech_1_2*TblTech[[#This Row],[1-2]] + tech_3_4*TblTech[[#This Row],[3-4]]</f>
        <v>0</v>
      </c>
      <c r="AM55" s="149" t="n">
        <f aca="false">race_ore_bonus + IF(TblMagic[[#This Row],[Active Miner''s Sight]]&gt;0,miners_sight_bonus,IF(TblMagic[[#This Row],[Active Mining Strength]]&gt;0,mining_strength_bonus)) +  tech_1_6*TblTech[[#This Row],[1-6]]</f>
        <v>0</v>
      </c>
      <c r="AN55" s="149" t="n">
        <f aca="false">race_gem_bonus+ tech_3_2*TblTech[[#This Row],[3-2]] + tech_4_3*TblTech[[#This Row],[4-3]] + tech_6_2*TblTech[[#This Row],[6-2]]</f>
        <v>0.15</v>
      </c>
      <c r="AO55" s="132"/>
      <c r="AP55" s="69" t="n">
        <f aca="false">TblProd[[#This Row],[Food]]*food_decay * (1 + tech_2_1*TblTech[[#This Row],[2-1]] + tech_2_8*TblTech[[#This Row],[2-8]])</f>
        <v>5531.66</v>
      </c>
      <c r="AQ55" s="69" t="n">
        <f aca="false">(1+race_food_consumption)*TblPop[[#This Row],[Total]]*food_per_person*(1+tech_1_10*TblTech[[#This Row],[1-10]]+tech_7_5*TblTech[[#This Row],[7-5]])</f>
        <v>2665</v>
      </c>
      <c r="AR55" s="69" t="n">
        <f aca="false">TblProd[[#This Row],[Lumber]]*lumber_rot * (1 + tech_2_1*TblTech[[#This Row],[2-1]] + tech_2_8*TblTech[[#This Row],[2-8]] + tech_5_2*TblTech[[#This Row],[5-2]])</f>
        <v>48.43</v>
      </c>
      <c r="AS55" s="69" t="n">
        <f aca="false">TblProd[[#This Row],[Mana]]*mana_drain * (1 + tech_2_1*TblTech[[#This Row],[2-1]] + tech_2_8*TblTech[[#This Row],[2-8]])</f>
        <v>12771.24</v>
      </c>
      <c r="AT55" s="146"/>
      <c r="AU55" s="69" t="n">
        <f aca="false">TblExplore[[#This Row],[Platinum (2)]]+TblConstr[[#This Row],[Total Plat Cost]]+TblMili[[#This Row],[Plat Cost]]+TblRezone[[#This Row],[Platinum cost]]+TblImps[[#This Row],[P1]]-TblProd[[#This Row],[Bank Plat]]</f>
        <v>7137</v>
      </c>
      <c r="AV55" s="69" t="n">
        <f aca="false">TblConstr[[#This Row],[Total Lum Cost]]+TblImps[[#This Row],[L1]]-TblProd[[#This Row],[Bank Lumber]] + Military!$CL$25*TblMili[[#This Row],[Sec. rec. Cost]]</f>
        <v>1339</v>
      </c>
      <c r="AW55" s="69" t="n">
        <f aca="false">TblMagic[[#This Row],[Mana cost]] + Military!$CL$26*TblMili[[#This Row],[Sec. rec. Cost]]</f>
        <v>1672.5</v>
      </c>
      <c r="AX55" s="69" t="n">
        <f aca="false">Military!$CL$24*TblMili[[#This Row],[Sec. rec. Cost]]+TblImps[[#This Row],[O1]]-TblProd[[#This Row],[Bank Ore]]</f>
        <v>0</v>
      </c>
      <c r="AY55" s="69" t="n">
        <f aca="false">TblImps[[#This Row],[G1]]-TblProd[[#This Row],[Bank Gems]]</f>
        <v>0</v>
      </c>
      <c r="AZ55" s="132"/>
      <c r="BA55" s="33" t="n">
        <f aca="false">IF(TblProd[[#This Row],[Set Guard]]&lt;&gt;"",TblProd[[#This Row],[Set Guard]],OFFSET(TblProd[[#This Row],[Guard]],-1,0))</f>
        <v>0</v>
      </c>
      <c r="BB55" s="145"/>
      <c r="BC55" s="151" t="n">
        <f aca="false">TblProd[[#This Row],[Hour]]</f>
        <v>52</v>
      </c>
      <c r="BD55" s="152" t="n">
        <f aca="false">-TblProd[[#This Row],[Bank Lumber]] / 2 + -TblProd[[#This Row],[Bank Gems]] * 2 + -TblProd[[#This Row],[Bank Ore]] / 2</f>
        <v>0</v>
      </c>
      <c r="BE55" s="152"/>
      <c r="BF55" s="152"/>
      <c r="BG55" s="152"/>
      <c r="BH55" s="153" t="n">
        <f aca="false">TblProd[[#This Row],[Time]]</f>
        <v>45431.875</v>
      </c>
      <c r="BI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J55" s="69" t="n">
        <f aca="false">TblProd[[#This Row],[Platinum]]</f>
        <v>378694</v>
      </c>
      <c r="BK55" s="69" t="n">
        <f aca="false">TblProd[[#This Row],[Food]]</f>
        <v>553166</v>
      </c>
      <c r="BL55" s="69" t="n">
        <f aca="false">TblProd[[#This Row],[Lumber]]</f>
        <v>4843</v>
      </c>
      <c r="BM55" s="69" t="n">
        <f aca="false">TblProd[[#This Row],[Mana]]</f>
        <v>638562</v>
      </c>
      <c r="BN55" s="69" t="n">
        <f aca="false">TblProd[[#This Row],[Ore]]</f>
        <v>-357</v>
      </c>
    </row>
    <row r="56" customFormat="false" ht="12.75" hidden="false" customHeight="false" outlineLevel="0" collapsed="false">
      <c r="A56" s="128" t="n">
        <v>53</v>
      </c>
      <c r="B56" s="144" t="n">
        <f aca="false">TblImps[[#This Row],[Time]]</f>
        <v>45431.9166666667</v>
      </c>
      <c r="C56" s="145"/>
      <c r="D56" s="146"/>
      <c r="E56" s="69" t="n">
        <f aca="false">TblConstr[[#This Row],[Land]]</f>
        <v>680</v>
      </c>
      <c r="F56" s="69" t="n">
        <f aca="false">TblPop[[#This Row],[Peasants]]</f>
        <v>10036</v>
      </c>
      <c r="G56" s="69"/>
      <c r="H56" s="69" t="e">
        <f aca="false">TblMili[[#This Row],[Networth (2)]]</f>
        <v>#VALUE!</v>
      </c>
      <c r="I56" s="69" t="n">
        <f aca="false">OFFSET(TblProd[[#This Row],[Platinum]],-1,0)+OFFSET(TblProd[[#This Row],[Plat/hr]],-1,0) - TblProd[[#This Row],[Expenses Platinum]] + IF(TblProd[[#This Row],[Plat Bonus]],TblPop[[#This Row],[Peasants]]*4) + SUM(TblConstr[[#This Row],[Dest Hom]:[Dest Doc]])*TblConstr[[#This Row],[CPA Platinum -DB]]*tech_3_3_2*TblTech[[#This Row],[3-3]]</f>
        <v>418640</v>
      </c>
      <c r="J56" s="69" t="n">
        <f aca="false">OFFSET(TblProd[[#This Row],[Food]],-1,0)+OFFSET(TblProd[[#This Row],[Food/hr]],-1,0)+ROUNDUP((TblConstr[[#This Row],[Farms]]*80+TblConstr[[#This Row],[Docks]]*35)*(1+OFFSET(TblProd[[#This Row],[Bonus Food/hr]],-1,0)),0)</f>
        <v>546937</v>
      </c>
      <c r="K56" s="69" t="n">
        <f aca="false">OFFSET(TblProd[[#This Row],[Lumber]],-1,0)+OFFSET(TblProd[[#This Row],[Lumber/hr]],-1,0) - TblProd[[#This Row],[Expenses Lumber]] + SUM(TblConstr[[#This Row],[Dest Hom]:[Dest Doc]])*TblConstr[[#This Row],[CPA Lumber -DB]]*tech_3_3_2*TblTech[[#This Row],[3-3]]</f>
        <v>4754</v>
      </c>
      <c r="L56" s="69" t="n">
        <f aca="false">OFFSET(TblProd[[#This Row],[Mana]],-1,0)+OFFSET(TblProd[[#This Row],[Mana/hr]],-1,0)- TblProd[[#This Row],[Expenses Mana]]</f>
        <v>626416</v>
      </c>
      <c r="M56" s="69" t="n">
        <f aca="false">OFFSET(TblProd[[#This Row],[Ore]],-1,0)+OFFSET(TblProd[[#This Row],[Ore/hr]],-1,0) -TblProd[[#This Row],[Expenses Ore]]</f>
        <v>-357</v>
      </c>
      <c r="N56" s="69" t="n">
        <f aca="false">OFFSET(TblProd[[#This Row],[Gems]],-1,0)+OFFSET(TblProd[[#This Row],[Gems/hr]],-1,0) - TblProd[[#This Row],[Expenses Gems]]</f>
        <v>-1000</v>
      </c>
      <c r="O56" s="69" t="n">
        <f aca="false">OFFSET(TblProd[[#This Row],[Boats]],-1,0)+OFFSET(TblProd[[#This Row],[Boats/hr]],-1,0)</f>
        <v>10.25</v>
      </c>
      <c r="P56" s="69" t="n">
        <f aca="false">OFFSET(TblProd[[#This Row],[Prestige]],-1,0)</f>
        <v>250</v>
      </c>
      <c r="Q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6" s="69" t="n">
        <f aca="false">MAX(3750,_xlfn.CEILING.MATH(TblProd[[#This Row],[Land]]*2.5+OFFSET(TblTech[[#This Row],[Sum of tech]],-1,0)*150))</f>
        <v>3750</v>
      </c>
      <c r="S56" s="132"/>
      <c r="T56" s="69" t="n">
        <f aca="false">ROUNDDOWN(TblProd[[#This Row],[Raw Plat/hr]]*(1+TblProd[[#This Row],[Bonus Plat/hr]]),0)</f>
        <v>46522</v>
      </c>
      <c r="U56" s="69" t="n">
        <f aca="false">ROUND(TblProd[[#This Row],[Raw Food/hr]]*(1+TblProd[[#This Row],[Bonus Food/hr]])-TblProd[[#This Row],[Food decay]]-TblProd[[#This Row],[Food eaten]],0)</f>
        <v>-6216</v>
      </c>
      <c r="V56" s="69" t="n">
        <f aca="false">ROUND(TblProd[[#This Row],[Raw Lumber/hr]]*(1+TblProd[[#This Row],[Bonus Lumber/hr]])-TblProd[[#This Row],[Lumber rot]],0)</f>
        <v>1077</v>
      </c>
      <c r="W56" s="69" t="n">
        <f aca="false">ROUND(TblProd[[#This Row],[Raw Mana/hr]]*(1+TblProd[[#This Row],[Bonus Mana/hr]])-TblProd[[#This Row],[Mana drain]],0)</f>
        <v>-11903</v>
      </c>
      <c r="X56" s="69" t="n">
        <f aca="false">ROUNDDOWN(TblProd[[#This Row],[Raw Ore/hr]]*(1+TblProd[[#This Row],[Bonux Ore/hr]]),0)</f>
        <v>0</v>
      </c>
      <c r="Y56" s="69" t="n">
        <f aca="false">ROUNDDOWN(TblProd[[#This Row],[Raw Gems/hr]]*(1+TblProd[[#This Row],[Bonus Gems/hr]]),0)</f>
        <v>0</v>
      </c>
      <c r="Z56" s="148" t="n">
        <f aca="false">OFFSET(TblConstr[[#This Row],[Tot Doc]],1,0)*dock_boats_hr * (1 + tech_4_1*TblTech[[#This Row],[4-1]])</f>
        <v>0.5</v>
      </c>
      <c r="AA56" s="146"/>
      <c r="AB56" s="69" t="n">
        <f aca="false">TblPop[[#This Row],[Peasants]]*tax*TblPop[[#This Row],[Employment]] + (Construction!AZ57+Construction!BX57)*(alch_plat+(Magic!AM56&gt;0)*alchemist_flame_bonus)</f>
        <v>42293.2</v>
      </c>
      <c r="AC56" s="69" t="n">
        <f aca="false">TblConstr[[#This Row],[Tot Farm]]*farm_food + TblConstr[[#This Row],[Tot Doc]]*dock_food</f>
        <v>1920</v>
      </c>
      <c r="AD56" s="69" t="n">
        <f aca="false">TblConstr[[#This Row],[Tot Ly]]*ly_lumber + TblConstr[[#This Row],[Tot Hav]]*fh_lumber</f>
        <v>1250</v>
      </c>
      <c r="AE56" s="69" t="n">
        <f aca="false">OFFSET(TblConstr[[#This Row],[Tot Tow]],1,0)*(tower_mana + tech_4_5*TblTech[[#This Row],[4-5]]) + OFFSET(TblConstr[[#This Row],[Tot WG]],1,0)*wg_mana_prod</f>
        <v>625</v>
      </c>
      <c r="AF56" s="69" t="n">
        <f aca="false">OFFSET(TblConstr[[#This Row],[Tot OM]],1,0)*om_ore+IF(race="Dwarf",ROUNDDOWN(TblMili[[#This Row],[Unit 2]]*0.4,0),)</f>
        <v>0</v>
      </c>
      <c r="AG56" s="69" t="n">
        <f aca="false">OFFSET(TblConstr[[#This Row],[Tot DM]],1,0)*dm_gems</f>
        <v>0</v>
      </c>
      <c r="AH56" s="132"/>
      <c r="AI56" s="149" t="n">
        <f aca="false">MIN(race_platinum_bonus + IF(TblMagic[[#This Row],[Active Alch Frost]]&gt;0,alch_frost_bonus,IF(Magic!AD56&gt;0,midas_bonus)) + TblImps[[#This Row],[Science]] - TblProd[[#This Row],[Guard]]*(0.02 + tech_5_7*TblTech[[#This Row],[5-7]]) + tech_1_5*TblTech[[#This Row],[1-5]] + tech_4_4*TblTech[[#This Row],[4-4]], 0.5)</f>
        <v>0.1</v>
      </c>
      <c r="AJ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6" s="149" t="n">
        <f aca="false">race_lumber_bonus+ IF(TblMagic[[#This Row],[Active Gaia''s Blessing]]&gt;0,gaias_blessing_lumber)+ tech_1_3*TblTech[[#This Row],[1-3]] + tech_1_6*TblTech[[#This Row],[1-6]] + tech_3_3*TblTech[[#This Row],[3-3]]</f>
        <v>-0.1</v>
      </c>
      <c r="AL56" s="149" t="n">
        <f aca="false">race_mana_bonus+ 0 + TblImps[[#This Row],[Towers]] + tech_1_2*TblTech[[#This Row],[1-2]] + tech_3_4*TblTech[[#This Row],[3-4]]</f>
        <v>0</v>
      </c>
      <c r="AM56" s="149" t="n">
        <f aca="false">race_ore_bonus + IF(TblMagic[[#This Row],[Active Miner''s Sight]]&gt;0,miners_sight_bonus,IF(TblMagic[[#This Row],[Active Mining Strength]]&gt;0,mining_strength_bonus)) +  tech_1_6*TblTech[[#This Row],[1-6]]</f>
        <v>0</v>
      </c>
      <c r="AN56" s="149" t="n">
        <f aca="false">race_gem_bonus+ tech_3_2*TblTech[[#This Row],[3-2]] + tech_4_3*TblTech[[#This Row],[4-3]] + tech_6_2*TblTech[[#This Row],[6-2]]</f>
        <v>0.15</v>
      </c>
      <c r="AO56" s="132"/>
      <c r="AP56" s="69" t="n">
        <f aca="false">TblProd[[#This Row],[Food]]*food_decay * (1 + tech_2_1*TblTech[[#This Row],[2-1]] + tech_2_8*TblTech[[#This Row],[2-8]])</f>
        <v>5469.37</v>
      </c>
      <c r="AQ56" s="69" t="n">
        <f aca="false">(1+race_food_consumption)*TblPop[[#This Row],[Total]]*food_per_person*(1+tech_1_10*TblTech[[#This Row],[1-10]]+tech_7_5*TblTech[[#This Row],[7-5]])</f>
        <v>2714.75</v>
      </c>
      <c r="AR56" s="69" t="n">
        <f aca="false">TblProd[[#This Row],[Lumber]]*lumber_rot * (1 + tech_2_1*TblTech[[#This Row],[2-1]] + tech_2_8*TblTech[[#This Row],[2-8]] + tech_5_2*TblTech[[#This Row],[5-2]])</f>
        <v>47.54</v>
      </c>
      <c r="AS56" s="69" t="n">
        <f aca="false">TblProd[[#This Row],[Mana]]*mana_drain * (1 + tech_2_1*TblTech[[#This Row],[2-1]] + tech_2_8*TblTech[[#This Row],[2-8]])</f>
        <v>12528.32</v>
      </c>
      <c r="AT56" s="146"/>
      <c r="AU56" s="69" t="n">
        <f aca="false">TblExplore[[#This Row],[Platinum (2)]]+TblConstr[[#This Row],[Total Plat Cost]]+TblMili[[#This Row],[Plat Cost]]+TblRezone[[#This Row],[Platinum cost]]+TblImps[[#This Row],[P1]]-TblProd[[#This Row],[Bank Plat]]</f>
        <v>6215</v>
      </c>
      <c r="AV56" s="69" t="n">
        <f aca="false">TblConstr[[#This Row],[Total Lum Cost]]+TblImps[[#This Row],[L1]]-TblProd[[#This Row],[Bank Lumber]] + Military!$CL$25*TblMili[[#This Row],[Sec. rec. Cost]]</f>
        <v>1166</v>
      </c>
      <c r="AW56" s="69" t="n">
        <f aca="false">TblMagic[[#This Row],[Mana cost]] + Military!$CL$26*TblMili[[#This Row],[Sec. rec. Cost]]</f>
        <v>0</v>
      </c>
      <c r="AX56" s="69" t="n">
        <f aca="false">Military!$CL$24*TblMili[[#This Row],[Sec. rec. Cost]]+TblImps[[#This Row],[O1]]-TblProd[[#This Row],[Bank Ore]]</f>
        <v>0</v>
      </c>
      <c r="AY56" s="69" t="n">
        <f aca="false">TblImps[[#This Row],[G1]]-TblProd[[#This Row],[Bank Gems]]</f>
        <v>0</v>
      </c>
      <c r="AZ56" s="132"/>
      <c r="BA56" s="33" t="n">
        <f aca="false">IF(TblProd[[#This Row],[Set Guard]]&lt;&gt;"",TblProd[[#This Row],[Set Guard]],OFFSET(TblProd[[#This Row],[Guard]],-1,0))</f>
        <v>0</v>
      </c>
      <c r="BB56" s="145"/>
      <c r="BC56" s="151" t="n">
        <f aca="false">TblProd[[#This Row],[Hour]]</f>
        <v>53</v>
      </c>
      <c r="BD56" s="152" t="n">
        <f aca="false">-TblProd[[#This Row],[Bank Lumber]] / 2 + -TblProd[[#This Row],[Bank Gems]] * 2 + -TblProd[[#This Row],[Bank Ore]] / 2</f>
        <v>0</v>
      </c>
      <c r="BE56" s="152"/>
      <c r="BF56" s="152"/>
      <c r="BG56" s="152"/>
      <c r="BH56" s="153" t="n">
        <f aca="false">TblProd[[#This Row],[Time]]</f>
        <v>45431.9166666667</v>
      </c>
      <c r="BI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J56" s="69" t="n">
        <f aca="false">TblProd[[#This Row],[Platinum]]</f>
        <v>418640</v>
      </c>
      <c r="BK56" s="69" t="n">
        <f aca="false">TblProd[[#This Row],[Food]]</f>
        <v>546937</v>
      </c>
      <c r="BL56" s="69" t="n">
        <f aca="false">TblProd[[#This Row],[Lumber]]</f>
        <v>4754</v>
      </c>
      <c r="BM56" s="69" t="n">
        <f aca="false">TblProd[[#This Row],[Mana]]</f>
        <v>626416</v>
      </c>
      <c r="BN56" s="69" t="n">
        <f aca="false">TblProd[[#This Row],[Ore]]</f>
        <v>-357</v>
      </c>
    </row>
    <row r="57" customFormat="false" ht="12.75" hidden="false" customHeight="false" outlineLevel="0" collapsed="false">
      <c r="A57" s="128" t="n">
        <v>54</v>
      </c>
      <c r="B57" s="144" t="n">
        <f aca="false">TblImps[[#This Row],[Time]]</f>
        <v>45431.9583333333</v>
      </c>
      <c r="C57" s="145"/>
      <c r="D57" s="146"/>
      <c r="E57" s="69" t="n">
        <f aca="false">TblConstr[[#This Row],[Land]]</f>
        <v>692</v>
      </c>
      <c r="F57" s="69" t="n">
        <f aca="false">TblPop[[#This Row],[Peasants]]</f>
        <v>10119</v>
      </c>
      <c r="G57" s="69"/>
      <c r="H57" s="69" t="e">
        <f aca="false">TblMili[[#This Row],[Networth (2)]]</f>
        <v>#VALUE!</v>
      </c>
      <c r="I57" s="69" t="n">
        <f aca="false">OFFSET(TblProd[[#This Row],[Platinum]],-1,0)+OFFSET(TblProd[[#This Row],[Plat/hr]],-1,0) - TblProd[[#This Row],[Expenses Platinum]] + IF(TblProd[[#This Row],[Plat Bonus]],TblPop[[#This Row],[Peasants]]*4) + SUM(TblConstr[[#This Row],[Dest Hom]:[Dest Doc]])*TblConstr[[#This Row],[CPA Platinum -DB]]*tech_3_3_2*TblTech[[#This Row],[3-3]]</f>
        <v>458166</v>
      </c>
      <c r="J57" s="69" t="n">
        <f aca="false">OFFSET(TblProd[[#This Row],[Food]],-1,0)+OFFSET(TblProd[[#This Row],[Food/hr]],-1,0)+ROUNDUP((TblConstr[[#This Row],[Farms]]*80+TblConstr[[#This Row],[Docks]]*35)*(1+OFFSET(TblProd[[#This Row],[Bonus Food/hr]],-1,0)),0)</f>
        <v>540721</v>
      </c>
      <c r="K57" s="69" t="n">
        <f aca="false">OFFSET(TblProd[[#This Row],[Lumber]],-1,0)+OFFSET(TblProd[[#This Row],[Lumber/hr]],-1,0) - TblProd[[#This Row],[Expenses Lumber]] + SUM(TblConstr[[#This Row],[Dest Hom]:[Dest Doc]])*TblConstr[[#This Row],[CPA Lumber -DB]]*tech_3_3_2*TblTech[[#This Row],[3-3]]</f>
        <v>4523</v>
      </c>
      <c r="L57" s="69" t="n">
        <f aca="false">OFFSET(TblProd[[#This Row],[Mana]],-1,0)+OFFSET(TblProd[[#This Row],[Mana/hr]],-1,0)- TblProd[[#This Row],[Expenses Mana]]</f>
        <v>614513</v>
      </c>
      <c r="M57" s="69" t="n">
        <f aca="false">OFFSET(TblProd[[#This Row],[Ore]],-1,0)+OFFSET(TblProd[[#This Row],[Ore/hr]],-1,0) -TblProd[[#This Row],[Expenses Ore]]</f>
        <v>-357</v>
      </c>
      <c r="N57" s="69" t="n">
        <f aca="false">OFFSET(TblProd[[#This Row],[Gems]],-1,0)+OFFSET(TblProd[[#This Row],[Gems/hr]],-1,0) - TblProd[[#This Row],[Expenses Gems]]</f>
        <v>-1000</v>
      </c>
      <c r="O57" s="69" t="n">
        <f aca="false">OFFSET(TblProd[[#This Row],[Boats]],-1,0)+OFFSET(TblProd[[#This Row],[Boats/hr]],-1,0)</f>
        <v>10.75</v>
      </c>
      <c r="P57" s="69" t="n">
        <f aca="false">OFFSET(TblProd[[#This Row],[Prestige]],-1,0)</f>
        <v>250</v>
      </c>
      <c r="Q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7" s="69" t="n">
        <f aca="false">MAX(3750,_xlfn.CEILING.MATH(TblProd[[#This Row],[Land]]*2.5+OFFSET(TblTech[[#This Row],[Sum of tech]],-1,0)*150))</f>
        <v>3750</v>
      </c>
      <c r="S57" s="132"/>
      <c r="T57" s="69" t="n">
        <f aca="false">ROUNDDOWN(TblProd[[#This Row],[Raw Plat/hr]]*(1+TblProd[[#This Row],[Bonus Plat/hr]]),0)</f>
        <v>46832</v>
      </c>
      <c r="U57" s="69" t="n">
        <f aca="false">ROUND(TblProd[[#This Row],[Raw Food/hr]]*(1+TblProd[[#This Row],[Bonus Food/hr]])-TblProd[[#This Row],[Food decay]]-TblProd[[#This Row],[Food eaten]],0)</f>
        <v>-6200</v>
      </c>
      <c r="V57" s="69" t="n">
        <f aca="false">ROUND(TblProd[[#This Row],[Raw Lumber/hr]]*(1+TblProd[[#This Row],[Bonus Lumber/hr]])-TblProd[[#This Row],[Lumber rot]],0)</f>
        <v>1080</v>
      </c>
      <c r="W57" s="69" t="n">
        <f aca="false">ROUND(TblProd[[#This Row],[Raw Mana/hr]]*(1+TblProd[[#This Row],[Bonus Mana/hr]])-TblProd[[#This Row],[Mana drain]],0)</f>
        <v>-11665</v>
      </c>
      <c r="X57" s="69" t="n">
        <f aca="false">ROUNDDOWN(TblProd[[#This Row],[Raw Ore/hr]]*(1+TblProd[[#This Row],[Bonux Ore/hr]]),0)</f>
        <v>0</v>
      </c>
      <c r="Y57" s="69" t="n">
        <f aca="false">ROUNDDOWN(TblProd[[#This Row],[Raw Gems/hr]]*(1+TblProd[[#This Row],[Bonus Gems/hr]]),0)</f>
        <v>0</v>
      </c>
      <c r="Z57" s="148" t="n">
        <f aca="false">OFFSET(TblConstr[[#This Row],[Tot Doc]],1,0)*dock_boats_hr * (1 + tech_4_1*TblTech[[#This Row],[4-1]])</f>
        <v>0.5</v>
      </c>
      <c r="AA57" s="146"/>
      <c r="AB57" s="69" t="n">
        <f aca="false">TblPop[[#This Row],[Peasants]]*tax*TblPop[[#This Row],[Employment]] + (Construction!AZ58+Construction!BX58)*(alch_plat+(Magic!AM57&gt;0)*alchemist_flame_bonus)</f>
        <v>42575.3</v>
      </c>
      <c r="AC57" s="69" t="n">
        <f aca="false">TblConstr[[#This Row],[Tot Farm]]*farm_food + TblConstr[[#This Row],[Tot Doc]]*dock_food</f>
        <v>1920</v>
      </c>
      <c r="AD57" s="69" t="n">
        <f aca="false">TblConstr[[#This Row],[Tot Ly]]*ly_lumber + TblConstr[[#This Row],[Tot Hav]]*fh_lumber</f>
        <v>1250</v>
      </c>
      <c r="AE57" s="69" t="n">
        <f aca="false">OFFSET(TblConstr[[#This Row],[Tot Tow]],1,0)*(tower_mana + tech_4_5*TblTech[[#This Row],[4-5]]) + OFFSET(TblConstr[[#This Row],[Tot WG]],1,0)*wg_mana_prod</f>
        <v>625</v>
      </c>
      <c r="AF57" s="69" t="n">
        <f aca="false">OFFSET(TblConstr[[#This Row],[Tot OM]],1,0)*om_ore+IF(race="Dwarf",ROUNDDOWN(TblMili[[#This Row],[Unit 2]]*0.4,0),)</f>
        <v>0</v>
      </c>
      <c r="AG57" s="69" t="n">
        <f aca="false">OFFSET(TblConstr[[#This Row],[Tot DM]],1,0)*dm_gems</f>
        <v>0</v>
      </c>
      <c r="AH57" s="132"/>
      <c r="AI57" s="149" t="n">
        <f aca="false">MIN(race_platinum_bonus + IF(TblMagic[[#This Row],[Active Alch Frost]]&gt;0,alch_frost_bonus,IF(Magic!AD57&gt;0,midas_bonus)) + TblImps[[#This Row],[Science]] - TblProd[[#This Row],[Guard]]*(0.02 + tech_5_7*TblTech[[#This Row],[5-7]]) + tech_1_5*TblTech[[#This Row],[1-5]] + tech_4_4*TblTech[[#This Row],[4-4]], 0.5)</f>
        <v>0.1</v>
      </c>
      <c r="AJ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7" s="149" t="n">
        <f aca="false">race_lumber_bonus+ IF(TblMagic[[#This Row],[Active Gaia''s Blessing]]&gt;0,gaias_blessing_lumber)+ tech_1_3*TblTech[[#This Row],[1-3]] + tech_1_6*TblTech[[#This Row],[1-6]] + tech_3_3*TblTech[[#This Row],[3-3]]</f>
        <v>-0.1</v>
      </c>
      <c r="AL57" s="149" t="n">
        <f aca="false">race_mana_bonus+ 0 + TblImps[[#This Row],[Towers]] + tech_1_2*TblTech[[#This Row],[1-2]] + tech_3_4*TblTech[[#This Row],[3-4]]</f>
        <v>0</v>
      </c>
      <c r="AM57" s="149" t="n">
        <f aca="false">race_ore_bonus + IF(TblMagic[[#This Row],[Active Miner''s Sight]]&gt;0,miners_sight_bonus,IF(TblMagic[[#This Row],[Active Mining Strength]]&gt;0,mining_strength_bonus)) +  tech_1_6*TblTech[[#This Row],[1-6]]</f>
        <v>0</v>
      </c>
      <c r="AN57" s="149" t="n">
        <f aca="false">race_gem_bonus+ tech_3_2*TblTech[[#This Row],[3-2]] + tech_4_3*TblTech[[#This Row],[4-3]] + tech_6_2*TblTech[[#This Row],[6-2]]</f>
        <v>0.15</v>
      </c>
      <c r="AO57" s="132"/>
      <c r="AP57" s="69" t="n">
        <f aca="false">TblProd[[#This Row],[Food]]*food_decay * (1 + tech_2_1*TblTech[[#This Row],[2-1]] + tech_2_8*TblTech[[#This Row],[2-8]])</f>
        <v>5407.21</v>
      </c>
      <c r="AQ57" s="69" t="n">
        <f aca="false">(1+race_food_consumption)*TblPop[[#This Row],[Total]]*food_per_person*(1+tech_1_10*TblTech[[#This Row],[1-10]]+tech_7_5*TblTech[[#This Row],[7-5]])</f>
        <v>2760.5</v>
      </c>
      <c r="AR57" s="69" t="n">
        <f aca="false">TblProd[[#This Row],[Lumber]]*lumber_rot * (1 + tech_2_1*TblTech[[#This Row],[2-1]] + tech_2_8*TblTech[[#This Row],[2-8]] + tech_5_2*TblTech[[#This Row],[5-2]])</f>
        <v>45.23</v>
      </c>
      <c r="AS57" s="69" t="n">
        <f aca="false">TblProd[[#This Row],[Mana]]*mana_drain * (1 + tech_2_1*TblTech[[#This Row],[2-1]] + tech_2_8*TblTech[[#This Row],[2-8]])</f>
        <v>12290.26</v>
      </c>
      <c r="AT57" s="146"/>
      <c r="AU57" s="69" t="n">
        <f aca="false">TblExplore[[#This Row],[Platinum (2)]]+TblConstr[[#This Row],[Total Plat Cost]]+TblMili[[#This Row],[Plat Cost]]+TblRezone[[#This Row],[Platinum cost]]+TblImps[[#This Row],[P1]]-TblProd[[#This Row],[Bank Plat]]</f>
        <v>6996</v>
      </c>
      <c r="AV57" s="69" t="n">
        <f aca="false">TblConstr[[#This Row],[Total Lum Cost]]+TblImps[[#This Row],[L1]]-TblProd[[#This Row],[Bank Lumber]] + Military!$CL$25*TblMili[[#This Row],[Sec. rec. Cost]]</f>
        <v>1308</v>
      </c>
      <c r="AW57" s="69" t="n">
        <f aca="false">TblMagic[[#This Row],[Mana cost]] + Military!$CL$26*TblMili[[#This Row],[Sec. rec. Cost]]</f>
        <v>0</v>
      </c>
      <c r="AX57" s="69" t="n">
        <f aca="false">Military!$CL$24*TblMili[[#This Row],[Sec. rec. Cost]]+TblImps[[#This Row],[O1]]-TblProd[[#This Row],[Bank Ore]]</f>
        <v>0</v>
      </c>
      <c r="AY57" s="69" t="n">
        <f aca="false">TblImps[[#This Row],[G1]]-TblProd[[#This Row],[Bank Gems]]</f>
        <v>0</v>
      </c>
      <c r="AZ57" s="132"/>
      <c r="BA57" s="33" t="n">
        <f aca="false">IF(TblProd[[#This Row],[Set Guard]]&lt;&gt;"",TblProd[[#This Row],[Set Guard]],OFFSET(TblProd[[#This Row],[Guard]],-1,0))</f>
        <v>0</v>
      </c>
      <c r="BB57" s="145"/>
      <c r="BC57" s="151" t="n">
        <f aca="false">TblProd[[#This Row],[Hour]]</f>
        <v>54</v>
      </c>
      <c r="BD57" s="152" t="n">
        <f aca="false">-TblProd[[#This Row],[Bank Lumber]] / 2 + -TblProd[[#This Row],[Bank Gems]] * 2 + -TblProd[[#This Row],[Bank Ore]] / 2</f>
        <v>0</v>
      </c>
      <c r="BE57" s="152"/>
      <c r="BF57" s="152"/>
      <c r="BG57" s="152"/>
      <c r="BH57" s="153" t="n">
        <f aca="false">TblProd[[#This Row],[Time]]</f>
        <v>45431.9583333333</v>
      </c>
      <c r="BI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J57" s="69" t="n">
        <f aca="false">TblProd[[#This Row],[Platinum]]</f>
        <v>458166</v>
      </c>
      <c r="BK57" s="69" t="n">
        <f aca="false">TblProd[[#This Row],[Food]]</f>
        <v>540721</v>
      </c>
      <c r="BL57" s="69" t="n">
        <f aca="false">TblProd[[#This Row],[Lumber]]</f>
        <v>4523</v>
      </c>
      <c r="BM57" s="69" t="n">
        <f aca="false">TblProd[[#This Row],[Mana]]</f>
        <v>614513</v>
      </c>
      <c r="BN57" s="69" t="n">
        <f aca="false">TblProd[[#This Row],[Ore]]</f>
        <v>-357</v>
      </c>
    </row>
    <row r="58" customFormat="false" ht="12.75" hidden="false" customHeight="false" outlineLevel="0" collapsed="false">
      <c r="A58" s="128" t="n">
        <v>55</v>
      </c>
      <c r="B58" s="144" t="n">
        <f aca="false">TblImps[[#This Row],[Time]]</f>
        <v>45432</v>
      </c>
      <c r="C58" s="145"/>
      <c r="D58" s="146"/>
      <c r="E58" s="69" t="n">
        <f aca="false">TblConstr[[#This Row],[Land]]</f>
        <v>700</v>
      </c>
      <c r="F58" s="69" t="n">
        <f aca="false">TblPop[[#This Row],[Peasants]]</f>
        <v>10191</v>
      </c>
      <c r="G58" s="69"/>
      <c r="H58" s="69" t="e">
        <f aca="false">TblMili[[#This Row],[Networth (2)]]</f>
        <v>#VALUE!</v>
      </c>
      <c r="I58" s="69" t="n">
        <f aca="false">OFFSET(TblProd[[#This Row],[Platinum]],-1,0)+OFFSET(TblProd[[#This Row],[Plat/hr]],-1,0) - TblProd[[#This Row],[Expenses Platinum]] + IF(TblProd[[#This Row],[Plat Bonus]],TblPop[[#This Row],[Peasants]]*4) + SUM(TblConstr[[#This Row],[Dest Hom]:[Dest Doc]])*TblConstr[[#This Row],[CPA Platinum -DB]]*tech_3_3_2*TblTech[[#This Row],[3-3]]</f>
        <v>500238</v>
      </c>
      <c r="J58" s="69" t="n">
        <f aca="false">OFFSET(TblProd[[#This Row],[Food]],-1,0)+OFFSET(TblProd[[#This Row],[Food/hr]],-1,0)+ROUNDUP((TblConstr[[#This Row],[Farms]]*80+TblConstr[[#This Row],[Docks]]*35)*(1+OFFSET(TblProd[[#This Row],[Bonus Food/hr]],-1,0)),0)</f>
        <v>534521</v>
      </c>
      <c r="K58" s="69" t="n">
        <f aca="false">OFFSET(TblProd[[#This Row],[Lumber]],-1,0)+OFFSET(TblProd[[#This Row],[Lumber/hr]],-1,0) - TblProd[[#This Row],[Expenses Lumber]] + SUM(TblConstr[[#This Row],[Dest Hom]:[Dest Doc]])*TblConstr[[#This Row],[CPA Lumber -DB]]*tech_3_3_2*TblTech[[#This Row],[3-3]]</f>
        <v>4707</v>
      </c>
      <c r="L58" s="69" t="n">
        <f aca="false">OFFSET(TblProd[[#This Row],[Mana]],-1,0)+OFFSET(TblProd[[#This Row],[Mana/hr]],-1,0)- TblProd[[#This Row],[Expenses Mana]]</f>
        <v>602848</v>
      </c>
      <c r="M58" s="69" t="n">
        <f aca="false">OFFSET(TblProd[[#This Row],[Ore]],-1,0)+OFFSET(TblProd[[#This Row],[Ore/hr]],-1,0) -TblProd[[#This Row],[Expenses Ore]]</f>
        <v>-357</v>
      </c>
      <c r="N58" s="69" t="n">
        <f aca="false">OFFSET(TblProd[[#This Row],[Gems]],-1,0)+OFFSET(TblProd[[#This Row],[Gems/hr]],-1,0) - TblProd[[#This Row],[Expenses Gems]]</f>
        <v>-1000</v>
      </c>
      <c r="O58" s="69" t="n">
        <f aca="false">OFFSET(TblProd[[#This Row],[Boats]],-1,0)+OFFSET(TblProd[[#This Row],[Boats/hr]],-1,0)</f>
        <v>11.25</v>
      </c>
      <c r="P58" s="69" t="n">
        <f aca="false">OFFSET(TblProd[[#This Row],[Prestige]],-1,0)</f>
        <v>250</v>
      </c>
      <c r="Q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8" s="69" t="n">
        <f aca="false">MAX(3750,_xlfn.CEILING.MATH(TblProd[[#This Row],[Land]]*2.5+OFFSET(TblTech[[#This Row],[Sum of tech]],-1,0)*150))</f>
        <v>3750</v>
      </c>
      <c r="S58" s="132"/>
      <c r="T58" s="69" t="n">
        <f aca="false">ROUNDDOWN(TblProd[[#This Row],[Raw Plat/hr]]*(1+TblProd[[#This Row],[Bonus Plat/hr]]),0)</f>
        <v>47110</v>
      </c>
      <c r="U58" s="69" t="n">
        <f aca="false">ROUND(TblProd[[#This Row],[Raw Food/hr]]*(1+TblProd[[#This Row],[Bonus Food/hr]])-TblProd[[#This Row],[Food decay]]-TblProd[[#This Row],[Food eaten]],0)</f>
        <v>-6181</v>
      </c>
      <c r="V58" s="69" t="n">
        <f aca="false">ROUND(TblProd[[#This Row],[Raw Lumber/hr]]*(1+TblProd[[#This Row],[Bonus Lumber/hr]])-TblProd[[#This Row],[Lumber rot]],0)</f>
        <v>1078</v>
      </c>
      <c r="W58" s="69" t="n">
        <f aca="false">ROUND(TblProd[[#This Row],[Raw Mana/hr]]*(1+TblProd[[#This Row],[Bonus Mana/hr]])-TblProd[[#This Row],[Mana drain]],0)</f>
        <v>-11432</v>
      </c>
      <c r="X58" s="69" t="n">
        <f aca="false">ROUNDDOWN(TblProd[[#This Row],[Raw Ore/hr]]*(1+TblProd[[#This Row],[Bonux Ore/hr]]),0)</f>
        <v>0</v>
      </c>
      <c r="Y58" s="69" t="n">
        <f aca="false">ROUNDDOWN(TblProd[[#This Row],[Raw Gems/hr]]*(1+TblProd[[#This Row],[Bonus Gems/hr]]),0)</f>
        <v>0</v>
      </c>
      <c r="Z58" s="148" t="n">
        <f aca="false">OFFSET(TblConstr[[#This Row],[Tot Doc]],1,0)*dock_boats_hr * (1 + tech_4_1*TblTech[[#This Row],[4-1]])</f>
        <v>0.5</v>
      </c>
      <c r="AA58" s="146"/>
      <c r="AB58" s="69" t="n">
        <f aca="false">TblPop[[#This Row],[Peasants]]*tax*TblPop[[#This Row],[Employment]] + (Construction!AZ59+Construction!BX59)*(alch_plat+(Magic!AM58&gt;0)*alchemist_flame_bonus)</f>
        <v>42827.7</v>
      </c>
      <c r="AC58" s="69" t="n">
        <f aca="false">TblConstr[[#This Row],[Tot Farm]]*farm_food + TblConstr[[#This Row],[Tot Doc]]*dock_food</f>
        <v>1920</v>
      </c>
      <c r="AD58" s="69" t="n">
        <f aca="false">TblConstr[[#This Row],[Tot Ly]]*ly_lumber + TblConstr[[#This Row],[Tot Hav]]*fh_lumber</f>
        <v>1250</v>
      </c>
      <c r="AE58" s="69" t="n">
        <f aca="false">OFFSET(TblConstr[[#This Row],[Tot Tow]],1,0)*(tower_mana + tech_4_5*TblTech[[#This Row],[4-5]]) + OFFSET(TblConstr[[#This Row],[Tot WG]],1,0)*wg_mana_prod</f>
        <v>625</v>
      </c>
      <c r="AF58" s="69" t="n">
        <f aca="false">OFFSET(TblConstr[[#This Row],[Tot OM]],1,0)*om_ore+IF(race="Dwarf",ROUNDDOWN(TblMili[[#This Row],[Unit 2]]*0.4,0),)</f>
        <v>0</v>
      </c>
      <c r="AG58" s="69" t="n">
        <f aca="false">OFFSET(TblConstr[[#This Row],[Tot DM]],1,0)*dm_gems</f>
        <v>0</v>
      </c>
      <c r="AH58" s="132"/>
      <c r="AI58" s="149" t="n">
        <f aca="false">MIN(race_platinum_bonus + IF(TblMagic[[#This Row],[Active Alch Frost]]&gt;0,alch_frost_bonus,IF(Magic!AD58&gt;0,midas_bonus)) + TblImps[[#This Row],[Science]] - TblProd[[#This Row],[Guard]]*(0.02 + tech_5_7*TblTech[[#This Row],[5-7]]) + tech_1_5*TblTech[[#This Row],[1-5]] + tech_4_4*TblTech[[#This Row],[4-4]], 0.5)</f>
        <v>0.1</v>
      </c>
      <c r="AJ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8" s="149" t="n">
        <f aca="false">race_lumber_bonus+ IF(TblMagic[[#This Row],[Active Gaia''s Blessing]]&gt;0,gaias_blessing_lumber)+ tech_1_3*TblTech[[#This Row],[1-3]] + tech_1_6*TblTech[[#This Row],[1-6]] + tech_3_3*TblTech[[#This Row],[3-3]]</f>
        <v>-0.1</v>
      </c>
      <c r="AL58" s="149" t="n">
        <f aca="false">race_mana_bonus+ 0 + TblImps[[#This Row],[Towers]] + tech_1_2*TblTech[[#This Row],[1-2]] + tech_3_4*TblTech[[#This Row],[3-4]]</f>
        <v>0</v>
      </c>
      <c r="AM58" s="149" t="n">
        <f aca="false">race_ore_bonus + IF(TblMagic[[#This Row],[Active Miner''s Sight]]&gt;0,miners_sight_bonus,IF(TblMagic[[#This Row],[Active Mining Strength]]&gt;0,mining_strength_bonus)) +  tech_1_6*TblTech[[#This Row],[1-6]]</f>
        <v>0</v>
      </c>
      <c r="AN58" s="149" t="n">
        <f aca="false">race_gem_bonus+ tech_3_2*TblTech[[#This Row],[3-2]] + tech_4_3*TblTech[[#This Row],[4-3]] + tech_6_2*TblTech[[#This Row],[6-2]]</f>
        <v>0.15</v>
      </c>
      <c r="AO58" s="132"/>
      <c r="AP58" s="69" t="n">
        <f aca="false">TblProd[[#This Row],[Food]]*food_decay * (1 + tech_2_1*TblTech[[#This Row],[2-1]] + tech_2_8*TblTech[[#This Row],[2-8]])</f>
        <v>5345.21</v>
      </c>
      <c r="AQ58" s="69" t="n">
        <f aca="false">(1+race_food_consumption)*TblPop[[#This Row],[Total]]*food_per_person*(1+tech_1_10*TblTech[[#This Row],[1-10]]+tech_7_5*TblTech[[#This Row],[7-5]])</f>
        <v>2803.75</v>
      </c>
      <c r="AR58" s="69" t="n">
        <f aca="false">TblProd[[#This Row],[Lumber]]*lumber_rot * (1 + tech_2_1*TblTech[[#This Row],[2-1]] + tech_2_8*TblTech[[#This Row],[2-8]] + tech_5_2*TblTech[[#This Row],[5-2]])</f>
        <v>47.07</v>
      </c>
      <c r="AS58" s="69" t="n">
        <f aca="false">TblProd[[#This Row],[Mana]]*mana_drain * (1 + tech_2_1*TblTech[[#This Row],[2-1]] + tech_2_8*TblTech[[#This Row],[2-8]])</f>
        <v>12056.96</v>
      </c>
      <c r="AT58" s="146"/>
      <c r="AU58" s="69" t="n">
        <f aca="false">TblExplore[[#This Row],[Platinum (2)]]+TblConstr[[#This Row],[Total Plat Cost]]+TblMili[[#This Row],[Plat Cost]]+TblRezone[[#This Row],[Platinum cost]]+TblImps[[#This Row],[P1]]-TblProd[[#This Row],[Bank Plat]]</f>
        <v>4760</v>
      </c>
      <c r="AV58" s="69" t="n">
        <f aca="false">TblConstr[[#This Row],[Total Lum Cost]]+TblImps[[#This Row],[L1]]-TblProd[[#This Row],[Bank Lumber]] + Military!$CL$25*TblMili[[#This Row],[Sec. rec. Cost]]</f>
        <v>896</v>
      </c>
      <c r="AW58" s="69" t="n">
        <f aca="false">TblMagic[[#This Row],[Mana cost]] + Military!$CL$26*TblMili[[#This Row],[Sec. rec. Cost]]</f>
        <v>0</v>
      </c>
      <c r="AX58" s="69" t="n">
        <f aca="false">Military!$CL$24*TblMili[[#This Row],[Sec. rec. Cost]]+TblImps[[#This Row],[O1]]-TblProd[[#This Row],[Bank Ore]]</f>
        <v>0</v>
      </c>
      <c r="AY58" s="69" t="n">
        <f aca="false">TblImps[[#This Row],[G1]]-TblProd[[#This Row],[Bank Gems]]</f>
        <v>0</v>
      </c>
      <c r="AZ58" s="132"/>
      <c r="BA58" s="33" t="n">
        <f aca="false">IF(TblProd[[#This Row],[Set Guard]]&lt;&gt;"",TblProd[[#This Row],[Set Guard]],OFFSET(TblProd[[#This Row],[Guard]],-1,0))</f>
        <v>0</v>
      </c>
      <c r="BB58" s="145"/>
      <c r="BC58" s="151" t="n">
        <f aca="false">TblProd[[#This Row],[Hour]]</f>
        <v>55</v>
      </c>
      <c r="BD58" s="152" t="n">
        <f aca="false">-TblProd[[#This Row],[Bank Lumber]] / 2 + -TblProd[[#This Row],[Bank Gems]] * 2 + -TblProd[[#This Row],[Bank Ore]] / 2</f>
        <v>0</v>
      </c>
      <c r="BE58" s="152"/>
      <c r="BF58" s="152"/>
      <c r="BG58" s="152"/>
      <c r="BH58" s="153" t="n">
        <f aca="false">TblProd[[#This Row],[Time]]</f>
        <v>45432</v>
      </c>
      <c r="BI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J58" s="69" t="n">
        <f aca="false">TblProd[[#This Row],[Platinum]]</f>
        <v>500238</v>
      </c>
      <c r="BK58" s="69" t="n">
        <f aca="false">TblProd[[#This Row],[Food]]</f>
        <v>534521</v>
      </c>
      <c r="BL58" s="69" t="n">
        <f aca="false">TblProd[[#This Row],[Lumber]]</f>
        <v>4707</v>
      </c>
      <c r="BM58" s="69" t="n">
        <f aca="false">TblProd[[#This Row],[Mana]]</f>
        <v>602848</v>
      </c>
      <c r="BN58" s="69" t="n">
        <f aca="false">TblProd[[#This Row],[Ore]]</f>
        <v>-357</v>
      </c>
    </row>
    <row r="59" customFormat="false" ht="12.75" hidden="false" customHeight="false" outlineLevel="0" collapsed="false">
      <c r="A59" s="128" t="n">
        <v>56</v>
      </c>
      <c r="B59" s="144" t="n">
        <f aca="false">TblImps[[#This Row],[Time]]</f>
        <v>45432.0416666667</v>
      </c>
      <c r="C59" s="145"/>
      <c r="D59" s="146"/>
      <c r="E59" s="69" t="n">
        <f aca="false">TblConstr[[#This Row],[Land]]</f>
        <v>700</v>
      </c>
      <c r="F59" s="69" t="n">
        <f aca="false">TblPop[[#This Row],[Peasants]]</f>
        <v>10175</v>
      </c>
      <c r="G59" s="69"/>
      <c r="H59" s="69" t="e">
        <f aca="false">TblMili[[#This Row],[Networth (2)]]</f>
        <v>#VALUE!</v>
      </c>
      <c r="I59" s="69" t="n">
        <f aca="false">OFFSET(TblProd[[#This Row],[Platinum]],-1,0)+OFFSET(TblProd[[#This Row],[Plat/hr]],-1,0) - TblProd[[#This Row],[Expenses Platinum]] + IF(TblProd[[#This Row],[Plat Bonus]],TblPop[[#This Row],[Peasants]]*4) + SUM(TblConstr[[#This Row],[Dest Hom]:[Dest Doc]])*TblConstr[[#This Row],[CPA Platinum -DB]]*tech_3_3_2*TblTech[[#This Row],[3-3]]</f>
        <v>546753</v>
      </c>
      <c r="J59" s="69" t="n">
        <f aca="false">OFFSET(TblProd[[#This Row],[Food]],-1,0)+OFFSET(TblProd[[#This Row],[Food/hr]],-1,0)+ROUNDUP((TblConstr[[#This Row],[Farms]]*80+TblConstr[[#This Row],[Docks]]*35)*(1+OFFSET(TblProd[[#This Row],[Bonus Food/hr]],-1,0)),0)</f>
        <v>528340</v>
      </c>
      <c r="K59" s="69" t="n">
        <f aca="false">OFFSET(TblProd[[#This Row],[Lumber]],-1,0)+OFFSET(TblProd[[#This Row],[Lumber/hr]],-1,0) - TblProd[[#This Row],[Expenses Lumber]] + SUM(TblConstr[[#This Row],[Dest Hom]:[Dest Doc]])*TblConstr[[#This Row],[CPA Lumber -DB]]*tech_3_3_2*TblTech[[#This Row],[3-3]]</f>
        <v>5673</v>
      </c>
      <c r="L59" s="69" t="n">
        <f aca="false">OFFSET(TblProd[[#This Row],[Mana]],-1,0)+OFFSET(TblProd[[#This Row],[Mana/hr]],-1,0)- TblProd[[#This Row],[Expenses Mana]]</f>
        <v>591416</v>
      </c>
      <c r="M59" s="69" t="n">
        <f aca="false">OFFSET(TblProd[[#This Row],[Ore]],-1,0)+OFFSET(TblProd[[#This Row],[Ore/hr]],-1,0) -TblProd[[#This Row],[Expenses Ore]]</f>
        <v>-357</v>
      </c>
      <c r="N59" s="69" t="n">
        <f aca="false">OFFSET(TblProd[[#This Row],[Gems]],-1,0)+OFFSET(TblProd[[#This Row],[Gems/hr]],-1,0) - TblProd[[#This Row],[Expenses Gems]]</f>
        <v>-1000</v>
      </c>
      <c r="O59" s="69" t="n">
        <f aca="false">OFFSET(TblProd[[#This Row],[Boats]],-1,0)+OFFSET(TblProd[[#This Row],[Boats/hr]],-1,0)</f>
        <v>11.75</v>
      </c>
      <c r="P59" s="69" t="n">
        <f aca="false">OFFSET(TblProd[[#This Row],[Prestige]],-1,0)</f>
        <v>250</v>
      </c>
      <c r="Q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9" s="69" t="n">
        <f aca="false">MAX(3750,_xlfn.CEILING.MATH(TblProd[[#This Row],[Land]]*2.5+OFFSET(TblTech[[#This Row],[Sum of tech]],-1,0)*150))</f>
        <v>3750</v>
      </c>
      <c r="S59" s="132"/>
      <c r="T59" s="69" t="n">
        <f aca="false">ROUNDDOWN(TblProd[[#This Row],[Raw Plat/hr]]*(1+TblProd[[#This Row],[Bonus Plat/hr]]),0)</f>
        <v>47126</v>
      </c>
      <c r="U59" s="69" t="n">
        <f aca="false">ROUND(TblProd[[#This Row],[Raw Food/hr]]*(1+TblProd[[#This Row],[Bonus Food/hr]])-TblProd[[#This Row],[Food decay]]-TblProd[[#This Row],[Food eaten]],0)</f>
        <v>-6141</v>
      </c>
      <c r="V59" s="69" t="n">
        <f aca="false">ROUND(TblProd[[#This Row],[Raw Lumber/hr]]*(1+TblProd[[#This Row],[Bonus Lumber/hr]])-TblProd[[#This Row],[Lumber rot]],0)</f>
        <v>1068</v>
      </c>
      <c r="W59" s="69" t="n">
        <f aca="false">ROUND(TblProd[[#This Row],[Raw Mana/hr]]*(1+TblProd[[#This Row],[Bonus Mana/hr]])-TblProd[[#This Row],[Mana drain]],0)</f>
        <v>-11203</v>
      </c>
      <c r="X59" s="69" t="n">
        <f aca="false">ROUNDDOWN(TblProd[[#This Row],[Raw Ore/hr]]*(1+TblProd[[#This Row],[Bonux Ore/hr]]),0)</f>
        <v>0</v>
      </c>
      <c r="Y59" s="69" t="n">
        <f aca="false">ROUNDDOWN(TblProd[[#This Row],[Raw Gems/hr]]*(1+TblProd[[#This Row],[Bonus Gems/hr]]),0)</f>
        <v>0</v>
      </c>
      <c r="Z59" s="148" t="n">
        <f aca="false">OFFSET(TblConstr[[#This Row],[Tot Doc]],1,0)*dock_boats_hr * (1 + tech_4_1*TblTech[[#This Row],[4-1]])</f>
        <v>0.5</v>
      </c>
      <c r="AA59" s="146"/>
      <c r="AB59" s="69" t="n">
        <f aca="false">TblPop[[#This Row],[Peasants]]*tax*TblPop[[#This Row],[Employment]] + (Construction!AZ60+Construction!BX60)*(alch_plat+(Magic!AM59&gt;0)*alchemist_flame_bonus)</f>
        <v>42842.5</v>
      </c>
      <c r="AC59" s="69" t="n">
        <f aca="false">TblConstr[[#This Row],[Tot Farm]]*farm_food + TblConstr[[#This Row],[Tot Doc]]*dock_food</f>
        <v>1920</v>
      </c>
      <c r="AD59" s="69" t="n">
        <f aca="false">TblConstr[[#This Row],[Tot Ly]]*ly_lumber + TblConstr[[#This Row],[Tot Hav]]*fh_lumber</f>
        <v>1250</v>
      </c>
      <c r="AE59" s="69" t="n">
        <f aca="false">OFFSET(TblConstr[[#This Row],[Tot Tow]],1,0)*(tower_mana + tech_4_5*TblTech[[#This Row],[4-5]]) + OFFSET(TblConstr[[#This Row],[Tot WG]],1,0)*wg_mana_prod</f>
        <v>625</v>
      </c>
      <c r="AF59" s="69" t="n">
        <f aca="false">OFFSET(TblConstr[[#This Row],[Tot OM]],1,0)*om_ore+IF(race="Dwarf",ROUNDDOWN(TblMili[[#This Row],[Unit 2]]*0.4,0),)</f>
        <v>0</v>
      </c>
      <c r="AG59" s="69" t="n">
        <f aca="false">OFFSET(TblConstr[[#This Row],[Tot DM]],1,0)*dm_gems</f>
        <v>0</v>
      </c>
      <c r="AH59" s="132"/>
      <c r="AI59" s="149" t="n">
        <f aca="false">MIN(race_platinum_bonus + IF(TblMagic[[#This Row],[Active Alch Frost]]&gt;0,alch_frost_bonus,IF(Magic!AD59&gt;0,midas_bonus)) + TblImps[[#This Row],[Science]] - TblProd[[#This Row],[Guard]]*(0.02 + tech_5_7*TblTech[[#This Row],[5-7]]) + tech_1_5*TblTech[[#This Row],[1-5]] + tech_4_4*TblTech[[#This Row],[4-4]], 0.5)</f>
        <v>0.1</v>
      </c>
      <c r="AJ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9" s="149" t="n">
        <f aca="false">race_lumber_bonus+ IF(TblMagic[[#This Row],[Active Gaia''s Blessing]]&gt;0,gaias_blessing_lumber)+ tech_1_3*TblTech[[#This Row],[1-3]] + tech_1_6*TblTech[[#This Row],[1-6]] + tech_3_3*TblTech[[#This Row],[3-3]]</f>
        <v>-0.1</v>
      </c>
      <c r="AL59" s="149" t="n">
        <f aca="false">race_mana_bonus+ 0 + TblImps[[#This Row],[Towers]] + tech_1_2*TblTech[[#This Row],[1-2]] + tech_3_4*TblTech[[#This Row],[3-4]]</f>
        <v>0</v>
      </c>
      <c r="AM59" s="149" t="n">
        <f aca="false">race_ore_bonus + IF(TblMagic[[#This Row],[Active Miner''s Sight]]&gt;0,miners_sight_bonus,IF(TblMagic[[#This Row],[Active Mining Strength]]&gt;0,mining_strength_bonus)) +  tech_1_6*TblTech[[#This Row],[1-6]]</f>
        <v>0</v>
      </c>
      <c r="AN59" s="149" t="n">
        <f aca="false">race_gem_bonus+ tech_3_2*TblTech[[#This Row],[3-2]] + tech_4_3*TblTech[[#This Row],[4-3]] + tech_6_2*TblTech[[#This Row],[6-2]]</f>
        <v>0.15</v>
      </c>
      <c r="AO59" s="132"/>
      <c r="AP59" s="69" t="n">
        <f aca="false">TblProd[[#This Row],[Food]]*food_decay * (1 + tech_2_1*TblTech[[#This Row],[2-1]] + tech_2_8*TblTech[[#This Row],[2-8]])</f>
        <v>5283.4</v>
      </c>
      <c r="AQ59" s="69" t="n">
        <f aca="false">(1+race_food_consumption)*TblPop[[#This Row],[Total]]*food_per_person*(1+tech_1_10*TblTech[[#This Row],[1-10]]+tech_7_5*TblTech[[#This Row],[7-5]])</f>
        <v>2825.25</v>
      </c>
      <c r="AR59" s="69" t="n">
        <f aca="false">TblProd[[#This Row],[Lumber]]*lumber_rot * (1 + tech_2_1*TblTech[[#This Row],[2-1]] + tech_2_8*TblTech[[#This Row],[2-8]] + tech_5_2*TblTech[[#This Row],[5-2]])</f>
        <v>56.73</v>
      </c>
      <c r="AS59" s="69" t="n">
        <f aca="false">TblProd[[#This Row],[Mana]]*mana_drain * (1 + tech_2_1*TblTech[[#This Row],[2-1]] + tech_2_8*TblTech[[#This Row],[2-8]])</f>
        <v>11828.32</v>
      </c>
      <c r="AT59" s="146"/>
      <c r="AU59" s="69" t="n">
        <f aca="false">TblExplore[[#This Row],[Platinum (2)]]+TblConstr[[#This Row],[Total Plat Cost]]+TblMili[[#This Row],[Plat Cost]]+TblRezone[[#This Row],[Platinum cost]]+TblImps[[#This Row],[P1]]-TblProd[[#This Row],[Bank Plat]]</f>
        <v>595</v>
      </c>
      <c r="AV59" s="69" t="n">
        <f aca="false">TblConstr[[#This Row],[Total Lum Cost]]+TblImps[[#This Row],[L1]]-TblProd[[#This Row],[Bank Lumber]] + Military!$CL$25*TblMili[[#This Row],[Sec. rec. Cost]]</f>
        <v>112</v>
      </c>
      <c r="AW59" s="69" t="n">
        <f aca="false">TblMagic[[#This Row],[Mana cost]] + Military!$CL$26*TblMili[[#This Row],[Sec. rec. Cost]]</f>
        <v>0</v>
      </c>
      <c r="AX59" s="69" t="n">
        <f aca="false">Military!$CL$24*TblMili[[#This Row],[Sec. rec. Cost]]+TblImps[[#This Row],[O1]]-TblProd[[#This Row],[Bank Ore]]</f>
        <v>0</v>
      </c>
      <c r="AY59" s="69" t="n">
        <f aca="false">TblImps[[#This Row],[G1]]-TblProd[[#This Row],[Bank Gems]]</f>
        <v>0</v>
      </c>
      <c r="AZ59" s="132"/>
      <c r="BA59" s="33" t="n">
        <f aca="false">IF(TblProd[[#This Row],[Set Guard]]&lt;&gt;"",TblProd[[#This Row],[Set Guard]],OFFSET(TblProd[[#This Row],[Guard]],-1,0))</f>
        <v>0</v>
      </c>
      <c r="BB59" s="145"/>
      <c r="BC59" s="151" t="n">
        <f aca="false">TblProd[[#This Row],[Hour]]</f>
        <v>56</v>
      </c>
      <c r="BD59" s="152" t="n">
        <f aca="false">-TblProd[[#This Row],[Bank Lumber]] / 2 + -TblProd[[#This Row],[Bank Gems]] * 2 + -TblProd[[#This Row],[Bank Ore]] / 2</f>
        <v>0</v>
      </c>
      <c r="BE59" s="152"/>
      <c r="BF59" s="152"/>
      <c r="BG59" s="152"/>
      <c r="BH59" s="153" t="n">
        <f aca="false">TblProd[[#This Row],[Time]]</f>
        <v>45432.0416666667</v>
      </c>
      <c r="BI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J59" s="69" t="n">
        <f aca="false">TblProd[[#This Row],[Platinum]]</f>
        <v>546753</v>
      </c>
      <c r="BK59" s="69" t="n">
        <f aca="false">TblProd[[#This Row],[Food]]</f>
        <v>528340</v>
      </c>
      <c r="BL59" s="69" t="n">
        <f aca="false">TblProd[[#This Row],[Lumber]]</f>
        <v>5673</v>
      </c>
      <c r="BM59" s="69" t="n">
        <f aca="false">TblProd[[#This Row],[Mana]]</f>
        <v>591416</v>
      </c>
      <c r="BN59" s="69" t="n">
        <f aca="false">TblProd[[#This Row],[Ore]]</f>
        <v>-357</v>
      </c>
    </row>
    <row r="60" customFormat="false" ht="12.75" hidden="false" customHeight="false" outlineLevel="0" collapsed="false">
      <c r="A60" s="128" t="n">
        <v>57</v>
      </c>
      <c r="B60" s="144" t="n">
        <f aca="false">TblImps[[#This Row],[Time]]</f>
        <v>45432.0833333333</v>
      </c>
      <c r="C60" s="145"/>
      <c r="D60" s="146"/>
      <c r="E60" s="69" t="n">
        <f aca="false">TblConstr[[#This Row],[Land]]</f>
        <v>700</v>
      </c>
      <c r="F60" s="69" t="n">
        <f aca="false">TblPop[[#This Row],[Peasants]]</f>
        <v>10073</v>
      </c>
      <c r="G60" s="69"/>
      <c r="H60" s="69" t="e">
        <f aca="false">TblMili[[#This Row],[Networth (2)]]</f>
        <v>#VALUE!</v>
      </c>
      <c r="I60" s="69" t="n">
        <f aca="false">OFFSET(TblProd[[#This Row],[Platinum]],-1,0)+OFFSET(TblProd[[#This Row],[Plat/hr]],-1,0) - TblProd[[#This Row],[Expenses Platinum]] + IF(TblProd[[#This Row],[Plat Bonus]],TblPop[[#This Row],[Peasants]]*4) + SUM(TblConstr[[#This Row],[Dest Hom]:[Dest Doc]])*TblConstr[[#This Row],[CPA Platinum -DB]]*tech_3_3_2*TblTech[[#This Row],[3-3]]</f>
        <v>593274</v>
      </c>
      <c r="J60" s="69" t="n">
        <f aca="false">OFFSET(TblProd[[#This Row],[Food]],-1,0)+OFFSET(TblProd[[#This Row],[Food/hr]],-1,0)+ROUNDUP((TblConstr[[#This Row],[Farms]]*80+TblConstr[[#This Row],[Docks]]*35)*(1+OFFSET(TblProd[[#This Row],[Bonus Food/hr]],-1,0)),0)</f>
        <v>522199</v>
      </c>
      <c r="K60" s="69" t="n">
        <f aca="false">OFFSET(TblProd[[#This Row],[Lumber]],-1,0)+OFFSET(TblProd[[#This Row],[Lumber/hr]],-1,0) - TblProd[[#This Row],[Expenses Lumber]] + SUM(TblConstr[[#This Row],[Dest Hom]:[Dest Doc]])*TblConstr[[#This Row],[CPA Lumber -DB]]*tech_3_3_2*TblTech[[#This Row],[3-3]]</f>
        <v>6627</v>
      </c>
      <c r="L60" s="69" t="n">
        <f aca="false">OFFSET(TblProd[[#This Row],[Mana]],-1,0)+OFFSET(TblProd[[#This Row],[Mana/hr]],-1,0)- TblProd[[#This Row],[Expenses Mana]]</f>
        <v>580213</v>
      </c>
      <c r="M60" s="69" t="n">
        <f aca="false">OFFSET(TblProd[[#This Row],[Ore]],-1,0)+OFFSET(TblProd[[#This Row],[Ore/hr]],-1,0) -TblProd[[#This Row],[Expenses Ore]]</f>
        <v>-357</v>
      </c>
      <c r="N60" s="69" t="n">
        <f aca="false">OFFSET(TblProd[[#This Row],[Gems]],-1,0)+OFFSET(TblProd[[#This Row],[Gems/hr]],-1,0) - TblProd[[#This Row],[Expenses Gems]]</f>
        <v>-1000</v>
      </c>
      <c r="O60" s="69" t="n">
        <f aca="false">OFFSET(TblProd[[#This Row],[Boats]],-1,0)+OFFSET(TblProd[[#This Row],[Boats/hr]],-1,0)</f>
        <v>12.25</v>
      </c>
      <c r="P60" s="69" t="n">
        <f aca="false">OFFSET(TblProd[[#This Row],[Prestige]],-1,0)</f>
        <v>250</v>
      </c>
      <c r="Q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0" s="69" t="n">
        <f aca="false">MAX(3750,_xlfn.CEILING.MATH(TblProd[[#This Row],[Land]]*2.5+OFFSET(TblTech[[#This Row],[Sum of tech]],-1,0)*150))</f>
        <v>3750</v>
      </c>
      <c r="S60" s="132"/>
      <c r="T60" s="69" t="n">
        <f aca="false">ROUNDDOWN(TblProd[[#This Row],[Raw Plat/hr]]*(1+TblProd[[#This Row],[Bonus Plat/hr]]),0)</f>
        <v>46887</v>
      </c>
      <c r="U60" s="69" t="n">
        <f aca="false">ROUND(TblProd[[#This Row],[Raw Food/hr]]*(1+TblProd[[#This Row],[Bonus Food/hr]])-TblProd[[#This Row],[Food decay]]-TblProd[[#This Row],[Food eaten]],0)</f>
        <v>-6079</v>
      </c>
      <c r="V60" s="69" t="n">
        <f aca="false">ROUND(TblProd[[#This Row],[Raw Lumber/hr]]*(1+TblProd[[#This Row],[Bonus Lumber/hr]])-TblProd[[#This Row],[Lumber rot]],0)</f>
        <v>1059</v>
      </c>
      <c r="W60" s="69" t="n">
        <f aca="false">ROUND(TblProd[[#This Row],[Raw Mana/hr]]*(1+TblProd[[#This Row],[Bonus Mana/hr]])-TblProd[[#This Row],[Mana drain]],0)</f>
        <v>-10979</v>
      </c>
      <c r="X60" s="69" t="n">
        <f aca="false">ROUNDDOWN(TblProd[[#This Row],[Raw Ore/hr]]*(1+TblProd[[#This Row],[Bonux Ore/hr]]),0)</f>
        <v>0</v>
      </c>
      <c r="Y60" s="69" t="n">
        <f aca="false">ROUNDDOWN(TblProd[[#This Row],[Raw Gems/hr]]*(1+TblProd[[#This Row],[Bonus Gems/hr]]),0)</f>
        <v>0</v>
      </c>
      <c r="Z60" s="148" t="n">
        <f aca="false">OFFSET(TblConstr[[#This Row],[Tot Doc]],1,0)*dock_boats_hr * (1 + tech_4_1*TblTech[[#This Row],[4-1]])</f>
        <v>0.5</v>
      </c>
      <c r="AA60" s="146"/>
      <c r="AB60" s="69" t="n">
        <f aca="false">TblPop[[#This Row],[Peasants]]*tax*TblPop[[#This Row],[Employment]] + (Construction!AZ61+Construction!BX61)*(alch_plat+(Magic!AM60&gt;0)*alchemist_flame_bonus)</f>
        <v>42625.1</v>
      </c>
      <c r="AC60" s="69" t="n">
        <f aca="false">TblConstr[[#This Row],[Tot Farm]]*farm_food + TblConstr[[#This Row],[Tot Doc]]*dock_food</f>
        <v>1920</v>
      </c>
      <c r="AD60" s="69" t="n">
        <f aca="false">TblConstr[[#This Row],[Tot Ly]]*ly_lumber + TblConstr[[#This Row],[Tot Hav]]*fh_lumber</f>
        <v>1250</v>
      </c>
      <c r="AE60" s="69" t="n">
        <f aca="false">OFFSET(TblConstr[[#This Row],[Tot Tow]],1,0)*(tower_mana + tech_4_5*TblTech[[#This Row],[4-5]]) + OFFSET(TblConstr[[#This Row],[Tot WG]],1,0)*wg_mana_prod</f>
        <v>625</v>
      </c>
      <c r="AF60" s="69" t="n">
        <f aca="false">OFFSET(TblConstr[[#This Row],[Tot OM]],1,0)*om_ore+IF(race="Dwarf",ROUNDDOWN(TblMili[[#This Row],[Unit 2]]*0.4,0),)</f>
        <v>0</v>
      </c>
      <c r="AG60" s="69" t="n">
        <f aca="false">OFFSET(TblConstr[[#This Row],[Tot DM]],1,0)*dm_gems</f>
        <v>0</v>
      </c>
      <c r="AH60" s="132"/>
      <c r="AI60" s="149" t="n">
        <f aca="false">MIN(race_platinum_bonus + IF(TblMagic[[#This Row],[Active Alch Frost]]&gt;0,alch_frost_bonus,IF(Magic!AD60&gt;0,midas_bonus)) + TblImps[[#This Row],[Science]] - TblProd[[#This Row],[Guard]]*(0.02 + tech_5_7*TblTech[[#This Row],[5-7]]) + tech_1_5*TblTech[[#This Row],[1-5]] + tech_4_4*TblTech[[#This Row],[4-4]], 0.5)</f>
        <v>0.1</v>
      </c>
      <c r="AJ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0" s="149" t="n">
        <f aca="false">race_lumber_bonus+ IF(TblMagic[[#This Row],[Active Gaia''s Blessing]]&gt;0,gaias_blessing_lumber)+ tech_1_3*TblTech[[#This Row],[1-3]] + tech_1_6*TblTech[[#This Row],[1-6]] + tech_3_3*TblTech[[#This Row],[3-3]]</f>
        <v>-0.1</v>
      </c>
      <c r="AL60" s="149" t="n">
        <f aca="false">race_mana_bonus+ 0 + TblImps[[#This Row],[Towers]] + tech_1_2*TblTech[[#This Row],[1-2]] + tech_3_4*TblTech[[#This Row],[3-4]]</f>
        <v>0</v>
      </c>
      <c r="AM60" s="149" t="n">
        <f aca="false">race_ore_bonus + IF(TblMagic[[#This Row],[Active Miner''s Sight]]&gt;0,miners_sight_bonus,IF(TblMagic[[#This Row],[Active Mining Strength]]&gt;0,mining_strength_bonus)) +  tech_1_6*TblTech[[#This Row],[1-6]]</f>
        <v>0</v>
      </c>
      <c r="AN60" s="149" t="n">
        <f aca="false">race_gem_bonus+ tech_3_2*TblTech[[#This Row],[3-2]] + tech_4_3*TblTech[[#This Row],[4-3]] + tech_6_2*TblTech[[#This Row],[6-2]]</f>
        <v>0.15</v>
      </c>
      <c r="AO60" s="132"/>
      <c r="AP60" s="69" t="n">
        <f aca="false">TblProd[[#This Row],[Food]]*food_decay * (1 + tech_2_1*TblTech[[#This Row],[2-1]] + tech_2_8*TblTech[[#This Row],[2-8]])</f>
        <v>5221.99</v>
      </c>
      <c r="AQ60" s="69" t="n">
        <f aca="false">(1+race_food_consumption)*TblPop[[#This Row],[Total]]*food_per_person*(1+tech_1_10*TblTech[[#This Row],[1-10]]+tech_7_5*TblTech[[#This Row],[7-5]])</f>
        <v>2825.25</v>
      </c>
      <c r="AR60" s="69" t="n">
        <f aca="false">TblProd[[#This Row],[Lumber]]*lumber_rot * (1 + tech_2_1*TblTech[[#This Row],[2-1]] + tech_2_8*TblTech[[#This Row],[2-8]] + tech_5_2*TblTech[[#This Row],[5-2]])</f>
        <v>66.27</v>
      </c>
      <c r="AS60" s="69" t="n">
        <f aca="false">TblProd[[#This Row],[Mana]]*mana_drain * (1 + tech_2_1*TblTech[[#This Row],[2-1]] + tech_2_8*TblTech[[#This Row],[2-8]])</f>
        <v>11604.26</v>
      </c>
      <c r="AT60" s="146"/>
      <c r="AU60" s="69" t="n">
        <f aca="false">TblExplore[[#This Row],[Platinum (2)]]+TblConstr[[#This Row],[Total Plat Cost]]+TblMili[[#This Row],[Plat Cost]]+TblRezone[[#This Row],[Platinum cost]]+TblImps[[#This Row],[P1]]-TblProd[[#This Row],[Bank Plat]]</f>
        <v>605</v>
      </c>
      <c r="AV60" s="69" t="n">
        <f aca="false">TblConstr[[#This Row],[Total Lum Cost]]+TblImps[[#This Row],[L1]]-TblProd[[#This Row],[Bank Lumber]] + Military!$CL$25*TblMili[[#This Row],[Sec. rec. Cost]]</f>
        <v>114</v>
      </c>
      <c r="AW60" s="69" t="n">
        <f aca="false">TblMagic[[#This Row],[Mana cost]] + Military!$CL$26*TblMili[[#This Row],[Sec. rec. Cost]]</f>
        <v>0</v>
      </c>
      <c r="AX60" s="69" t="n">
        <f aca="false">Military!$CL$24*TblMili[[#This Row],[Sec. rec. Cost]]+TblImps[[#This Row],[O1]]-TblProd[[#This Row],[Bank Ore]]</f>
        <v>0</v>
      </c>
      <c r="AY60" s="69" t="n">
        <f aca="false">TblImps[[#This Row],[G1]]-TblProd[[#This Row],[Bank Gems]]</f>
        <v>0</v>
      </c>
      <c r="AZ60" s="132"/>
      <c r="BA60" s="33" t="n">
        <f aca="false">IF(TblProd[[#This Row],[Set Guard]]&lt;&gt;"",TblProd[[#This Row],[Set Guard]],OFFSET(TblProd[[#This Row],[Guard]],-1,0))</f>
        <v>0</v>
      </c>
      <c r="BB60" s="145"/>
      <c r="BC60" s="151" t="n">
        <f aca="false">TblProd[[#This Row],[Hour]]</f>
        <v>57</v>
      </c>
      <c r="BD60" s="152" t="n">
        <f aca="false">-TblProd[[#This Row],[Bank Lumber]] / 2 + -TblProd[[#This Row],[Bank Gems]] * 2 + -TblProd[[#This Row],[Bank Ore]] / 2</f>
        <v>0</v>
      </c>
      <c r="BE60" s="152"/>
      <c r="BF60" s="152"/>
      <c r="BG60" s="152"/>
      <c r="BH60" s="153" t="n">
        <f aca="false">TblProd[[#This Row],[Time]]</f>
        <v>45432.0833333333</v>
      </c>
      <c r="BI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J60" s="69" t="n">
        <f aca="false">TblProd[[#This Row],[Platinum]]</f>
        <v>593274</v>
      </c>
      <c r="BK60" s="69" t="n">
        <f aca="false">TblProd[[#This Row],[Food]]</f>
        <v>522199</v>
      </c>
      <c r="BL60" s="69" t="n">
        <f aca="false">TblProd[[#This Row],[Lumber]]</f>
        <v>6627</v>
      </c>
      <c r="BM60" s="69" t="n">
        <f aca="false">TblProd[[#This Row],[Mana]]</f>
        <v>580213</v>
      </c>
      <c r="BN60" s="69" t="n">
        <f aca="false">TblProd[[#This Row],[Ore]]</f>
        <v>-357</v>
      </c>
    </row>
    <row r="61" customFormat="false" ht="12.75" hidden="false" customHeight="false" outlineLevel="0" collapsed="false">
      <c r="A61" s="128" t="n">
        <v>58</v>
      </c>
      <c r="B61" s="144" t="n">
        <f aca="false">TblImps[[#This Row],[Time]]</f>
        <v>45432.125</v>
      </c>
      <c r="C61" s="145"/>
      <c r="D61" s="146"/>
      <c r="E61" s="69" t="n">
        <f aca="false">TblConstr[[#This Row],[Land]]</f>
        <v>700</v>
      </c>
      <c r="F61" s="69" t="n">
        <f aca="false">TblPop[[#This Row],[Peasants]]</f>
        <v>9972</v>
      </c>
      <c r="G61" s="69"/>
      <c r="H61" s="69" t="e">
        <f aca="false">TblMili[[#This Row],[Networth (2)]]</f>
        <v>#VALUE!</v>
      </c>
      <c r="I61" s="69" t="n">
        <f aca="false">OFFSET(TblProd[[#This Row],[Platinum]],-1,0)+OFFSET(TblProd[[#This Row],[Plat/hr]],-1,0) - TblProd[[#This Row],[Expenses Platinum]] + IF(TblProd[[#This Row],[Plat Bonus]],TblPop[[#This Row],[Peasants]]*4) + SUM(TblConstr[[#This Row],[Dest Hom]:[Dest Doc]])*TblConstr[[#This Row],[CPA Platinum -DB]]*tech_3_3_2*TblTech[[#This Row],[3-3]]</f>
        <v>639546</v>
      </c>
      <c r="J61" s="69" t="n">
        <f aca="false">OFFSET(TblProd[[#This Row],[Food]],-1,0)+OFFSET(TblProd[[#This Row],[Food/hr]],-1,0)+ROUNDUP((TblConstr[[#This Row],[Farms]]*80+TblConstr[[#This Row],[Docks]]*35)*(1+OFFSET(TblProd[[#This Row],[Bonus Food/hr]],-1,0)),0)</f>
        <v>516120</v>
      </c>
      <c r="K61" s="69" t="n">
        <f aca="false">OFFSET(TblProd[[#This Row],[Lumber]],-1,0)+OFFSET(TblProd[[#This Row],[Lumber/hr]],-1,0) - TblProd[[#This Row],[Expenses Lumber]] + SUM(TblConstr[[#This Row],[Dest Hom]:[Dest Doc]])*TblConstr[[#This Row],[CPA Lumber -DB]]*tech_3_3_2*TblTech[[#This Row],[3-3]]</f>
        <v>7571</v>
      </c>
      <c r="L61" s="69" t="n">
        <f aca="false">OFFSET(TblProd[[#This Row],[Mana]],-1,0)+OFFSET(TblProd[[#This Row],[Mana/hr]],-1,0)- TblProd[[#This Row],[Expenses Mana]]</f>
        <v>569234</v>
      </c>
      <c r="M61" s="69" t="n">
        <f aca="false">OFFSET(TblProd[[#This Row],[Ore]],-1,0)+OFFSET(TblProd[[#This Row],[Ore/hr]],-1,0) -TblProd[[#This Row],[Expenses Ore]]</f>
        <v>-357</v>
      </c>
      <c r="N61" s="69" t="n">
        <f aca="false">OFFSET(TblProd[[#This Row],[Gems]],-1,0)+OFFSET(TblProd[[#This Row],[Gems/hr]],-1,0) - TblProd[[#This Row],[Expenses Gems]]</f>
        <v>-1000</v>
      </c>
      <c r="O61" s="69" t="n">
        <f aca="false">OFFSET(TblProd[[#This Row],[Boats]],-1,0)+OFFSET(TblProd[[#This Row],[Boats/hr]],-1,0)</f>
        <v>12.75</v>
      </c>
      <c r="P61" s="69" t="n">
        <f aca="false">OFFSET(TblProd[[#This Row],[Prestige]],-1,0)</f>
        <v>250</v>
      </c>
      <c r="Q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1" s="69" t="n">
        <f aca="false">MAX(3750,_xlfn.CEILING.MATH(TblProd[[#This Row],[Land]]*2.5+OFFSET(TblTech[[#This Row],[Sum of tech]],-1,0)*150))</f>
        <v>3750</v>
      </c>
      <c r="S61" s="132"/>
      <c r="T61" s="69" t="n">
        <f aca="false">ROUNDDOWN(TblProd[[#This Row],[Raw Plat/hr]]*(1+TblProd[[#This Row],[Bonus Plat/hr]]),0)</f>
        <v>46715</v>
      </c>
      <c r="U61" s="69" t="n">
        <f aca="false">ROUND(TblProd[[#This Row],[Raw Food/hr]]*(1+TblProd[[#This Row],[Bonus Food/hr]])-TblProd[[#This Row],[Food decay]]-TblProd[[#This Row],[Food eaten]],0)</f>
        <v>-6018</v>
      </c>
      <c r="V61" s="69" t="n">
        <f aca="false">ROUND(TblProd[[#This Row],[Raw Lumber/hr]]*(1+TblProd[[#This Row],[Bonus Lumber/hr]])-TblProd[[#This Row],[Lumber rot]],0)</f>
        <v>1049</v>
      </c>
      <c r="W61" s="69" t="n">
        <f aca="false">ROUND(TblProd[[#This Row],[Raw Mana/hr]]*(1+TblProd[[#This Row],[Bonus Mana/hr]])-TblProd[[#This Row],[Mana drain]],0)</f>
        <v>-10760</v>
      </c>
      <c r="X61" s="69" t="n">
        <f aca="false">ROUNDDOWN(TblProd[[#This Row],[Raw Ore/hr]]*(1+TblProd[[#This Row],[Bonux Ore/hr]]),0)</f>
        <v>0</v>
      </c>
      <c r="Y61" s="69" t="n">
        <f aca="false">ROUNDDOWN(TblProd[[#This Row],[Raw Gems/hr]]*(1+TblProd[[#This Row],[Bonus Gems/hr]]),0)</f>
        <v>0</v>
      </c>
      <c r="Z61" s="148" t="n">
        <f aca="false">OFFSET(TblConstr[[#This Row],[Tot Doc]],1,0)*dock_boats_hr * (1 + tech_4_1*TblTech[[#This Row],[4-1]])</f>
        <v>0.5</v>
      </c>
      <c r="AA61" s="146"/>
      <c r="AB61" s="69" t="n">
        <f aca="false">TblPop[[#This Row],[Peasants]]*tax*TblPop[[#This Row],[Employment]] + (Construction!AZ62+Construction!BX62)*(alch_plat+(Magic!AM61&gt;0)*alchemist_flame_bonus)</f>
        <v>42468.4</v>
      </c>
      <c r="AC61" s="69" t="n">
        <f aca="false">TblConstr[[#This Row],[Tot Farm]]*farm_food + TblConstr[[#This Row],[Tot Doc]]*dock_food</f>
        <v>1920</v>
      </c>
      <c r="AD61" s="69" t="n">
        <f aca="false">TblConstr[[#This Row],[Tot Ly]]*ly_lumber + TblConstr[[#This Row],[Tot Hav]]*fh_lumber</f>
        <v>1250</v>
      </c>
      <c r="AE61" s="69" t="n">
        <f aca="false">OFFSET(TblConstr[[#This Row],[Tot Tow]],1,0)*(tower_mana + tech_4_5*TblTech[[#This Row],[4-5]]) + OFFSET(TblConstr[[#This Row],[Tot WG]],1,0)*wg_mana_prod</f>
        <v>625</v>
      </c>
      <c r="AF61" s="69" t="n">
        <f aca="false">OFFSET(TblConstr[[#This Row],[Tot OM]],1,0)*om_ore+IF(race="Dwarf",ROUNDDOWN(TblMili[[#This Row],[Unit 2]]*0.4,0),)</f>
        <v>0</v>
      </c>
      <c r="AG61" s="69" t="n">
        <f aca="false">OFFSET(TblConstr[[#This Row],[Tot DM]],1,0)*dm_gems</f>
        <v>0</v>
      </c>
      <c r="AH61" s="132"/>
      <c r="AI61" s="149" t="n">
        <f aca="false">MIN(race_platinum_bonus + IF(TblMagic[[#This Row],[Active Alch Frost]]&gt;0,alch_frost_bonus,IF(Magic!AD61&gt;0,midas_bonus)) + TblImps[[#This Row],[Science]] - TblProd[[#This Row],[Guard]]*(0.02 + tech_5_7*TblTech[[#This Row],[5-7]]) + tech_1_5*TblTech[[#This Row],[1-5]] + tech_4_4*TblTech[[#This Row],[4-4]], 0.5)</f>
        <v>0.1</v>
      </c>
      <c r="AJ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1" s="149" t="n">
        <f aca="false">race_lumber_bonus+ IF(TblMagic[[#This Row],[Active Gaia''s Blessing]]&gt;0,gaias_blessing_lumber)+ tech_1_3*TblTech[[#This Row],[1-3]] + tech_1_6*TblTech[[#This Row],[1-6]] + tech_3_3*TblTech[[#This Row],[3-3]]</f>
        <v>-0.1</v>
      </c>
      <c r="AL61" s="149" t="n">
        <f aca="false">race_mana_bonus+ 0 + TblImps[[#This Row],[Towers]] + tech_1_2*TblTech[[#This Row],[1-2]] + tech_3_4*TblTech[[#This Row],[3-4]]</f>
        <v>0</v>
      </c>
      <c r="AM61" s="149" t="n">
        <f aca="false">race_ore_bonus + IF(TblMagic[[#This Row],[Active Miner''s Sight]]&gt;0,miners_sight_bonus,IF(TblMagic[[#This Row],[Active Mining Strength]]&gt;0,mining_strength_bonus)) +  tech_1_6*TblTech[[#This Row],[1-6]]</f>
        <v>0</v>
      </c>
      <c r="AN61" s="149" t="n">
        <f aca="false">race_gem_bonus+ tech_3_2*TblTech[[#This Row],[3-2]] + tech_4_3*TblTech[[#This Row],[4-3]] + tech_6_2*TblTech[[#This Row],[6-2]]</f>
        <v>0.15</v>
      </c>
      <c r="AO61" s="132"/>
      <c r="AP61" s="69" t="n">
        <f aca="false">TblProd[[#This Row],[Food]]*food_decay * (1 + tech_2_1*TblTech[[#This Row],[2-1]] + tech_2_8*TblTech[[#This Row],[2-8]])</f>
        <v>5161.2</v>
      </c>
      <c r="AQ61" s="69" t="n">
        <f aca="false">(1+race_food_consumption)*TblPop[[#This Row],[Total]]*food_per_person*(1+tech_1_10*TblTech[[#This Row],[1-10]]+tech_7_5*TblTech[[#This Row],[7-5]])</f>
        <v>2825.25</v>
      </c>
      <c r="AR61" s="69" t="n">
        <f aca="false">TblProd[[#This Row],[Lumber]]*lumber_rot * (1 + tech_2_1*TblTech[[#This Row],[2-1]] + tech_2_8*TblTech[[#This Row],[2-8]] + tech_5_2*TblTech[[#This Row],[5-2]])</f>
        <v>75.71</v>
      </c>
      <c r="AS61" s="69" t="n">
        <f aca="false">TblProd[[#This Row],[Mana]]*mana_drain * (1 + tech_2_1*TblTech[[#This Row],[2-1]] + tech_2_8*TblTech[[#This Row],[2-8]])</f>
        <v>11384.68</v>
      </c>
      <c r="AT61" s="146"/>
      <c r="AU61" s="69" t="n">
        <f aca="false">TblExplore[[#This Row],[Platinum (2)]]+TblConstr[[#This Row],[Total Plat Cost]]+TblMili[[#This Row],[Plat Cost]]+TblRezone[[#This Row],[Platinum cost]]+TblImps[[#This Row],[P1]]-TblProd[[#This Row],[Bank Plat]]</f>
        <v>615</v>
      </c>
      <c r="AV61" s="69" t="n">
        <f aca="false">TblConstr[[#This Row],[Total Lum Cost]]+TblImps[[#This Row],[L1]]-TblProd[[#This Row],[Bank Lumber]] + Military!$CL$25*TblMili[[#This Row],[Sec. rec. Cost]]</f>
        <v>115</v>
      </c>
      <c r="AW61" s="69" t="n">
        <f aca="false">TblMagic[[#This Row],[Mana cost]] + Military!$CL$26*TblMili[[#This Row],[Sec. rec. Cost]]</f>
        <v>0</v>
      </c>
      <c r="AX61" s="69" t="n">
        <f aca="false">Military!$CL$24*TblMili[[#This Row],[Sec. rec. Cost]]+TblImps[[#This Row],[O1]]-TblProd[[#This Row],[Bank Ore]]</f>
        <v>0</v>
      </c>
      <c r="AY61" s="69" t="n">
        <f aca="false">TblImps[[#This Row],[G1]]-TblProd[[#This Row],[Bank Gems]]</f>
        <v>0</v>
      </c>
      <c r="AZ61" s="132"/>
      <c r="BA61" s="33" t="n">
        <f aca="false">IF(TblProd[[#This Row],[Set Guard]]&lt;&gt;"",TblProd[[#This Row],[Set Guard]],OFFSET(TblProd[[#This Row],[Guard]],-1,0))</f>
        <v>0</v>
      </c>
      <c r="BB61" s="145"/>
      <c r="BC61" s="151" t="n">
        <f aca="false">TblProd[[#This Row],[Hour]]</f>
        <v>58</v>
      </c>
      <c r="BD61" s="152" t="n">
        <f aca="false">-TblProd[[#This Row],[Bank Lumber]] / 2 + -TblProd[[#This Row],[Bank Gems]] * 2 + -TblProd[[#This Row],[Bank Ore]] / 2</f>
        <v>0</v>
      </c>
      <c r="BE61" s="152"/>
      <c r="BF61" s="152"/>
      <c r="BG61" s="152"/>
      <c r="BH61" s="153" t="n">
        <f aca="false">TblProd[[#This Row],[Time]]</f>
        <v>45432.125</v>
      </c>
      <c r="BI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J61" s="69" t="n">
        <f aca="false">TblProd[[#This Row],[Platinum]]</f>
        <v>639546</v>
      </c>
      <c r="BK61" s="69" t="n">
        <f aca="false">TblProd[[#This Row],[Food]]</f>
        <v>516120</v>
      </c>
      <c r="BL61" s="69" t="n">
        <f aca="false">TblProd[[#This Row],[Lumber]]</f>
        <v>7571</v>
      </c>
      <c r="BM61" s="69" t="n">
        <f aca="false">TblProd[[#This Row],[Mana]]</f>
        <v>569234</v>
      </c>
      <c r="BN61" s="69" t="n">
        <f aca="false">TblProd[[#This Row],[Ore]]</f>
        <v>-357</v>
      </c>
    </row>
    <row r="62" customFormat="false" ht="12.75" hidden="false" customHeight="false" outlineLevel="0" collapsed="false">
      <c r="A62" s="128" t="n">
        <v>59</v>
      </c>
      <c r="B62" s="144" t="n">
        <f aca="false">TblImps[[#This Row],[Time]]</f>
        <v>45432.1666666667</v>
      </c>
      <c r="C62" s="145"/>
      <c r="D62" s="146"/>
      <c r="E62" s="69" t="n">
        <f aca="false">TblConstr[[#This Row],[Land]]</f>
        <v>700</v>
      </c>
      <c r="F62" s="69" t="n">
        <f aca="false">TblPop[[#This Row],[Peasants]]</f>
        <v>9872</v>
      </c>
      <c r="G62" s="69"/>
      <c r="H62" s="69" t="e">
        <f aca="false">TblMili[[#This Row],[Networth (2)]]</f>
        <v>#VALUE!</v>
      </c>
      <c r="I62" s="69" t="n">
        <f aca="false">OFFSET(TblProd[[#This Row],[Platinum]],-1,0)+OFFSET(TblProd[[#This Row],[Plat/hr]],-1,0) - TblProd[[#This Row],[Expenses Platinum]] + IF(TblProd[[#This Row],[Plat Bonus]],TblPop[[#This Row],[Peasants]]*4) + SUM(TblConstr[[#This Row],[Dest Hom]:[Dest Doc]])*TblConstr[[#This Row],[CPA Platinum -DB]]*tech_3_3_2*TblTech[[#This Row],[3-3]]</f>
        <v>685636</v>
      </c>
      <c r="J62" s="69" t="n">
        <f aca="false">OFFSET(TblProd[[#This Row],[Food]],-1,0)+OFFSET(TblProd[[#This Row],[Food/hr]],-1,0)+ROUNDUP((TblConstr[[#This Row],[Farms]]*80+TblConstr[[#This Row],[Docks]]*35)*(1+OFFSET(TblProd[[#This Row],[Bonus Food/hr]],-1,0)),0)</f>
        <v>510102</v>
      </c>
      <c r="K62" s="69" t="n">
        <f aca="false">OFFSET(TblProd[[#This Row],[Lumber]],-1,0)+OFFSET(TblProd[[#This Row],[Lumber/hr]],-1,0) - TblProd[[#This Row],[Expenses Lumber]] + SUM(TblConstr[[#This Row],[Dest Hom]:[Dest Doc]])*TblConstr[[#This Row],[CPA Lumber -DB]]*tech_3_3_2*TblTech[[#This Row],[3-3]]</f>
        <v>8503</v>
      </c>
      <c r="L62" s="69" t="n">
        <f aca="false">OFFSET(TblProd[[#This Row],[Mana]],-1,0)+OFFSET(TblProd[[#This Row],[Mana/hr]],-1,0)- TblProd[[#This Row],[Expenses Mana]]</f>
        <v>558474</v>
      </c>
      <c r="M62" s="69" t="n">
        <f aca="false">OFFSET(TblProd[[#This Row],[Ore]],-1,0)+OFFSET(TblProd[[#This Row],[Ore/hr]],-1,0) -TblProd[[#This Row],[Expenses Ore]]</f>
        <v>-357</v>
      </c>
      <c r="N62" s="69" t="n">
        <f aca="false">OFFSET(TblProd[[#This Row],[Gems]],-1,0)+OFFSET(TblProd[[#This Row],[Gems/hr]],-1,0) - TblProd[[#This Row],[Expenses Gems]]</f>
        <v>-1000</v>
      </c>
      <c r="O62" s="69" t="n">
        <f aca="false">OFFSET(TblProd[[#This Row],[Boats]],-1,0)+OFFSET(TblProd[[#This Row],[Boats/hr]],-1,0)</f>
        <v>13.25</v>
      </c>
      <c r="P62" s="69" t="n">
        <f aca="false">OFFSET(TblProd[[#This Row],[Prestige]],-1,0)</f>
        <v>250</v>
      </c>
      <c r="Q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2" s="69" t="n">
        <f aca="false">MAX(3750,_xlfn.CEILING.MATH(TblProd[[#This Row],[Land]]*2.5+OFFSET(TblTech[[#This Row],[Sum of tech]],-1,0)*150))</f>
        <v>3750</v>
      </c>
      <c r="S62" s="132"/>
      <c r="T62" s="69" t="n">
        <f aca="false">ROUNDDOWN(TblProd[[#This Row],[Raw Plat/hr]]*(1+TblProd[[#This Row],[Bonus Plat/hr]]),0)</f>
        <v>46482</v>
      </c>
      <c r="U62" s="69" t="n">
        <f aca="false">ROUND(TblProd[[#This Row],[Raw Food/hr]]*(1+TblProd[[#This Row],[Bonus Food/hr]])-TblProd[[#This Row],[Food decay]]-TblProd[[#This Row],[Food eaten]],0)</f>
        <v>-5958</v>
      </c>
      <c r="V62" s="69" t="n">
        <f aca="false">ROUND(TblProd[[#This Row],[Raw Lumber/hr]]*(1+TblProd[[#This Row],[Bonus Lumber/hr]])-TblProd[[#This Row],[Lumber rot]],0)</f>
        <v>1040</v>
      </c>
      <c r="W62" s="69" t="n">
        <f aca="false">ROUND(TblProd[[#This Row],[Raw Mana/hr]]*(1+TblProd[[#This Row],[Bonus Mana/hr]])-TblProd[[#This Row],[Mana drain]],0)</f>
        <v>-10544</v>
      </c>
      <c r="X62" s="69" t="n">
        <f aca="false">ROUNDDOWN(TblProd[[#This Row],[Raw Ore/hr]]*(1+TblProd[[#This Row],[Bonux Ore/hr]]),0)</f>
        <v>0</v>
      </c>
      <c r="Y62" s="69" t="n">
        <f aca="false">ROUNDDOWN(TblProd[[#This Row],[Raw Gems/hr]]*(1+TblProd[[#This Row],[Bonus Gems/hr]]),0)</f>
        <v>0</v>
      </c>
      <c r="Z62" s="148" t="n">
        <f aca="false">OFFSET(TblConstr[[#This Row],[Tot Doc]],1,0)*dock_boats_hr * (1 + tech_4_1*TblTech[[#This Row],[4-1]])</f>
        <v>0.5</v>
      </c>
      <c r="AA62" s="146"/>
      <c r="AB62" s="69" t="n">
        <f aca="false">TblPop[[#This Row],[Peasants]]*tax*TblPop[[#This Row],[Employment]] + (Construction!AZ63+Construction!BX63)*(alch_plat+(Magic!AM62&gt;0)*alchemist_flame_bonus)</f>
        <v>42256.4</v>
      </c>
      <c r="AC62" s="69" t="n">
        <f aca="false">TblConstr[[#This Row],[Tot Farm]]*farm_food + TblConstr[[#This Row],[Tot Doc]]*dock_food</f>
        <v>1920</v>
      </c>
      <c r="AD62" s="69" t="n">
        <f aca="false">TblConstr[[#This Row],[Tot Ly]]*ly_lumber + TblConstr[[#This Row],[Tot Hav]]*fh_lumber</f>
        <v>1250</v>
      </c>
      <c r="AE62" s="69" t="n">
        <f aca="false">OFFSET(TblConstr[[#This Row],[Tot Tow]],1,0)*(tower_mana + tech_4_5*TblTech[[#This Row],[4-5]]) + OFFSET(TblConstr[[#This Row],[Tot WG]],1,0)*wg_mana_prod</f>
        <v>625</v>
      </c>
      <c r="AF62" s="69" t="n">
        <f aca="false">OFFSET(TblConstr[[#This Row],[Tot OM]],1,0)*om_ore+IF(race="Dwarf",ROUNDDOWN(TblMili[[#This Row],[Unit 2]]*0.4,0),)</f>
        <v>0</v>
      </c>
      <c r="AG62" s="69" t="n">
        <f aca="false">OFFSET(TblConstr[[#This Row],[Tot DM]],1,0)*dm_gems</f>
        <v>0</v>
      </c>
      <c r="AH62" s="132"/>
      <c r="AI62" s="149" t="n">
        <f aca="false">MIN(race_platinum_bonus + IF(TblMagic[[#This Row],[Active Alch Frost]]&gt;0,alch_frost_bonus,IF(Magic!AD62&gt;0,midas_bonus)) + TblImps[[#This Row],[Science]] - TblProd[[#This Row],[Guard]]*(0.02 + tech_5_7*TblTech[[#This Row],[5-7]]) + tech_1_5*TblTech[[#This Row],[1-5]] + tech_4_4*TblTech[[#This Row],[4-4]], 0.5)</f>
        <v>0.1</v>
      </c>
      <c r="AJ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2" s="149" t="n">
        <f aca="false">race_lumber_bonus+ IF(TblMagic[[#This Row],[Active Gaia''s Blessing]]&gt;0,gaias_blessing_lumber)+ tech_1_3*TblTech[[#This Row],[1-3]] + tech_1_6*TblTech[[#This Row],[1-6]] + tech_3_3*TblTech[[#This Row],[3-3]]</f>
        <v>-0.1</v>
      </c>
      <c r="AL62" s="149" t="n">
        <f aca="false">race_mana_bonus+ 0 + TblImps[[#This Row],[Towers]] + tech_1_2*TblTech[[#This Row],[1-2]] + tech_3_4*TblTech[[#This Row],[3-4]]</f>
        <v>0</v>
      </c>
      <c r="AM62" s="149" t="n">
        <f aca="false">race_ore_bonus + IF(TblMagic[[#This Row],[Active Miner''s Sight]]&gt;0,miners_sight_bonus,IF(TblMagic[[#This Row],[Active Mining Strength]]&gt;0,mining_strength_bonus)) +  tech_1_6*TblTech[[#This Row],[1-6]]</f>
        <v>0</v>
      </c>
      <c r="AN62" s="149" t="n">
        <f aca="false">race_gem_bonus+ tech_3_2*TblTech[[#This Row],[3-2]] + tech_4_3*TblTech[[#This Row],[4-3]] + tech_6_2*TblTech[[#This Row],[6-2]]</f>
        <v>0.15</v>
      </c>
      <c r="AO62" s="132"/>
      <c r="AP62" s="69" t="n">
        <f aca="false">TblProd[[#This Row],[Food]]*food_decay * (1 + tech_2_1*TblTech[[#This Row],[2-1]] + tech_2_8*TblTech[[#This Row],[2-8]])</f>
        <v>5101.02</v>
      </c>
      <c r="AQ62" s="69" t="n">
        <f aca="false">(1+race_food_consumption)*TblPop[[#This Row],[Total]]*food_per_person*(1+tech_1_10*TblTech[[#This Row],[1-10]]+tech_7_5*TblTech[[#This Row],[7-5]])</f>
        <v>2825.25</v>
      </c>
      <c r="AR62" s="69" t="n">
        <f aca="false">TblProd[[#This Row],[Lumber]]*lumber_rot * (1 + tech_2_1*TblTech[[#This Row],[2-1]] + tech_2_8*TblTech[[#This Row],[2-8]] + tech_5_2*TblTech[[#This Row],[5-2]])</f>
        <v>85.03</v>
      </c>
      <c r="AS62" s="69" t="n">
        <f aca="false">TblProd[[#This Row],[Mana]]*mana_drain * (1 + tech_2_1*TblTech[[#This Row],[2-1]] + tech_2_8*TblTech[[#This Row],[2-8]])</f>
        <v>11169.48</v>
      </c>
      <c r="AT62" s="146"/>
      <c r="AU62" s="69" t="n">
        <f aca="false">TblExplore[[#This Row],[Platinum (2)]]+TblConstr[[#This Row],[Total Plat Cost]]+TblMili[[#This Row],[Plat Cost]]+TblRezone[[#This Row],[Platinum cost]]+TblImps[[#This Row],[P1]]-TblProd[[#This Row],[Bank Plat]]</f>
        <v>625</v>
      </c>
      <c r="AV62" s="69" t="n">
        <f aca="false">TblConstr[[#This Row],[Total Lum Cost]]+TblImps[[#This Row],[L1]]-TblProd[[#This Row],[Bank Lumber]] + Military!$CL$25*TblMili[[#This Row],[Sec. rec. Cost]]</f>
        <v>117</v>
      </c>
      <c r="AW62" s="69" t="n">
        <f aca="false">TblMagic[[#This Row],[Mana cost]] + Military!$CL$26*TblMili[[#This Row],[Sec. rec. Cost]]</f>
        <v>0</v>
      </c>
      <c r="AX62" s="69" t="n">
        <f aca="false">Military!$CL$24*TblMili[[#This Row],[Sec. rec. Cost]]+TblImps[[#This Row],[O1]]-TblProd[[#This Row],[Bank Ore]]</f>
        <v>0</v>
      </c>
      <c r="AY62" s="69" t="n">
        <f aca="false">TblImps[[#This Row],[G1]]-TblProd[[#This Row],[Bank Gems]]</f>
        <v>0</v>
      </c>
      <c r="AZ62" s="132"/>
      <c r="BA62" s="33" t="n">
        <f aca="false">IF(TblProd[[#This Row],[Set Guard]]&lt;&gt;"",TblProd[[#This Row],[Set Guard]],OFFSET(TblProd[[#This Row],[Guard]],-1,0))</f>
        <v>0</v>
      </c>
      <c r="BB62" s="145"/>
      <c r="BC62" s="151" t="n">
        <f aca="false">TblProd[[#This Row],[Hour]]</f>
        <v>59</v>
      </c>
      <c r="BD62" s="152" t="n">
        <f aca="false">-TblProd[[#This Row],[Bank Lumber]] / 2 + -TblProd[[#This Row],[Bank Gems]] * 2 + -TblProd[[#This Row],[Bank Ore]] / 2</f>
        <v>0</v>
      </c>
      <c r="BE62" s="152"/>
      <c r="BF62" s="152"/>
      <c r="BG62" s="152"/>
      <c r="BH62" s="153" t="n">
        <f aca="false">TblProd[[#This Row],[Time]]</f>
        <v>45432.1666666667</v>
      </c>
      <c r="BI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J62" s="69" t="n">
        <f aca="false">TblProd[[#This Row],[Platinum]]</f>
        <v>685636</v>
      </c>
      <c r="BK62" s="69" t="n">
        <f aca="false">TblProd[[#This Row],[Food]]</f>
        <v>510102</v>
      </c>
      <c r="BL62" s="69" t="n">
        <f aca="false">TblProd[[#This Row],[Lumber]]</f>
        <v>8503</v>
      </c>
      <c r="BM62" s="69" t="n">
        <f aca="false">TblProd[[#This Row],[Mana]]</f>
        <v>558474</v>
      </c>
      <c r="BN62" s="69" t="n">
        <f aca="false">TblProd[[#This Row],[Ore]]</f>
        <v>-357</v>
      </c>
    </row>
    <row r="63" customFormat="false" ht="12.75" hidden="false" customHeight="false" outlineLevel="0" collapsed="false">
      <c r="A63" s="128" t="n">
        <v>60</v>
      </c>
      <c r="B63" s="144" t="n">
        <f aca="false">TblImps[[#This Row],[Time]]</f>
        <v>45432.2083333333</v>
      </c>
      <c r="C63" s="145"/>
      <c r="D63" s="146"/>
      <c r="E63" s="69" t="n">
        <f aca="false">TblConstr[[#This Row],[Land]]</f>
        <v>700</v>
      </c>
      <c r="F63" s="69" t="n">
        <f aca="false">TblPop[[#This Row],[Peasants]]</f>
        <v>10096</v>
      </c>
      <c r="G63" s="69"/>
      <c r="H63" s="69" t="e">
        <f aca="false">TblMili[[#This Row],[Networth (2)]]</f>
        <v>#VALUE!</v>
      </c>
      <c r="I63" s="69" t="n">
        <f aca="false">OFFSET(TblProd[[#This Row],[Platinum]],-1,0)+OFFSET(TblProd[[#This Row],[Plat/hr]],-1,0) - TblProd[[#This Row],[Expenses Platinum]] + IF(TblProd[[#This Row],[Plat Bonus]],TblPop[[#This Row],[Peasants]]*4) + SUM(TblConstr[[#This Row],[Dest Hom]:[Dest Doc]])*TblConstr[[#This Row],[CPA Platinum -DB]]*tech_3_3_2*TblTech[[#This Row],[3-3]]</f>
        <v>731483</v>
      </c>
      <c r="J63" s="69" t="n">
        <f aca="false">OFFSET(TblProd[[#This Row],[Food]],-1,0)+OFFSET(TblProd[[#This Row],[Food/hr]],-1,0)+ROUNDUP((TblConstr[[#This Row],[Farms]]*80+TblConstr[[#This Row],[Docks]]*35)*(1+OFFSET(TblProd[[#This Row],[Bonus Food/hr]],-1,0)),0)</f>
        <v>504144</v>
      </c>
      <c r="K63" s="69" t="n">
        <f aca="false">OFFSET(TblProd[[#This Row],[Lumber]],-1,0)+OFFSET(TblProd[[#This Row],[Lumber/hr]],-1,0) - TblProd[[#This Row],[Expenses Lumber]] + SUM(TblConstr[[#This Row],[Dest Hom]:[Dest Doc]])*TblConstr[[#This Row],[CPA Lumber -DB]]*tech_3_3_2*TblTech[[#This Row],[3-3]]</f>
        <v>9425</v>
      </c>
      <c r="L63" s="69" t="n">
        <f aca="false">OFFSET(TblProd[[#This Row],[Mana]],-1,0)+OFFSET(TblProd[[#This Row],[Mana/hr]],-1,0)- TblProd[[#This Row],[Expenses Mana]]</f>
        <v>547930</v>
      </c>
      <c r="M63" s="69" t="n">
        <f aca="false">OFFSET(TblProd[[#This Row],[Ore]],-1,0)+OFFSET(TblProd[[#This Row],[Ore/hr]],-1,0) -TblProd[[#This Row],[Expenses Ore]]</f>
        <v>-357</v>
      </c>
      <c r="N63" s="69" t="n">
        <f aca="false">OFFSET(TblProd[[#This Row],[Gems]],-1,0)+OFFSET(TblProd[[#This Row],[Gems/hr]],-1,0) - TblProd[[#This Row],[Expenses Gems]]</f>
        <v>-1000</v>
      </c>
      <c r="O63" s="69" t="n">
        <f aca="false">OFFSET(TblProd[[#This Row],[Boats]],-1,0)+OFFSET(TblProd[[#This Row],[Boats/hr]],-1,0)</f>
        <v>13.75</v>
      </c>
      <c r="P63" s="69" t="n">
        <f aca="false">OFFSET(TblProd[[#This Row],[Prestige]],-1,0)</f>
        <v>250</v>
      </c>
      <c r="Q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3" s="69" t="n">
        <f aca="false">MAX(3750,_xlfn.CEILING.MATH(TblProd[[#This Row],[Land]]*2.5+OFFSET(TblTech[[#This Row],[Sum of tech]],-1,0)*150))</f>
        <v>3750</v>
      </c>
      <c r="S63" s="132"/>
      <c r="T63" s="69" t="n">
        <f aca="false">ROUNDDOWN(TblProd[[#This Row],[Raw Plat/hr]]*(1+TblProd[[#This Row],[Bonus Plat/hr]]),0)</f>
        <v>47211</v>
      </c>
      <c r="U63" s="69" t="n">
        <f aca="false">ROUND(TblProd[[#This Row],[Raw Food/hr]]*(1+TblProd[[#This Row],[Bonus Food/hr]])-TblProd[[#This Row],[Food decay]]-TblProd[[#This Row],[Food eaten]],0)</f>
        <v>-5979</v>
      </c>
      <c r="V63" s="69" t="n">
        <f aca="false">ROUND(TblProd[[#This Row],[Raw Lumber/hr]]*(1+TblProd[[#This Row],[Bonus Lumber/hr]])-TblProd[[#This Row],[Lumber rot]],0)</f>
        <v>1031</v>
      </c>
      <c r="W63" s="69" t="n">
        <f aca="false">ROUND(TblProd[[#This Row],[Raw Mana/hr]]*(1+TblProd[[#This Row],[Bonus Mana/hr]])-TblProd[[#This Row],[Mana drain]],0)</f>
        <v>-10334</v>
      </c>
      <c r="X63" s="69" t="n">
        <f aca="false">ROUNDDOWN(TblProd[[#This Row],[Raw Ore/hr]]*(1+TblProd[[#This Row],[Bonux Ore/hr]]),0)</f>
        <v>0</v>
      </c>
      <c r="Y63" s="69" t="n">
        <f aca="false">ROUNDDOWN(TblProd[[#This Row],[Raw Gems/hr]]*(1+TblProd[[#This Row],[Bonus Gems/hr]]),0)</f>
        <v>0</v>
      </c>
      <c r="Z63" s="148" t="n">
        <f aca="false">OFFSET(TblConstr[[#This Row],[Tot Doc]],1,0)*dock_boats_hr * (1 + tech_4_1*TblTech[[#This Row],[4-1]])</f>
        <v>0.5</v>
      </c>
      <c r="AA63" s="146"/>
      <c r="AB63" s="69" t="n">
        <f aca="false">TblPop[[#This Row],[Peasants]]*tax*TblPop[[#This Row],[Employment]] + (Construction!AZ64+Construction!BX64)*(alch_plat+(Magic!AM63&gt;0)*alchemist_flame_bonus)</f>
        <v>42919.2</v>
      </c>
      <c r="AC63" s="69" t="n">
        <f aca="false">TblConstr[[#This Row],[Tot Farm]]*farm_food + TblConstr[[#This Row],[Tot Doc]]*dock_food</f>
        <v>1920</v>
      </c>
      <c r="AD63" s="69" t="n">
        <f aca="false">TblConstr[[#This Row],[Tot Ly]]*ly_lumber + TblConstr[[#This Row],[Tot Hav]]*fh_lumber</f>
        <v>1250</v>
      </c>
      <c r="AE63" s="69" t="n">
        <f aca="false">OFFSET(TblConstr[[#This Row],[Tot Tow]],1,0)*(tower_mana + tech_4_5*TblTech[[#This Row],[4-5]]) + OFFSET(TblConstr[[#This Row],[Tot WG]],1,0)*wg_mana_prod</f>
        <v>625</v>
      </c>
      <c r="AF63" s="69" t="n">
        <f aca="false">OFFSET(TblConstr[[#This Row],[Tot OM]],1,0)*om_ore+IF(race="Dwarf",ROUNDDOWN(TblMili[[#This Row],[Unit 2]]*0.4,0),)</f>
        <v>0</v>
      </c>
      <c r="AG63" s="69" t="n">
        <f aca="false">OFFSET(TblConstr[[#This Row],[Tot DM]],1,0)*dm_gems</f>
        <v>0</v>
      </c>
      <c r="AH63" s="132"/>
      <c r="AI63" s="149" t="n">
        <f aca="false">MIN(race_platinum_bonus + IF(TblMagic[[#This Row],[Active Alch Frost]]&gt;0,alch_frost_bonus,IF(Magic!AD63&gt;0,midas_bonus)) + TblImps[[#This Row],[Science]] - TblProd[[#This Row],[Guard]]*(0.02 + tech_5_7*TblTech[[#This Row],[5-7]]) + tech_1_5*TblTech[[#This Row],[1-5]] + tech_4_4*TblTech[[#This Row],[4-4]], 0.5)</f>
        <v>0.1</v>
      </c>
      <c r="AJ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3" s="149" t="n">
        <f aca="false">race_lumber_bonus+ IF(TblMagic[[#This Row],[Active Gaia''s Blessing]]&gt;0,gaias_blessing_lumber)+ tech_1_3*TblTech[[#This Row],[1-3]] + tech_1_6*TblTech[[#This Row],[1-6]] + tech_3_3*TblTech[[#This Row],[3-3]]</f>
        <v>-0.1</v>
      </c>
      <c r="AL63" s="149" t="n">
        <f aca="false">race_mana_bonus+ 0 + TblImps[[#This Row],[Towers]] + tech_1_2*TblTech[[#This Row],[1-2]] + tech_3_4*TblTech[[#This Row],[3-4]]</f>
        <v>0</v>
      </c>
      <c r="AM63" s="149" t="n">
        <f aca="false">race_ore_bonus + IF(TblMagic[[#This Row],[Active Miner''s Sight]]&gt;0,miners_sight_bonus,IF(TblMagic[[#This Row],[Active Mining Strength]]&gt;0,mining_strength_bonus)) +  tech_1_6*TblTech[[#This Row],[1-6]]</f>
        <v>0</v>
      </c>
      <c r="AN63" s="149" t="n">
        <f aca="false">race_gem_bonus+ tech_3_2*TblTech[[#This Row],[3-2]] + tech_4_3*TblTech[[#This Row],[4-3]] + tech_6_2*TblTech[[#This Row],[6-2]]</f>
        <v>0.15</v>
      </c>
      <c r="AO63" s="132"/>
      <c r="AP63" s="69" t="n">
        <f aca="false">TblProd[[#This Row],[Food]]*food_decay * (1 + tech_2_1*TblTech[[#This Row],[2-1]] + tech_2_8*TblTech[[#This Row],[2-8]])</f>
        <v>5041.44</v>
      </c>
      <c r="AQ63" s="69" t="n">
        <f aca="false">(1+race_food_consumption)*TblPop[[#This Row],[Total]]*food_per_person*(1+tech_1_10*TblTech[[#This Row],[1-10]]+tech_7_5*TblTech[[#This Row],[7-5]])</f>
        <v>2906</v>
      </c>
      <c r="AR63" s="69" t="n">
        <f aca="false">TblProd[[#This Row],[Lumber]]*lumber_rot * (1 + tech_2_1*TblTech[[#This Row],[2-1]] + tech_2_8*TblTech[[#This Row],[2-8]] + tech_5_2*TblTech[[#This Row],[5-2]])</f>
        <v>94.25</v>
      </c>
      <c r="AS63" s="69" t="n">
        <f aca="false">TblProd[[#This Row],[Mana]]*mana_drain * (1 + tech_2_1*TblTech[[#This Row],[2-1]] + tech_2_8*TblTech[[#This Row],[2-8]])</f>
        <v>10958.6</v>
      </c>
      <c r="AT63" s="146"/>
      <c r="AU63" s="69" t="n">
        <f aca="false">TblExplore[[#This Row],[Platinum (2)]]+TblConstr[[#This Row],[Total Plat Cost]]+TblMili[[#This Row],[Plat Cost]]+TblRezone[[#This Row],[Platinum cost]]+TblImps[[#This Row],[P1]]-TblProd[[#This Row],[Bank Plat]]</f>
        <v>635</v>
      </c>
      <c r="AV63" s="69" t="n">
        <f aca="false">TblConstr[[#This Row],[Total Lum Cost]]+TblImps[[#This Row],[L1]]-TblProd[[#This Row],[Bank Lumber]] + Military!$CL$25*TblMili[[#This Row],[Sec. rec. Cost]]</f>
        <v>118</v>
      </c>
      <c r="AW63" s="69" t="n">
        <f aca="false">TblMagic[[#This Row],[Mana cost]] + Military!$CL$26*TblMili[[#This Row],[Sec. rec. Cost]]</f>
        <v>0</v>
      </c>
      <c r="AX63" s="69" t="n">
        <f aca="false">Military!$CL$24*TblMili[[#This Row],[Sec. rec. Cost]]+TblImps[[#This Row],[O1]]-TblProd[[#This Row],[Bank Ore]]</f>
        <v>0</v>
      </c>
      <c r="AY63" s="69" t="n">
        <f aca="false">TblImps[[#This Row],[G1]]-TblProd[[#This Row],[Bank Gems]]</f>
        <v>0</v>
      </c>
      <c r="AZ63" s="132"/>
      <c r="BA63" s="33" t="n">
        <f aca="false">IF(TblProd[[#This Row],[Set Guard]]&lt;&gt;"",TblProd[[#This Row],[Set Guard]],OFFSET(TblProd[[#This Row],[Guard]],-1,0))</f>
        <v>0</v>
      </c>
      <c r="BB63" s="145"/>
      <c r="BC63" s="151" t="n">
        <f aca="false">TblProd[[#This Row],[Hour]]</f>
        <v>60</v>
      </c>
      <c r="BD63" s="152" t="n">
        <f aca="false">-TblProd[[#This Row],[Bank Lumber]] / 2 + -TblProd[[#This Row],[Bank Gems]] * 2 + -TblProd[[#This Row],[Bank Ore]] / 2</f>
        <v>0</v>
      </c>
      <c r="BE63" s="152"/>
      <c r="BF63" s="152"/>
      <c r="BG63" s="152"/>
      <c r="BH63" s="153" t="n">
        <f aca="false">TblProd[[#This Row],[Time]]</f>
        <v>45432.2083333333</v>
      </c>
      <c r="BI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J63" s="69" t="n">
        <f aca="false">TblProd[[#This Row],[Platinum]]</f>
        <v>731483</v>
      </c>
      <c r="BK63" s="69" t="n">
        <f aca="false">TblProd[[#This Row],[Food]]</f>
        <v>504144</v>
      </c>
      <c r="BL63" s="69" t="n">
        <f aca="false">TblProd[[#This Row],[Lumber]]</f>
        <v>9425</v>
      </c>
      <c r="BM63" s="69" t="n">
        <f aca="false">TblProd[[#This Row],[Mana]]</f>
        <v>547930</v>
      </c>
      <c r="BN63" s="69" t="n">
        <f aca="false">TblProd[[#This Row],[Ore]]</f>
        <v>-357</v>
      </c>
    </row>
    <row r="64" customFormat="false" ht="12.75" hidden="false" customHeight="false" outlineLevel="0" collapsed="false">
      <c r="A64" s="128" t="n">
        <v>61</v>
      </c>
      <c r="B64" s="144" t="n">
        <f aca="false">TblImps[[#This Row],[Time]]</f>
        <v>45432.25</v>
      </c>
      <c r="C64" s="145" t="n">
        <v>1</v>
      </c>
      <c r="D64" s="146"/>
      <c r="E64" s="69" t="n">
        <f aca="false">TblConstr[[#This Row],[Land]]</f>
        <v>700</v>
      </c>
      <c r="F64" s="69" t="n">
        <f aca="false">TblPop[[#This Row],[Peasants]]</f>
        <v>10317</v>
      </c>
      <c r="G64" s="69"/>
      <c r="H64" s="69" t="e">
        <f aca="false">TblMili[[#This Row],[Networth (2)]]</f>
        <v>#VALUE!</v>
      </c>
      <c r="I64" s="69" t="n">
        <f aca="false">OFFSET(TblProd[[#This Row],[Platinum]],-1,0)+OFFSET(TblProd[[#This Row],[Plat/hr]],-1,0) - TblProd[[#This Row],[Expenses Platinum]] + IF(TblProd[[#This Row],[Plat Bonus]],TblPop[[#This Row],[Peasants]]*4) + SUM(TblConstr[[#This Row],[Dest Hom]:[Dest Doc]])*TblConstr[[#This Row],[CPA Platinum -DB]]*tech_3_3_2*TblTech[[#This Row],[3-3]]</f>
        <v>4808</v>
      </c>
      <c r="J64" s="69" t="n">
        <f aca="false">OFFSET(TblProd[[#This Row],[Food]],-1,0)+OFFSET(TblProd[[#This Row],[Food/hr]],-1,0)+ROUNDUP((TblConstr[[#This Row],[Farms]]*80+TblConstr[[#This Row],[Docks]]*35)*(1+OFFSET(TblProd[[#This Row],[Bonus Food/hr]],-1,0)),0)</f>
        <v>498165</v>
      </c>
      <c r="K64" s="69" t="n">
        <f aca="false">OFFSET(TblProd[[#This Row],[Lumber]],-1,0)+OFFSET(TblProd[[#This Row],[Lumber/hr]],-1,0) - TblProd[[#This Row],[Expenses Lumber]] + SUM(TblConstr[[#This Row],[Dest Hom]:[Dest Doc]])*TblConstr[[#This Row],[CPA Lumber -DB]]*tech_3_3_2*TblTech[[#This Row],[3-3]]</f>
        <v>4456</v>
      </c>
      <c r="L64" s="69" t="n">
        <f aca="false">OFFSET(TblProd[[#This Row],[Mana]],-1,0)+OFFSET(TblProd[[#This Row],[Mana/hr]],-1,0)- TblProd[[#This Row],[Expenses Mana]]</f>
        <v>537596</v>
      </c>
      <c r="M64" s="69" t="n">
        <f aca="false">OFFSET(TblProd[[#This Row],[Ore]],-1,0)+OFFSET(TblProd[[#This Row],[Ore/hr]],-1,0) -TblProd[[#This Row],[Expenses Ore]]</f>
        <v>-357</v>
      </c>
      <c r="N64" s="69" t="n">
        <f aca="false">OFFSET(TblProd[[#This Row],[Gems]],-1,0)+OFFSET(TblProd[[#This Row],[Gems/hr]],-1,0) - TblProd[[#This Row],[Expenses Gems]]</f>
        <v>-1000</v>
      </c>
      <c r="O64" s="69" t="n">
        <f aca="false">OFFSET(TblProd[[#This Row],[Boats]],-1,0)+OFFSET(TblProd[[#This Row],[Boats/hr]],-1,0)</f>
        <v>14.25</v>
      </c>
      <c r="P64" s="69" t="n">
        <f aca="false">OFFSET(TblProd[[#This Row],[Prestige]],-1,0)</f>
        <v>250</v>
      </c>
      <c r="Q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4" s="69" t="n">
        <f aca="false">MAX(3750,_xlfn.CEILING.MATH(TblProd[[#This Row],[Land]]*2.5+OFFSET(TblTech[[#This Row],[Sum of tech]],-1,0)*150))</f>
        <v>3750</v>
      </c>
      <c r="S64" s="132"/>
      <c r="T64" s="69" t="n">
        <f aca="false">ROUNDDOWN(TblProd[[#This Row],[Raw Plat/hr]]*(1+TblProd[[#This Row],[Bonus Plat/hr]]),0)</f>
        <v>48186</v>
      </c>
      <c r="U64" s="69" t="n">
        <f aca="false">ROUND(TblProd[[#This Row],[Raw Food/hr]]*(1+TblProd[[#This Row],[Bonus Food/hr]])-TblProd[[#This Row],[Food decay]]-TblProd[[#This Row],[Food eaten]],0)</f>
        <v>-6000</v>
      </c>
      <c r="V64" s="69" t="n">
        <f aca="false">ROUND(TblProd[[#This Row],[Raw Lumber/hr]]*(1+TblProd[[#This Row],[Bonus Lumber/hr]])-TblProd[[#This Row],[Lumber rot]],0)</f>
        <v>1080</v>
      </c>
      <c r="W64" s="69" t="n">
        <f aca="false">ROUND(TblProd[[#This Row],[Raw Mana/hr]]*(1+TblProd[[#This Row],[Bonus Mana/hr]])-TblProd[[#This Row],[Mana drain]],0)</f>
        <v>-10127</v>
      </c>
      <c r="X64" s="69" t="n">
        <f aca="false">ROUNDDOWN(TblProd[[#This Row],[Raw Ore/hr]]*(1+TblProd[[#This Row],[Bonux Ore/hr]]),0)</f>
        <v>0</v>
      </c>
      <c r="Y64" s="69" t="n">
        <f aca="false">ROUNDDOWN(TblProd[[#This Row],[Raw Gems/hr]]*(1+TblProd[[#This Row],[Bonus Gems/hr]]),0)</f>
        <v>0</v>
      </c>
      <c r="Z64" s="148" t="n">
        <f aca="false">OFFSET(TblConstr[[#This Row],[Tot Doc]],1,0)*dock_boats_hr * (1 + tech_4_1*TblTech[[#This Row],[4-1]])</f>
        <v>0.8</v>
      </c>
      <c r="AA64" s="146"/>
      <c r="AB64" s="69" t="n">
        <f aca="false">TblPop[[#This Row],[Peasants]]*tax*TblPop[[#This Row],[Employment]] + (Construction!AZ65+Construction!BX65)*(alch_plat+(Magic!AM64&gt;0)*alchemist_flame_bonus)</f>
        <v>43805.9</v>
      </c>
      <c r="AC64" s="69" t="n">
        <f aca="false">TblConstr[[#This Row],[Tot Farm]]*farm_food + TblConstr[[#This Row],[Tot Doc]]*dock_food</f>
        <v>1920</v>
      </c>
      <c r="AD64" s="69" t="n">
        <f aca="false">TblConstr[[#This Row],[Tot Ly]]*ly_lumber + TblConstr[[#This Row],[Tot Hav]]*fh_lumber</f>
        <v>1250</v>
      </c>
      <c r="AE64" s="69" t="n">
        <f aca="false">OFFSET(TblConstr[[#This Row],[Tot Tow]],1,0)*(tower_mana + tech_4_5*TblTech[[#This Row],[4-5]]) + OFFSET(TblConstr[[#This Row],[Tot WG]],1,0)*wg_mana_prod</f>
        <v>625</v>
      </c>
      <c r="AF64" s="69" t="n">
        <f aca="false">OFFSET(TblConstr[[#This Row],[Tot OM]],1,0)*om_ore+IF(race="Dwarf",ROUNDDOWN(TblMili[[#This Row],[Unit 2]]*0.4,0),)</f>
        <v>0</v>
      </c>
      <c r="AG64" s="69" t="n">
        <f aca="false">OFFSET(TblConstr[[#This Row],[Tot DM]],1,0)*dm_gems</f>
        <v>0</v>
      </c>
      <c r="AH64" s="132"/>
      <c r="AI64" s="149" t="n">
        <f aca="false">MIN(race_platinum_bonus + IF(TblMagic[[#This Row],[Active Alch Frost]]&gt;0,alch_frost_bonus,IF(Magic!AD64&gt;0,midas_bonus)) + TblImps[[#This Row],[Science]] - TblProd[[#This Row],[Guard]]*(0.02 + tech_5_7*TblTech[[#This Row],[5-7]]) + tech_1_5*TblTech[[#This Row],[1-5]] + tech_4_4*TblTech[[#This Row],[4-4]], 0.5)</f>
        <v>0.1</v>
      </c>
      <c r="AJ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4" s="149" t="n">
        <f aca="false">race_lumber_bonus+ IF(TblMagic[[#This Row],[Active Gaia''s Blessing]]&gt;0,gaias_blessing_lumber)+ tech_1_3*TblTech[[#This Row],[1-3]] + tech_1_6*TblTech[[#This Row],[1-6]] + tech_3_3*TblTech[[#This Row],[3-3]]</f>
        <v>-0.1</v>
      </c>
      <c r="AL64" s="149" t="n">
        <f aca="false">race_mana_bonus+ 0 + TblImps[[#This Row],[Towers]] + tech_1_2*TblTech[[#This Row],[1-2]] + tech_3_4*TblTech[[#This Row],[3-4]]</f>
        <v>0</v>
      </c>
      <c r="AM64" s="149" t="n">
        <f aca="false">race_ore_bonus + IF(TblMagic[[#This Row],[Active Miner''s Sight]]&gt;0,miners_sight_bonus,IF(TblMagic[[#This Row],[Active Mining Strength]]&gt;0,mining_strength_bonus)) +  tech_1_6*TblTech[[#This Row],[1-6]]</f>
        <v>0</v>
      </c>
      <c r="AN64" s="149" t="n">
        <f aca="false">race_gem_bonus+ tech_3_2*TblTech[[#This Row],[3-2]] + tech_4_3*TblTech[[#This Row],[4-3]] + tech_6_2*TblTech[[#This Row],[6-2]]</f>
        <v>0.15</v>
      </c>
      <c r="AO64" s="132"/>
      <c r="AP64" s="69" t="n">
        <f aca="false">TblProd[[#This Row],[Food]]*food_decay * (1 + tech_2_1*TblTech[[#This Row],[2-1]] + tech_2_8*TblTech[[#This Row],[2-8]])</f>
        <v>4981.65</v>
      </c>
      <c r="AQ64" s="69" t="n">
        <f aca="false">(1+race_food_consumption)*TblPop[[#This Row],[Total]]*food_per_person*(1+tech_1_10*TblTech[[#This Row],[1-10]]+tech_7_5*TblTech[[#This Row],[7-5]])</f>
        <v>2986.5</v>
      </c>
      <c r="AR64" s="69" t="n">
        <f aca="false">TblProd[[#This Row],[Lumber]]*lumber_rot * (1 + tech_2_1*TblTech[[#This Row],[2-1]] + tech_2_8*TblTech[[#This Row],[2-8]] + tech_5_2*TblTech[[#This Row],[5-2]])</f>
        <v>44.56</v>
      </c>
      <c r="AS64" s="69" t="n">
        <f aca="false">TblProd[[#This Row],[Mana]]*mana_drain * (1 + tech_2_1*TblTech[[#This Row],[2-1]] + tech_2_8*TblTech[[#This Row],[2-8]])</f>
        <v>10751.92</v>
      </c>
      <c r="AT64" s="146"/>
      <c r="AU64" s="69" t="n">
        <f aca="false">TblExplore[[#This Row],[Platinum (2)]]+TblConstr[[#This Row],[Total Plat Cost]]+TblMili[[#This Row],[Plat Cost]]+TblRezone[[#This Row],[Platinum cost]]+TblImps[[#This Row],[P1]]-TblProd[[#This Row],[Bank Plat]]</f>
        <v>815154</v>
      </c>
      <c r="AV64" s="69" t="n">
        <f aca="false">TblConstr[[#This Row],[Total Lum Cost]]+TblImps[[#This Row],[L1]]-TblProd[[#This Row],[Bank Lumber]] + Military!$CL$25*TblMili[[#This Row],[Sec. rec. Cost]]</f>
        <v>6000</v>
      </c>
      <c r="AW64" s="69" t="n">
        <f aca="false">TblMagic[[#This Row],[Mana cost]] + Military!$CL$26*TblMili[[#This Row],[Sec. rec. Cost]]</f>
        <v>0</v>
      </c>
      <c r="AX64" s="69" t="n">
        <f aca="false">Military!$CL$24*TblMili[[#This Row],[Sec. rec. Cost]]+TblImps[[#This Row],[O1]]-TblProd[[#This Row],[Bank Ore]]</f>
        <v>0</v>
      </c>
      <c r="AY64" s="69" t="n">
        <f aca="false">TblImps[[#This Row],[G1]]-TblProd[[#This Row],[Bank Gems]]</f>
        <v>0</v>
      </c>
      <c r="AZ64" s="132"/>
      <c r="BA64" s="33" t="n">
        <f aca="false">IF(TblProd[[#This Row],[Set Guard]]&lt;&gt;"",TblProd[[#This Row],[Set Guard]],OFFSET(TblProd[[#This Row],[Guard]],-1,0))</f>
        <v>0</v>
      </c>
      <c r="BB64" s="145"/>
      <c r="BC64" s="151" t="n">
        <f aca="false">TblProd[[#This Row],[Hour]]</f>
        <v>61</v>
      </c>
      <c r="BD64" s="152" t="n">
        <f aca="false">-TblProd[[#This Row],[Bank Lumber]] / 2 + -TblProd[[#This Row],[Bank Gems]] * 2 + -TblProd[[#This Row],[Bank Ore]] / 2</f>
        <v>0</v>
      </c>
      <c r="BE64" s="152"/>
      <c r="BF64" s="152"/>
      <c r="BG64" s="152"/>
      <c r="BH64" s="153" t="n">
        <f aca="false">TblProd[[#This Row],[Time]]</f>
        <v>45432.25</v>
      </c>
      <c r="BI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J64" s="69" t="n">
        <f aca="false">TblProd[[#This Row],[Platinum]]</f>
        <v>4808</v>
      </c>
      <c r="BK64" s="69" t="n">
        <f aca="false">TblProd[[#This Row],[Food]]</f>
        <v>498165</v>
      </c>
      <c r="BL64" s="69" t="n">
        <f aca="false">TblProd[[#This Row],[Lumber]]</f>
        <v>4456</v>
      </c>
      <c r="BM64" s="69" t="n">
        <f aca="false">TblProd[[#This Row],[Mana]]</f>
        <v>537596</v>
      </c>
      <c r="BN64" s="69" t="n">
        <f aca="false">TblProd[[#This Row],[Ore]]</f>
        <v>-357</v>
      </c>
    </row>
    <row r="65" customFormat="false" ht="12.75" hidden="false" customHeight="false" outlineLevel="0" collapsed="false">
      <c r="A65" s="128" t="n">
        <v>62</v>
      </c>
      <c r="B65" s="144" t="n">
        <f aca="false">TblImps[[#This Row],[Time]]</f>
        <v>45432.2916666667</v>
      </c>
      <c r="C65" s="145"/>
      <c r="D65" s="146"/>
      <c r="E65" s="69" t="n">
        <f aca="false">TblConstr[[#This Row],[Land]]</f>
        <v>700</v>
      </c>
      <c r="F65" s="69" t="n">
        <f aca="false">TblPop[[#This Row],[Peasants]]</f>
        <v>10214</v>
      </c>
      <c r="G65" s="69"/>
      <c r="H65" s="69" t="e">
        <f aca="false">TblMili[[#This Row],[Networth (2)]]</f>
        <v>#VALUE!</v>
      </c>
      <c r="I65" s="69" t="n">
        <f aca="false">OFFSET(TblProd[[#This Row],[Platinum]],-1,0)+OFFSET(TblProd[[#This Row],[Plat/hr]],-1,0) - TblProd[[#This Row],[Expenses Platinum]] + IF(TblProd[[#This Row],[Plat Bonus]],TblPop[[#This Row],[Peasants]]*4) + SUM(TblConstr[[#This Row],[Dest Hom]:[Dest Doc]])*TblConstr[[#This Row],[CPA Platinum -DB]]*tech_3_3_2*TblTech[[#This Row],[3-3]]</f>
        <v>47244</v>
      </c>
      <c r="J65" s="69" t="n">
        <f aca="false">OFFSET(TblProd[[#This Row],[Food]],-1,0)+OFFSET(TblProd[[#This Row],[Food/hr]],-1,0)+ROUNDUP((TblConstr[[#This Row],[Farms]]*80+TblConstr[[#This Row],[Docks]]*35)*(1+OFFSET(TblProd[[#This Row],[Bonus Food/hr]],-1,0)),0)</f>
        <v>492545</v>
      </c>
      <c r="K65" s="69" t="n">
        <f aca="false">OFFSET(TblProd[[#This Row],[Lumber]],-1,0)+OFFSET(TblProd[[#This Row],[Lumber/hr]],-1,0) - TblProd[[#This Row],[Expenses Lumber]] + SUM(TblConstr[[#This Row],[Dest Hom]:[Dest Doc]])*TblConstr[[#This Row],[CPA Lumber -DB]]*tech_3_3_2*TblTech[[#This Row],[3-3]]</f>
        <v>4551</v>
      </c>
      <c r="L65" s="69" t="n">
        <f aca="false">OFFSET(TblProd[[#This Row],[Mana]],-1,0)+OFFSET(TblProd[[#This Row],[Mana/hr]],-1,0)- TblProd[[#This Row],[Expenses Mana]]</f>
        <v>523969</v>
      </c>
      <c r="M65" s="69" t="n">
        <f aca="false">OFFSET(TblProd[[#This Row],[Ore]],-1,0)+OFFSET(TblProd[[#This Row],[Ore/hr]],-1,0) -TblProd[[#This Row],[Expenses Ore]]</f>
        <v>-357</v>
      </c>
      <c r="N65" s="69" t="n">
        <f aca="false">OFFSET(TblProd[[#This Row],[Gems]],-1,0)+OFFSET(TblProd[[#This Row],[Gems/hr]],-1,0) - TblProd[[#This Row],[Expenses Gems]]</f>
        <v>-1000</v>
      </c>
      <c r="O65" s="69" t="n">
        <f aca="false">OFFSET(TblProd[[#This Row],[Boats]],-1,0)+OFFSET(TblProd[[#This Row],[Boats/hr]],-1,0)</f>
        <v>15.05</v>
      </c>
      <c r="P65" s="69" t="n">
        <f aca="false">OFFSET(TblProd[[#This Row],[Prestige]],-1,0)</f>
        <v>250</v>
      </c>
      <c r="Q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5" s="69" t="n">
        <f aca="false">MAX(3750,_xlfn.CEILING.MATH(TblProd[[#This Row],[Land]]*2.5+OFFSET(TblTech[[#This Row],[Sum of tech]],-1,0)*150))</f>
        <v>3750</v>
      </c>
      <c r="S65" s="132"/>
      <c r="T65" s="69" t="n">
        <f aca="false">ROUNDDOWN(TblProd[[#This Row],[Raw Plat/hr]]*(1+TblProd[[#This Row],[Bonus Plat/hr]]),0)</f>
        <v>47880</v>
      </c>
      <c r="U65" s="69" t="n">
        <f aca="false">ROUND(TblProd[[#This Row],[Raw Food/hr]]*(1+TblProd[[#This Row],[Bonus Food/hr]])-TblProd[[#This Row],[Food decay]]-TblProd[[#This Row],[Food eaten]],0)</f>
        <v>-5534</v>
      </c>
      <c r="V65" s="69" t="n">
        <f aca="false">ROUND(TblProd[[#This Row],[Raw Lumber/hr]]*(1+TblProd[[#This Row],[Bonus Lumber/hr]])-TblProd[[#This Row],[Lumber rot]],0)</f>
        <v>1079</v>
      </c>
      <c r="W65" s="69" t="n">
        <f aca="false">ROUND(TblProd[[#This Row],[Raw Mana/hr]]*(1+TblProd[[#This Row],[Bonus Mana/hr]])-TblProd[[#This Row],[Mana drain]],0)</f>
        <v>-9854</v>
      </c>
      <c r="X65" s="69" t="n">
        <f aca="false">ROUNDDOWN(TblProd[[#This Row],[Raw Ore/hr]]*(1+TblProd[[#This Row],[Bonux Ore/hr]]),0)</f>
        <v>0</v>
      </c>
      <c r="Y65" s="69" t="n">
        <f aca="false">ROUNDDOWN(TblProd[[#This Row],[Raw Gems/hr]]*(1+TblProd[[#This Row],[Bonus Gems/hr]]),0)</f>
        <v>0</v>
      </c>
      <c r="Z65" s="148" t="n">
        <f aca="false">OFFSET(TblConstr[[#This Row],[Tot Doc]],1,0)*dock_boats_hr * (1 + tech_4_1*TblTech[[#This Row],[4-1]])</f>
        <v>1.2</v>
      </c>
      <c r="AA65" s="146"/>
      <c r="AB65" s="69" t="n">
        <f aca="false">TblPop[[#This Row],[Peasants]]*tax*TblPop[[#This Row],[Employment]] + (Construction!AZ66+Construction!BX66)*(alch_plat+(Magic!AM65&gt;0)*alchemist_flame_bonus)</f>
        <v>43527.8</v>
      </c>
      <c r="AC65" s="69" t="n">
        <f aca="false">TblConstr[[#This Row],[Tot Farm]]*farm_food + TblConstr[[#This Row],[Tot Doc]]*dock_food</f>
        <v>2320</v>
      </c>
      <c r="AD65" s="69" t="n">
        <f aca="false">TblConstr[[#This Row],[Tot Ly]]*ly_lumber + TblConstr[[#This Row],[Tot Hav]]*fh_lumber</f>
        <v>1250</v>
      </c>
      <c r="AE65" s="69" t="n">
        <f aca="false">OFFSET(TblConstr[[#This Row],[Tot Tow]],1,0)*(tower_mana + tech_4_5*TblTech[[#This Row],[4-5]]) + OFFSET(TblConstr[[#This Row],[Tot WG]],1,0)*wg_mana_prod</f>
        <v>625</v>
      </c>
      <c r="AF65" s="69" t="n">
        <f aca="false">OFFSET(TblConstr[[#This Row],[Tot OM]],1,0)*om_ore+IF(race="Dwarf",ROUNDDOWN(TblMili[[#This Row],[Unit 2]]*0.4,0),)</f>
        <v>0</v>
      </c>
      <c r="AG65" s="69" t="n">
        <f aca="false">OFFSET(TblConstr[[#This Row],[Tot DM]],1,0)*dm_gems</f>
        <v>0</v>
      </c>
      <c r="AH65" s="132"/>
      <c r="AI65" s="149" t="n">
        <f aca="false">MIN(race_platinum_bonus + IF(TblMagic[[#This Row],[Active Alch Frost]]&gt;0,alch_frost_bonus,IF(Magic!AD65&gt;0,midas_bonus)) + TblImps[[#This Row],[Science]] - TblProd[[#This Row],[Guard]]*(0.02 + tech_5_7*TblTech[[#This Row],[5-7]]) + tech_1_5*TblTech[[#This Row],[1-5]] + tech_4_4*TblTech[[#This Row],[4-4]], 0.5)</f>
        <v>0.1</v>
      </c>
      <c r="AJ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5" s="149" t="n">
        <f aca="false">race_lumber_bonus+ IF(TblMagic[[#This Row],[Active Gaia''s Blessing]]&gt;0,gaias_blessing_lumber)+ tech_1_3*TblTech[[#This Row],[1-3]] + tech_1_6*TblTech[[#This Row],[1-6]] + tech_3_3*TblTech[[#This Row],[3-3]]</f>
        <v>-0.1</v>
      </c>
      <c r="AL65" s="149" t="n">
        <f aca="false">race_mana_bonus+ 0 + TblImps[[#This Row],[Towers]] + tech_1_2*TblTech[[#This Row],[1-2]] + tech_3_4*TblTech[[#This Row],[3-4]]</f>
        <v>0</v>
      </c>
      <c r="AM65" s="149" t="n">
        <f aca="false">race_ore_bonus + IF(TblMagic[[#This Row],[Active Miner''s Sight]]&gt;0,miners_sight_bonus,IF(TblMagic[[#This Row],[Active Mining Strength]]&gt;0,mining_strength_bonus)) +  tech_1_6*TblTech[[#This Row],[1-6]]</f>
        <v>0</v>
      </c>
      <c r="AN65" s="149" t="n">
        <f aca="false">race_gem_bonus+ tech_3_2*TblTech[[#This Row],[3-2]] + tech_4_3*TblTech[[#This Row],[4-3]] + tech_6_2*TblTech[[#This Row],[6-2]]</f>
        <v>0.15</v>
      </c>
      <c r="AO65" s="132"/>
      <c r="AP65" s="69" t="n">
        <f aca="false">TblProd[[#This Row],[Food]]*food_decay * (1 + tech_2_1*TblTech[[#This Row],[2-1]] + tech_2_8*TblTech[[#This Row],[2-8]])</f>
        <v>4925.45</v>
      </c>
      <c r="AQ65" s="69" t="n">
        <f aca="false">(1+race_food_consumption)*TblPop[[#This Row],[Total]]*food_per_person*(1+tech_1_10*TblTech[[#This Row],[1-10]]+tech_7_5*TblTech[[#This Row],[7-5]])</f>
        <v>2986.5</v>
      </c>
      <c r="AR65" s="69" t="n">
        <f aca="false">TblProd[[#This Row],[Lumber]]*lumber_rot * (1 + tech_2_1*TblTech[[#This Row],[2-1]] + tech_2_8*TblTech[[#This Row],[2-8]] + tech_5_2*TblTech[[#This Row],[5-2]])</f>
        <v>45.51</v>
      </c>
      <c r="AS65" s="69" t="n">
        <f aca="false">TblProd[[#This Row],[Mana]]*mana_drain * (1 + tech_2_1*TblTech[[#This Row],[2-1]] + tech_2_8*TblTech[[#This Row],[2-8]])</f>
        <v>10479.38</v>
      </c>
      <c r="AT65" s="146"/>
      <c r="AU65" s="69" t="n">
        <f aca="false">TblExplore[[#This Row],[Platinum (2)]]+TblConstr[[#This Row],[Total Plat Cost]]+TblMili[[#This Row],[Plat Cost]]+TblRezone[[#This Row],[Platinum cost]]+TblImps[[#This Row],[P1]]-TblProd[[#This Row],[Bank Plat]]</f>
        <v>5750</v>
      </c>
      <c r="AV65" s="69" t="n">
        <f aca="false">TblConstr[[#This Row],[Total Lum Cost]]+TblImps[[#This Row],[L1]]-TblProd[[#This Row],[Bank Lumber]] + Military!$CL$25*TblMili[[#This Row],[Sec. rec. Cost]]</f>
        <v>985</v>
      </c>
      <c r="AW65" s="69" t="n">
        <f aca="false">TblMagic[[#This Row],[Mana cost]] + Military!$CL$26*TblMili[[#This Row],[Sec. rec. Cost]]</f>
        <v>3500</v>
      </c>
      <c r="AX65" s="69" t="n">
        <f aca="false">Military!$CL$24*TblMili[[#This Row],[Sec. rec. Cost]]+TblImps[[#This Row],[O1]]-TblProd[[#This Row],[Bank Ore]]</f>
        <v>0</v>
      </c>
      <c r="AY65" s="69" t="n">
        <f aca="false">TblImps[[#This Row],[G1]]-TblProd[[#This Row],[Bank Gems]]</f>
        <v>0</v>
      </c>
      <c r="AZ65" s="132"/>
      <c r="BA65" s="33" t="n">
        <f aca="false">IF(TblProd[[#This Row],[Set Guard]]&lt;&gt;"",TblProd[[#This Row],[Set Guard]],OFFSET(TblProd[[#This Row],[Guard]],-1,0))</f>
        <v>0</v>
      </c>
      <c r="BB65" s="145"/>
      <c r="BC65" s="151" t="n">
        <f aca="false">TblProd[[#This Row],[Hour]]</f>
        <v>62</v>
      </c>
      <c r="BD65" s="152" t="n">
        <f aca="false">-TblProd[[#This Row],[Bank Lumber]] / 2 + -TblProd[[#This Row],[Bank Gems]] * 2 + -TblProd[[#This Row],[Bank Ore]] / 2</f>
        <v>0</v>
      </c>
      <c r="BE65" s="152"/>
      <c r="BF65" s="152"/>
      <c r="BG65" s="152"/>
      <c r="BH65" s="153" t="n">
        <f aca="false">TblProd[[#This Row],[Time]]</f>
        <v>45432.2916666667</v>
      </c>
      <c r="BI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J65" s="69" t="n">
        <f aca="false">TblProd[[#This Row],[Platinum]]</f>
        <v>47244</v>
      </c>
      <c r="BK65" s="69" t="n">
        <f aca="false">TblProd[[#This Row],[Food]]</f>
        <v>492545</v>
      </c>
      <c r="BL65" s="69" t="n">
        <f aca="false">TblProd[[#This Row],[Lumber]]</f>
        <v>4551</v>
      </c>
      <c r="BM65" s="69" t="n">
        <f aca="false">TblProd[[#This Row],[Mana]]</f>
        <v>523969</v>
      </c>
      <c r="BN65" s="69" t="n">
        <f aca="false">TblProd[[#This Row],[Ore]]</f>
        <v>-357</v>
      </c>
    </row>
    <row r="66" customFormat="false" ht="12.75" hidden="false" customHeight="false" outlineLevel="0" collapsed="false">
      <c r="A66" s="128" t="n">
        <v>63</v>
      </c>
      <c r="B66" s="144" t="n">
        <f aca="false">TblImps[[#This Row],[Time]]</f>
        <v>45432.3333333333</v>
      </c>
      <c r="C66" s="145"/>
      <c r="D66" s="146"/>
      <c r="E66" s="69" t="n">
        <f aca="false">TblConstr[[#This Row],[Land]]</f>
        <v>700</v>
      </c>
      <c r="F66" s="69" t="n">
        <f aca="false">TblPop[[#This Row],[Peasants]]</f>
        <v>10112</v>
      </c>
      <c r="G66" s="69"/>
      <c r="H66" s="69" t="e">
        <f aca="false">TblMili[[#This Row],[Networth (2)]]</f>
        <v>#VALUE!</v>
      </c>
      <c r="I66" s="69" t="n">
        <f aca="false">OFFSET(TblProd[[#This Row],[Platinum]],-1,0)+OFFSET(TblProd[[#This Row],[Plat/hr]],-1,0) - TblProd[[#This Row],[Expenses Platinum]] + IF(TblProd[[#This Row],[Plat Bonus]],TblPop[[#This Row],[Peasants]]*4) + SUM(TblConstr[[#This Row],[Dest Hom]:[Dest Doc]])*TblConstr[[#This Row],[CPA Platinum -DB]]*tech_3_3_2*TblTech[[#This Row],[3-3]]</f>
        <v>89119</v>
      </c>
      <c r="J66" s="69" t="n">
        <f aca="false">OFFSET(TblProd[[#This Row],[Food]],-1,0)+OFFSET(TblProd[[#This Row],[Food/hr]],-1,0)+ROUNDUP((TblConstr[[#This Row],[Farms]]*80+TblConstr[[#This Row],[Docks]]*35)*(1+OFFSET(TblProd[[#This Row],[Bonus Food/hr]],-1,0)),0)</f>
        <v>487790</v>
      </c>
      <c r="K66" s="69" t="n">
        <f aca="false">OFFSET(TblProd[[#This Row],[Lumber]],-1,0)+OFFSET(TblProd[[#This Row],[Lumber/hr]],-1,0) - TblProd[[#This Row],[Expenses Lumber]] + SUM(TblConstr[[#This Row],[Dest Hom]:[Dest Doc]])*TblConstr[[#This Row],[CPA Lumber -DB]]*tech_3_3_2*TblTech[[#This Row],[3-3]]</f>
        <v>4605</v>
      </c>
      <c r="L66" s="69" t="n">
        <f aca="false">OFFSET(TblProd[[#This Row],[Mana]],-1,0)+OFFSET(TblProd[[#This Row],[Mana/hr]],-1,0)- TblProd[[#This Row],[Expenses Mana]]</f>
        <v>514115</v>
      </c>
      <c r="M66" s="69" t="n">
        <f aca="false">OFFSET(TblProd[[#This Row],[Ore]],-1,0)+OFFSET(TblProd[[#This Row],[Ore/hr]],-1,0) -TblProd[[#This Row],[Expenses Ore]]</f>
        <v>-357</v>
      </c>
      <c r="N66" s="69" t="n">
        <f aca="false">OFFSET(TblProd[[#This Row],[Gems]],-1,0)+OFFSET(TblProd[[#This Row],[Gems/hr]],-1,0) - TblProd[[#This Row],[Expenses Gems]]</f>
        <v>-1000</v>
      </c>
      <c r="O66" s="69" t="n">
        <f aca="false">OFFSET(TblProd[[#This Row],[Boats]],-1,0)+OFFSET(TblProd[[#This Row],[Boats/hr]],-1,0)</f>
        <v>16.25</v>
      </c>
      <c r="P66" s="69" t="n">
        <f aca="false">OFFSET(TblProd[[#This Row],[Prestige]],-1,0)</f>
        <v>250</v>
      </c>
      <c r="Q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6" s="69" t="n">
        <f aca="false">MAX(3750,_xlfn.CEILING.MATH(TblProd[[#This Row],[Land]]*2.5+OFFSET(TblTech[[#This Row],[Sum of tech]],-1,0)*150))</f>
        <v>3750</v>
      </c>
      <c r="S66" s="132"/>
      <c r="T66" s="69" t="n">
        <f aca="false">ROUNDDOWN(TblProd[[#This Row],[Raw Plat/hr]]*(1+TblProd[[#This Row],[Bonus Plat/hr]]),0)</f>
        <v>47577</v>
      </c>
      <c r="U66" s="69" t="n">
        <f aca="false">ROUND(TblProd[[#This Row],[Raw Food/hr]]*(1+TblProd[[#This Row],[Bonus Food/hr]])-TblProd[[#This Row],[Food decay]]-TblProd[[#This Row],[Food eaten]],0)</f>
        <v>-4666</v>
      </c>
      <c r="V66" s="69" t="n">
        <f aca="false">ROUND(TblProd[[#This Row],[Raw Lumber/hr]]*(1+TblProd[[#This Row],[Bonus Lumber/hr]])-TblProd[[#This Row],[Lumber rot]],0)</f>
        <v>1079</v>
      </c>
      <c r="W66" s="69" t="n">
        <f aca="false">ROUND(TblProd[[#This Row],[Raw Mana/hr]]*(1+TblProd[[#This Row],[Bonus Mana/hr]])-TblProd[[#This Row],[Mana drain]],0)</f>
        <v>-9657</v>
      </c>
      <c r="X66" s="69" t="n">
        <f aca="false">ROUNDDOWN(TblProd[[#This Row],[Raw Ore/hr]]*(1+TblProd[[#This Row],[Bonux Ore/hr]]),0)</f>
        <v>0</v>
      </c>
      <c r="Y66" s="69" t="n">
        <f aca="false">ROUNDDOWN(TblProd[[#This Row],[Raw Gems/hr]]*(1+TblProd[[#This Row],[Bonus Gems/hr]]),0)</f>
        <v>0</v>
      </c>
      <c r="Z66" s="148" t="n">
        <f aca="false">OFFSET(TblConstr[[#This Row],[Tot Doc]],1,0)*dock_boats_hr * (1 + tech_4_1*TblTech[[#This Row],[4-1]])</f>
        <v>1.2</v>
      </c>
      <c r="AA66" s="146"/>
      <c r="AB66" s="69" t="n">
        <f aca="false">TblPop[[#This Row],[Peasants]]*tax*TblPop[[#This Row],[Employment]] + (Construction!AZ67+Construction!BX67)*(alch_plat+(Magic!AM66&gt;0)*alchemist_flame_bonus)</f>
        <v>43252.4</v>
      </c>
      <c r="AC66" s="69" t="n">
        <f aca="false">TblConstr[[#This Row],[Tot Farm]]*farm_food + TblConstr[[#This Row],[Tot Doc]]*dock_food</f>
        <v>3120</v>
      </c>
      <c r="AD66" s="69" t="n">
        <f aca="false">TblConstr[[#This Row],[Tot Ly]]*ly_lumber + TblConstr[[#This Row],[Tot Hav]]*fh_lumber</f>
        <v>1250</v>
      </c>
      <c r="AE66" s="69" t="n">
        <f aca="false">OFFSET(TblConstr[[#This Row],[Tot Tow]],1,0)*(tower_mana + tech_4_5*TblTech[[#This Row],[4-5]]) + OFFSET(TblConstr[[#This Row],[Tot WG]],1,0)*wg_mana_prod</f>
        <v>625</v>
      </c>
      <c r="AF66" s="69" t="n">
        <f aca="false">OFFSET(TblConstr[[#This Row],[Tot OM]],1,0)*om_ore+IF(race="Dwarf",ROUNDDOWN(TblMili[[#This Row],[Unit 2]]*0.4,0),)</f>
        <v>0</v>
      </c>
      <c r="AG66" s="69" t="n">
        <f aca="false">OFFSET(TblConstr[[#This Row],[Tot DM]],1,0)*dm_gems</f>
        <v>0</v>
      </c>
      <c r="AH66" s="132"/>
      <c r="AI66" s="149" t="n">
        <f aca="false">MIN(race_platinum_bonus + IF(TblMagic[[#This Row],[Active Alch Frost]]&gt;0,alch_frost_bonus,IF(Magic!AD66&gt;0,midas_bonus)) + TblImps[[#This Row],[Science]] - TblProd[[#This Row],[Guard]]*(0.02 + tech_5_7*TblTech[[#This Row],[5-7]]) + tech_1_5*TblTech[[#This Row],[1-5]] + tech_4_4*TblTech[[#This Row],[4-4]], 0.5)</f>
        <v>0.1</v>
      </c>
      <c r="AJ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6" s="149" t="n">
        <f aca="false">race_lumber_bonus+ IF(TblMagic[[#This Row],[Active Gaia''s Blessing]]&gt;0,gaias_blessing_lumber)+ tech_1_3*TblTech[[#This Row],[1-3]] + tech_1_6*TblTech[[#This Row],[1-6]] + tech_3_3*TblTech[[#This Row],[3-3]]</f>
        <v>-0.1</v>
      </c>
      <c r="AL66" s="149" t="n">
        <f aca="false">race_mana_bonus+ 0 + TblImps[[#This Row],[Towers]] + tech_1_2*TblTech[[#This Row],[1-2]] + tech_3_4*TblTech[[#This Row],[3-4]]</f>
        <v>0</v>
      </c>
      <c r="AM66" s="149" t="n">
        <f aca="false">race_ore_bonus + IF(TblMagic[[#This Row],[Active Miner''s Sight]]&gt;0,miners_sight_bonus,IF(TblMagic[[#This Row],[Active Mining Strength]]&gt;0,mining_strength_bonus)) +  tech_1_6*TblTech[[#This Row],[1-6]]</f>
        <v>0</v>
      </c>
      <c r="AN66" s="149" t="n">
        <f aca="false">race_gem_bonus+ tech_3_2*TblTech[[#This Row],[3-2]] + tech_4_3*TblTech[[#This Row],[4-3]] + tech_6_2*TblTech[[#This Row],[6-2]]</f>
        <v>0.15</v>
      </c>
      <c r="AO66" s="132"/>
      <c r="AP66" s="69" t="n">
        <f aca="false">TblProd[[#This Row],[Food]]*food_decay * (1 + tech_2_1*TblTech[[#This Row],[2-1]] + tech_2_8*TblTech[[#This Row],[2-8]])</f>
        <v>4877.9</v>
      </c>
      <c r="AQ66" s="69" t="n">
        <f aca="false">(1+race_food_consumption)*TblPop[[#This Row],[Total]]*food_per_person*(1+tech_1_10*TblTech[[#This Row],[1-10]]+tech_7_5*TblTech[[#This Row],[7-5]])</f>
        <v>2986.5</v>
      </c>
      <c r="AR66" s="69" t="n">
        <f aca="false">TblProd[[#This Row],[Lumber]]*lumber_rot * (1 + tech_2_1*TblTech[[#This Row],[2-1]] + tech_2_8*TblTech[[#This Row],[2-8]] + tech_5_2*TblTech[[#This Row],[5-2]])</f>
        <v>46.05</v>
      </c>
      <c r="AS66" s="69" t="n">
        <f aca="false">TblProd[[#This Row],[Mana]]*mana_drain * (1 + tech_2_1*TblTech[[#This Row],[2-1]] + tech_2_8*TblTech[[#This Row],[2-8]])</f>
        <v>10282.3</v>
      </c>
      <c r="AT66" s="146"/>
      <c r="AU66" s="69" t="n">
        <f aca="false">TblExplore[[#This Row],[Platinum (2)]]+TblConstr[[#This Row],[Total Plat Cost]]+TblMili[[#This Row],[Plat Cost]]+TblRezone[[#This Row],[Platinum cost]]+TblImps[[#This Row],[P1]]-TblProd[[#This Row],[Bank Plat]]</f>
        <v>6005</v>
      </c>
      <c r="AV66" s="69" t="n">
        <f aca="false">TblConstr[[#This Row],[Total Lum Cost]]+TblImps[[#This Row],[L1]]-TblProd[[#This Row],[Bank Lumber]] + Military!$CL$25*TblMili[[#This Row],[Sec. rec. Cost]]</f>
        <v>1025</v>
      </c>
      <c r="AW66" s="69" t="n">
        <f aca="false">TblMagic[[#This Row],[Mana cost]] + Military!$CL$26*TblMili[[#This Row],[Sec. rec. Cost]]</f>
        <v>0</v>
      </c>
      <c r="AX66" s="69" t="n">
        <f aca="false">Military!$CL$24*TblMili[[#This Row],[Sec. rec. Cost]]+TblImps[[#This Row],[O1]]-TblProd[[#This Row],[Bank Ore]]</f>
        <v>0</v>
      </c>
      <c r="AY66" s="69" t="n">
        <f aca="false">TblImps[[#This Row],[G1]]-TblProd[[#This Row],[Bank Gems]]</f>
        <v>0</v>
      </c>
      <c r="AZ66" s="132"/>
      <c r="BA66" s="33" t="n">
        <f aca="false">IF(TblProd[[#This Row],[Set Guard]]&lt;&gt;"",TblProd[[#This Row],[Set Guard]],OFFSET(TblProd[[#This Row],[Guard]],-1,0))</f>
        <v>0</v>
      </c>
      <c r="BB66" s="145"/>
      <c r="BC66" s="151" t="n">
        <f aca="false">TblProd[[#This Row],[Hour]]</f>
        <v>63</v>
      </c>
      <c r="BD66" s="152" t="n">
        <f aca="false">-TblProd[[#This Row],[Bank Lumber]] / 2 + -TblProd[[#This Row],[Bank Gems]] * 2 + -TblProd[[#This Row],[Bank Ore]] / 2</f>
        <v>0</v>
      </c>
      <c r="BE66" s="152"/>
      <c r="BF66" s="152"/>
      <c r="BG66" s="152"/>
      <c r="BH66" s="153" t="n">
        <f aca="false">TblProd[[#This Row],[Time]]</f>
        <v>45432.3333333333</v>
      </c>
      <c r="BI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J66" s="69" t="n">
        <f aca="false">TblProd[[#This Row],[Platinum]]</f>
        <v>89119</v>
      </c>
      <c r="BK66" s="69" t="n">
        <f aca="false">TblProd[[#This Row],[Food]]</f>
        <v>487790</v>
      </c>
      <c r="BL66" s="69" t="n">
        <f aca="false">TblProd[[#This Row],[Lumber]]</f>
        <v>4605</v>
      </c>
      <c r="BM66" s="69" t="n">
        <f aca="false">TblProd[[#This Row],[Mana]]</f>
        <v>514115</v>
      </c>
      <c r="BN66" s="69" t="n">
        <f aca="false">TblProd[[#This Row],[Ore]]</f>
        <v>-357</v>
      </c>
    </row>
    <row r="67" customFormat="false" ht="12.75" hidden="false" customHeight="false" outlineLevel="0" collapsed="false">
      <c r="A67" s="128" t="n">
        <v>64</v>
      </c>
      <c r="B67" s="144" t="n">
        <f aca="false">TblImps[[#This Row],[Time]]</f>
        <v>45432.375</v>
      </c>
      <c r="C67" s="145"/>
      <c r="D67" s="146"/>
      <c r="E67" s="69" t="n">
        <f aca="false">TblConstr[[#This Row],[Land]]</f>
        <v>700</v>
      </c>
      <c r="F67" s="69" t="n">
        <f aca="false">TblPop[[#This Row],[Peasants]]</f>
        <v>10230</v>
      </c>
      <c r="G67" s="69"/>
      <c r="H67" s="69" t="e">
        <f aca="false">TblMili[[#This Row],[Networth (2)]]</f>
        <v>#VALUE!</v>
      </c>
      <c r="I67" s="69" t="n">
        <f aca="false">OFFSET(TblProd[[#This Row],[Platinum]],-1,0)+OFFSET(TblProd[[#This Row],[Plat/hr]],-1,0) - TblProd[[#This Row],[Expenses Platinum]] + IF(TblProd[[#This Row],[Plat Bonus]],TblPop[[#This Row],[Peasants]]*4) + SUM(TblConstr[[#This Row],[Dest Hom]:[Dest Doc]])*TblConstr[[#This Row],[CPA Platinum -DB]]*tech_3_3_2*TblTech[[#This Row],[3-3]]</f>
        <v>-14</v>
      </c>
      <c r="J67" s="69" t="n">
        <f aca="false">OFFSET(TblProd[[#This Row],[Food]],-1,0)+OFFSET(TblProd[[#This Row],[Food/hr]],-1,0)+ROUNDUP((TblConstr[[#This Row],[Farms]]*80+TblConstr[[#This Row],[Docks]]*35)*(1+OFFSET(TblProd[[#This Row],[Bonus Food/hr]],-1,0)),0)</f>
        <v>483288</v>
      </c>
      <c r="K67" s="69" t="n">
        <f aca="false">OFFSET(TblProd[[#This Row],[Lumber]],-1,0)+OFFSET(TblProd[[#This Row],[Lumber/hr]],-1,0) - TblProd[[#This Row],[Expenses Lumber]] + SUM(TblConstr[[#This Row],[Dest Hom]:[Dest Doc]])*TblConstr[[#This Row],[CPA Lumber -DB]]*tech_3_3_2*TblTech[[#This Row],[3-3]]</f>
        <v>5260</v>
      </c>
      <c r="L67" s="69" t="n">
        <f aca="false">OFFSET(TblProd[[#This Row],[Mana]],-1,0)+OFFSET(TblProd[[#This Row],[Mana/hr]],-1,0)- TblProd[[#This Row],[Expenses Mana]]</f>
        <v>502708</v>
      </c>
      <c r="M67" s="69" t="n">
        <f aca="false">OFFSET(TblProd[[#This Row],[Ore]],-1,0)+OFFSET(TblProd[[#This Row],[Ore/hr]],-1,0) -TblProd[[#This Row],[Expenses Ore]]</f>
        <v>-357</v>
      </c>
      <c r="N67" s="69" t="n">
        <f aca="false">OFFSET(TblProd[[#This Row],[Gems]],-1,0)+OFFSET(TblProd[[#This Row],[Gems/hr]],-1,0) - TblProd[[#This Row],[Expenses Gems]]</f>
        <v>-1000</v>
      </c>
      <c r="O67" s="69" t="n">
        <f aca="false">OFFSET(TblProd[[#This Row],[Boats]],-1,0)+OFFSET(TblProd[[#This Row],[Boats/hr]],-1,0)</f>
        <v>17.45</v>
      </c>
      <c r="P67" s="69" t="n">
        <f aca="false">OFFSET(TblProd[[#This Row],[Prestige]],-1,0)</f>
        <v>250</v>
      </c>
      <c r="Q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7" s="69" t="n">
        <f aca="false">MAX(3750,_xlfn.CEILING.MATH(TblProd[[#This Row],[Land]]*2.5+OFFSET(TblTech[[#This Row],[Sum of tech]],-1,0)*150))</f>
        <v>3750</v>
      </c>
      <c r="S67" s="132"/>
      <c r="T67" s="69" t="n">
        <f aca="false">ROUNDDOWN(TblProd[[#This Row],[Raw Plat/hr]]*(1+TblProd[[#This Row],[Bonus Plat/hr]]),0)</f>
        <v>47928</v>
      </c>
      <c r="U67" s="69" t="n">
        <f aca="false">ROUND(TblProd[[#This Row],[Raw Food/hr]]*(1+TblProd[[#This Row],[Bonus Food/hr]])-TblProd[[#This Row],[Food decay]]-TblProd[[#This Row],[Food eaten]],0)</f>
        <v>-4512</v>
      </c>
      <c r="V67" s="69" t="n">
        <f aca="false">ROUND(TblProd[[#This Row],[Raw Lumber/hr]]*(1+TblProd[[#This Row],[Bonus Lumber/hr]])-TblProd[[#This Row],[Lumber rot]],0)</f>
        <v>1072</v>
      </c>
      <c r="W67" s="69" t="n">
        <f aca="false">ROUND(TblProd[[#This Row],[Raw Mana/hr]]*(1+TblProd[[#This Row],[Bonus Mana/hr]])-TblProd[[#This Row],[Mana drain]],0)</f>
        <v>-9429</v>
      </c>
      <c r="X67" s="69" t="n">
        <f aca="false">ROUNDDOWN(TblProd[[#This Row],[Raw Ore/hr]]*(1+TblProd[[#This Row],[Bonux Ore/hr]]),0)</f>
        <v>0</v>
      </c>
      <c r="Y67" s="69" t="n">
        <f aca="false">ROUNDDOWN(TblProd[[#This Row],[Raw Gems/hr]]*(1+TblProd[[#This Row],[Bonus Gems/hr]]),0)</f>
        <v>0</v>
      </c>
      <c r="Z67" s="148" t="n">
        <f aca="false">OFFSET(TblConstr[[#This Row],[Tot Doc]],1,0)*dock_boats_hr * (1 + tech_4_1*TblTech[[#This Row],[4-1]])</f>
        <v>1.2</v>
      </c>
      <c r="AA67" s="146"/>
      <c r="AB67" s="69" t="n">
        <f aca="false">TblPop[[#This Row],[Peasants]]*tax*TblPop[[#This Row],[Employment]] + (Construction!AZ68+Construction!BX68)*(alch_plat+(Magic!AM67&gt;0)*alchemist_flame_bonus)</f>
        <v>43571</v>
      </c>
      <c r="AC67" s="69" t="n">
        <f aca="false">TblConstr[[#This Row],[Tot Farm]]*farm_food + TblConstr[[#This Row],[Tot Doc]]*dock_food</f>
        <v>3280</v>
      </c>
      <c r="AD67" s="69" t="n">
        <f aca="false">TblConstr[[#This Row],[Tot Ly]]*ly_lumber + TblConstr[[#This Row],[Tot Hav]]*fh_lumber</f>
        <v>1250</v>
      </c>
      <c r="AE67" s="69" t="n">
        <f aca="false">OFFSET(TblConstr[[#This Row],[Tot Tow]],1,0)*(tower_mana + tech_4_5*TblTech[[#This Row],[4-5]]) + OFFSET(TblConstr[[#This Row],[Tot WG]],1,0)*wg_mana_prod</f>
        <v>625</v>
      </c>
      <c r="AF67" s="69" t="n">
        <f aca="false">OFFSET(TblConstr[[#This Row],[Tot OM]],1,0)*om_ore+IF(race="Dwarf",ROUNDDOWN(TblMili[[#This Row],[Unit 2]]*0.4,0),)</f>
        <v>0</v>
      </c>
      <c r="AG67" s="69" t="n">
        <f aca="false">OFFSET(TblConstr[[#This Row],[Tot DM]],1,0)*dm_gems</f>
        <v>0</v>
      </c>
      <c r="AH67" s="132"/>
      <c r="AI67" s="149" t="n">
        <f aca="false">MIN(race_platinum_bonus + IF(TblMagic[[#This Row],[Active Alch Frost]]&gt;0,alch_frost_bonus,IF(Magic!AD67&gt;0,midas_bonus)) + TblImps[[#This Row],[Science]] - TblProd[[#This Row],[Guard]]*(0.02 + tech_5_7*TblTech[[#This Row],[5-7]]) + tech_1_5*TblTech[[#This Row],[1-5]] + tech_4_4*TblTech[[#This Row],[4-4]], 0.5)</f>
        <v>0.1</v>
      </c>
      <c r="AJ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7" s="149" t="n">
        <f aca="false">race_lumber_bonus+ IF(TblMagic[[#This Row],[Active Gaia''s Blessing]]&gt;0,gaias_blessing_lumber)+ tech_1_3*TblTech[[#This Row],[1-3]] + tech_1_6*TblTech[[#This Row],[1-6]] + tech_3_3*TblTech[[#This Row],[3-3]]</f>
        <v>-0.1</v>
      </c>
      <c r="AL67" s="149" t="n">
        <f aca="false">race_mana_bonus+ 0 + TblImps[[#This Row],[Towers]] + tech_1_2*TblTech[[#This Row],[1-2]] + tech_3_4*TblTech[[#This Row],[3-4]]</f>
        <v>0</v>
      </c>
      <c r="AM67" s="149" t="n">
        <f aca="false">race_ore_bonus + IF(TblMagic[[#This Row],[Active Miner''s Sight]]&gt;0,miners_sight_bonus,IF(TblMagic[[#This Row],[Active Mining Strength]]&gt;0,mining_strength_bonus)) +  tech_1_6*TblTech[[#This Row],[1-6]]</f>
        <v>0</v>
      </c>
      <c r="AN67" s="149" t="n">
        <f aca="false">race_gem_bonus+ tech_3_2*TblTech[[#This Row],[3-2]] + tech_4_3*TblTech[[#This Row],[4-3]] + tech_6_2*TblTech[[#This Row],[6-2]]</f>
        <v>0.15</v>
      </c>
      <c r="AO67" s="132"/>
      <c r="AP67" s="69" t="n">
        <f aca="false">TblProd[[#This Row],[Food]]*food_decay * (1 + tech_2_1*TblTech[[#This Row],[2-1]] + tech_2_8*TblTech[[#This Row],[2-8]])</f>
        <v>4832.88</v>
      </c>
      <c r="AQ67" s="69" t="n">
        <f aca="false">(1+race_food_consumption)*TblPop[[#This Row],[Total]]*food_per_person*(1+tech_1_10*TblTech[[#This Row],[1-10]]+tech_7_5*TblTech[[#This Row],[7-5]])</f>
        <v>3041.25</v>
      </c>
      <c r="AR67" s="69" t="n">
        <f aca="false">TblProd[[#This Row],[Lumber]]*lumber_rot * (1 + tech_2_1*TblTech[[#This Row],[2-1]] + tech_2_8*TblTech[[#This Row],[2-8]] + tech_5_2*TblTech[[#This Row],[5-2]])</f>
        <v>52.6</v>
      </c>
      <c r="AS67" s="69" t="n">
        <f aca="false">TblProd[[#This Row],[Mana]]*mana_drain * (1 + tech_2_1*TblTech[[#This Row],[2-1]] + tech_2_8*TblTech[[#This Row],[2-8]])</f>
        <v>10054.16</v>
      </c>
      <c r="AT67" s="146"/>
      <c r="AU67" s="69" t="n">
        <f aca="false">TblExplore[[#This Row],[Platinum (2)]]+TblConstr[[#This Row],[Total Plat Cost]]+TblMili[[#This Row],[Plat Cost]]+TblRezone[[#This Row],[Platinum cost]]+TblImps[[#This Row],[P1]]-TblProd[[#This Row],[Bank Plat]]</f>
        <v>136710</v>
      </c>
      <c r="AV67" s="69" t="n">
        <f aca="false">TblConstr[[#This Row],[Total Lum Cost]]+TblImps[[#This Row],[L1]]-TblProd[[#This Row],[Bank Lumber]] + Military!$CL$25*TblMili[[#This Row],[Sec. rec. Cost]]</f>
        <v>424</v>
      </c>
      <c r="AW67" s="69" t="n">
        <f aca="false">TblMagic[[#This Row],[Mana cost]] + Military!$CL$26*TblMili[[#This Row],[Sec. rec. Cost]]</f>
        <v>1750</v>
      </c>
      <c r="AX67" s="69" t="n">
        <f aca="false">Military!$CL$24*TblMili[[#This Row],[Sec. rec. Cost]]+TblImps[[#This Row],[O1]]-TblProd[[#This Row],[Bank Ore]]</f>
        <v>0</v>
      </c>
      <c r="AY67" s="69" t="n">
        <f aca="false">TblImps[[#This Row],[G1]]-TblProd[[#This Row],[Bank Gems]]</f>
        <v>0</v>
      </c>
      <c r="AZ67" s="132"/>
      <c r="BA67" s="33" t="n">
        <f aca="false">IF(TblProd[[#This Row],[Set Guard]]&lt;&gt;"",TblProd[[#This Row],[Set Guard]],OFFSET(TblProd[[#This Row],[Guard]],-1,0))</f>
        <v>0</v>
      </c>
      <c r="BB67" s="145"/>
      <c r="BC67" s="151" t="n">
        <f aca="false">TblProd[[#This Row],[Hour]]</f>
        <v>64</v>
      </c>
      <c r="BD67" s="152" t="n">
        <f aca="false">-TblProd[[#This Row],[Bank Lumber]] / 2 + -TblProd[[#This Row],[Bank Gems]] * 2 + -TblProd[[#This Row],[Bank Ore]] / 2</f>
        <v>0</v>
      </c>
      <c r="BE67" s="152"/>
      <c r="BF67" s="152"/>
      <c r="BG67" s="152"/>
      <c r="BH67" s="153" t="n">
        <f aca="false">TblProd[[#This Row],[Time]]</f>
        <v>45432.375</v>
      </c>
      <c r="BI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J67" s="69" t="n">
        <f aca="false">TblProd[[#This Row],[Platinum]]</f>
        <v>-14</v>
      </c>
      <c r="BK67" s="69" t="n">
        <f aca="false">TblProd[[#This Row],[Food]]</f>
        <v>483288</v>
      </c>
      <c r="BL67" s="69" t="n">
        <f aca="false">TblProd[[#This Row],[Lumber]]</f>
        <v>5260</v>
      </c>
      <c r="BM67" s="69" t="n">
        <f aca="false">TblProd[[#This Row],[Mana]]</f>
        <v>502708</v>
      </c>
      <c r="BN67" s="69" t="n">
        <f aca="false">TblProd[[#This Row],[Ore]]</f>
        <v>-357</v>
      </c>
    </row>
    <row r="68" customFormat="false" ht="12.75" hidden="false" customHeight="false" outlineLevel="0" collapsed="false">
      <c r="A68" s="128" t="n">
        <v>65</v>
      </c>
      <c r="B68" s="144" t="n">
        <f aca="false">TblImps[[#This Row],[Time]]</f>
        <v>45432.4166666667</v>
      </c>
      <c r="C68" s="145"/>
      <c r="D68" s="146"/>
      <c r="E68" s="69" t="n">
        <f aca="false">TblConstr[[#This Row],[Land]]</f>
        <v>700</v>
      </c>
      <c r="F68" s="69" t="n">
        <f aca="false">TblPop[[#This Row],[Peasants]]</f>
        <v>10346</v>
      </c>
      <c r="G68" s="69"/>
      <c r="H68" s="69" t="e">
        <f aca="false">TblMili[[#This Row],[Networth (2)]]</f>
        <v>#VALUE!</v>
      </c>
      <c r="I68" s="69" t="n">
        <f aca="false">OFFSET(TblProd[[#This Row],[Platinum]],-1,0)+OFFSET(TblProd[[#This Row],[Plat/hr]],-1,0) - TblProd[[#This Row],[Expenses Platinum]] + IF(TblProd[[#This Row],[Plat Bonus]],TblPop[[#This Row],[Peasants]]*4) + SUM(TblConstr[[#This Row],[Dest Hom]:[Dest Doc]])*TblConstr[[#This Row],[CPA Platinum -DB]]*tech_3_3_2*TblTech[[#This Row],[3-3]]</f>
        <v>28906</v>
      </c>
      <c r="J68" s="69" t="n">
        <f aca="false">OFFSET(TblProd[[#This Row],[Food]],-1,0)+OFFSET(TblProd[[#This Row],[Food/hr]],-1,0)+ROUNDUP((TblConstr[[#This Row],[Farms]]*80+TblConstr[[#This Row],[Docks]]*35)*(1+OFFSET(TblProd[[#This Row],[Bonus Food/hr]],-1,0)),0)</f>
        <v>478776</v>
      </c>
      <c r="K68" s="69" t="n">
        <f aca="false">OFFSET(TblProd[[#This Row],[Lumber]],-1,0)+OFFSET(TblProd[[#This Row],[Lumber/hr]],-1,0) - TblProd[[#This Row],[Expenses Lumber]] + SUM(TblConstr[[#This Row],[Dest Hom]:[Dest Doc]])*TblConstr[[#This Row],[CPA Lumber -DB]]*tech_3_3_2*TblTech[[#This Row],[3-3]]</f>
        <v>6332</v>
      </c>
      <c r="L68" s="69" t="n">
        <f aca="false">OFFSET(TblProd[[#This Row],[Mana]],-1,0)+OFFSET(TblProd[[#This Row],[Mana/hr]],-1,0)- TblProd[[#This Row],[Expenses Mana]]</f>
        <v>493279</v>
      </c>
      <c r="M68" s="69" t="n">
        <f aca="false">OFFSET(TblProd[[#This Row],[Ore]],-1,0)+OFFSET(TblProd[[#This Row],[Ore/hr]],-1,0) -TblProd[[#This Row],[Expenses Ore]]</f>
        <v>-357</v>
      </c>
      <c r="N68" s="69" t="n">
        <f aca="false">OFFSET(TblProd[[#This Row],[Gems]],-1,0)+OFFSET(TblProd[[#This Row],[Gems/hr]],-1,0) - TblProd[[#This Row],[Expenses Gems]]</f>
        <v>-1000</v>
      </c>
      <c r="O68" s="69" t="n">
        <f aca="false">OFFSET(TblProd[[#This Row],[Boats]],-1,0)+OFFSET(TblProd[[#This Row],[Boats/hr]],-1,0)</f>
        <v>18.65</v>
      </c>
      <c r="P68" s="69" t="n">
        <f aca="false">OFFSET(TblProd[[#This Row],[Prestige]],-1,0)</f>
        <v>250</v>
      </c>
      <c r="Q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8" s="69" t="n">
        <f aca="false">MAX(3750,_xlfn.CEILING.MATH(TblProd[[#This Row],[Land]]*2.5+OFFSET(TblTech[[#This Row],[Sum of tech]],-1,0)*150))</f>
        <v>3750</v>
      </c>
      <c r="S68" s="132"/>
      <c r="T68" s="69" t="n">
        <f aca="false">ROUNDDOWN(TblProd[[#This Row],[Raw Plat/hr]]*(1+TblProd[[#This Row],[Bonus Plat/hr]]),0)</f>
        <v>48272</v>
      </c>
      <c r="U68" s="69" t="n">
        <f aca="false">ROUND(TblProd[[#This Row],[Raw Food/hr]]*(1+TblProd[[#This Row],[Bonus Food/hr]])-TblProd[[#This Row],[Food decay]]-TblProd[[#This Row],[Food eaten]],0)</f>
        <v>-4522</v>
      </c>
      <c r="V68" s="69" t="n">
        <f aca="false">ROUND(TblProd[[#This Row],[Raw Lumber/hr]]*(1+TblProd[[#This Row],[Bonus Lumber/hr]])-TblProd[[#This Row],[Lumber rot]],0)</f>
        <v>1062</v>
      </c>
      <c r="W68" s="69" t="n">
        <f aca="false">ROUND(TblProd[[#This Row],[Raw Mana/hr]]*(1+TblProd[[#This Row],[Bonus Mana/hr]])-TblProd[[#This Row],[Mana drain]],0)</f>
        <v>-9241</v>
      </c>
      <c r="X68" s="69" t="n">
        <f aca="false">ROUNDDOWN(TblProd[[#This Row],[Raw Ore/hr]]*(1+TblProd[[#This Row],[Bonux Ore/hr]]),0)</f>
        <v>0</v>
      </c>
      <c r="Y68" s="69" t="n">
        <f aca="false">ROUNDDOWN(TblProd[[#This Row],[Raw Gems/hr]]*(1+TblProd[[#This Row],[Bonus Gems/hr]]),0)</f>
        <v>0</v>
      </c>
      <c r="Z68" s="148" t="n">
        <f aca="false">OFFSET(TblConstr[[#This Row],[Tot Doc]],1,0)*dock_boats_hr * (1 + tech_4_1*TblTech[[#This Row],[4-1]])</f>
        <v>1.2</v>
      </c>
      <c r="AA68" s="146"/>
      <c r="AB68" s="69" t="n">
        <f aca="false">TblPop[[#This Row],[Peasants]]*tax*TblPop[[#This Row],[Employment]] + (Construction!AZ69+Construction!BX69)*(alch_plat+(Magic!AM68&gt;0)*alchemist_flame_bonus)</f>
        <v>43884.2</v>
      </c>
      <c r="AC68" s="69" t="n">
        <f aca="false">TblConstr[[#This Row],[Tot Farm]]*farm_food + TblConstr[[#This Row],[Tot Doc]]*dock_food</f>
        <v>3280</v>
      </c>
      <c r="AD68" s="69" t="n">
        <f aca="false">TblConstr[[#This Row],[Tot Ly]]*ly_lumber + TblConstr[[#This Row],[Tot Hav]]*fh_lumber</f>
        <v>1250</v>
      </c>
      <c r="AE68" s="69" t="n">
        <f aca="false">OFFSET(TblConstr[[#This Row],[Tot Tow]],1,0)*(tower_mana + tech_4_5*TblTech[[#This Row],[4-5]]) + OFFSET(TblConstr[[#This Row],[Tot WG]],1,0)*wg_mana_prod</f>
        <v>625</v>
      </c>
      <c r="AF68" s="69" t="n">
        <f aca="false">OFFSET(TblConstr[[#This Row],[Tot OM]],1,0)*om_ore+IF(race="Dwarf",ROUNDDOWN(TblMili[[#This Row],[Unit 2]]*0.4,0),)</f>
        <v>0</v>
      </c>
      <c r="AG68" s="69" t="n">
        <f aca="false">OFFSET(TblConstr[[#This Row],[Tot DM]],1,0)*dm_gems</f>
        <v>0</v>
      </c>
      <c r="AH68" s="132"/>
      <c r="AI68" s="149" t="n">
        <f aca="false">MIN(race_platinum_bonus + IF(TblMagic[[#This Row],[Active Alch Frost]]&gt;0,alch_frost_bonus,IF(Magic!AD68&gt;0,midas_bonus)) + TblImps[[#This Row],[Science]] - TblProd[[#This Row],[Guard]]*(0.02 + tech_5_7*TblTech[[#This Row],[5-7]]) + tech_1_5*TblTech[[#This Row],[1-5]] + tech_4_4*TblTech[[#This Row],[4-4]], 0.5)</f>
        <v>0.1</v>
      </c>
      <c r="AJ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8" s="149" t="n">
        <f aca="false">race_lumber_bonus+ IF(TblMagic[[#This Row],[Active Gaia''s Blessing]]&gt;0,gaias_blessing_lumber)+ tech_1_3*TblTech[[#This Row],[1-3]] + tech_1_6*TblTech[[#This Row],[1-6]] + tech_3_3*TblTech[[#This Row],[3-3]]</f>
        <v>-0.1</v>
      </c>
      <c r="AL68" s="149" t="n">
        <f aca="false">race_mana_bonus+ 0 + TblImps[[#This Row],[Towers]] + tech_1_2*TblTech[[#This Row],[1-2]] + tech_3_4*TblTech[[#This Row],[3-4]]</f>
        <v>0</v>
      </c>
      <c r="AM68" s="149" t="n">
        <f aca="false">race_ore_bonus + IF(TblMagic[[#This Row],[Active Miner''s Sight]]&gt;0,miners_sight_bonus,IF(TblMagic[[#This Row],[Active Mining Strength]]&gt;0,mining_strength_bonus)) +  tech_1_6*TblTech[[#This Row],[1-6]]</f>
        <v>0</v>
      </c>
      <c r="AN68" s="149" t="n">
        <f aca="false">race_gem_bonus+ tech_3_2*TblTech[[#This Row],[3-2]] + tech_4_3*TblTech[[#This Row],[4-3]] + tech_6_2*TblTech[[#This Row],[6-2]]</f>
        <v>0.15</v>
      </c>
      <c r="AO68" s="132"/>
      <c r="AP68" s="69" t="n">
        <f aca="false">TblProd[[#This Row],[Food]]*food_decay * (1 + tech_2_1*TblTech[[#This Row],[2-1]] + tech_2_8*TblTech[[#This Row],[2-8]])</f>
        <v>4787.76</v>
      </c>
      <c r="AQ68" s="69" t="n">
        <f aca="false">(1+race_food_consumption)*TblPop[[#This Row],[Total]]*food_per_person*(1+tech_1_10*TblTech[[#This Row],[1-10]]+tech_7_5*TblTech[[#This Row],[7-5]])</f>
        <v>3095.75</v>
      </c>
      <c r="AR68" s="69" t="n">
        <f aca="false">TblProd[[#This Row],[Lumber]]*lumber_rot * (1 + tech_2_1*TblTech[[#This Row],[2-1]] + tech_2_8*TblTech[[#This Row],[2-8]] + tech_5_2*TblTech[[#This Row],[5-2]])</f>
        <v>63.32</v>
      </c>
      <c r="AS68" s="69" t="n">
        <f aca="false">TblProd[[#This Row],[Mana]]*mana_drain * (1 + tech_2_1*TblTech[[#This Row],[2-1]] + tech_2_8*TblTech[[#This Row],[2-8]])</f>
        <v>9865.58</v>
      </c>
      <c r="AT68" s="146"/>
      <c r="AU68" s="69" t="n">
        <f aca="false">TblExplore[[#This Row],[Platinum (2)]]+TblConstr[[#This Row],[Total Plat Cost]]+TblMili[[#This Row],[Plat Cost]]+TblRezone[[#This Row],[Platinum cost]]+TblImps[[#This Row],[P1]]-TblProd[[#This Row],[Bank Plat]]</f>
        <v>19008</v>
      </c>
      <c r="AV68" s="69" t="n">
        <f aca="false">TblConstr[[#This Row],[Total Lum Cost]]+TblImps[[#This Row],[L1]]-TblProd[[#This Row],[Bank Lumber]] + Military!$CL$25*TblMili[[#This Row],[Sec. rec. Cost]]</f>
        <v>0</v>
      </c>
      <c r="AW68" s="69" t="n">
        <f aca="false">TblMagic[[#This Row],[Mana cost]] + Military!$CL$26*TblMili[[#This Row],[Sec. rec. Cost]]</f>
        <v>0</v>
      </c>
      <c r="AX68" s="69" t="n">
        <f aca="false">Military!$CL$24*TblMili[[#This Row],[Sec. rec. Cost]]+TblImps[[#This Row],[O1]]-TblProd[[#This Row],[Bank Ore]]</f>
        <v>0</v>
      </c>
      <c r="AY68" s="69" t="n">
        <f aca="false">TblImps[[#This Row],[G1]]-TblProd[[#This Row],[Bank Gems]]</f>
        <v>0</v>
      </c>
      <c r="AZ68" s="132"/>
      <c r="BA68" s="33" t="n">
        <f aca="false">IF(TblProd[[#This Row],[Set Guard]]&lt;&gt;"",TblProd[[#This Row],[Set Guard]],OFFSET(TblProd[[#This Row],[Guard]],-1,0))</f>
        <v>0</v>
      </c>
      <c r="BB68" s="145"/>
      <c r="BC68" s="151" t="n">
        <f aca="false">TblProd[[#This Row],[Hour]]</f>
        <v>65</v>
      </c>
      <c r="BD68" s="152" t="n">
        <f aca="false">-TblProd[[#This Row],[Bank Lumber]] / 2 + -TblProd[[#This Row],[Bank Gems]] * 2 + -TblProd[[#This Row],[Bank Ore]] / 2</f>
        <v>0</v>
      </c>
      <c r="BE68" s="152"/>
      <c r="BF68" s="152"/>
      <c r="BG68" s="152"/>
      <c r="BH68" s="153" t="n">
        <f aca="false">TblProd[[#This Row],[Time]]</f>
        <v>45432.4166666667</v>
      </c>
      <c r="BI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J68" s="69" t="n">
        <f aca="false">TblProd[[#This Row],[Platinum]]</f>
        <v>28906</v>
      </c>
      <c r="BK68" s="69" t="n">
        <f aca="false">TblProd[[#This Row],[Food]]</f>
        <v>478776</v>
      </c>
      <c r="BL68" s="69" t="n">
        <f aca="false">TblProd[[#This Row],[Lumber]]</f>
        <v>6332</v>
      </c>
      <c r="BM68" s="69" t="n">
        <f aca="false">TblProd[[#This Row],[Mana]]</f>
        <v>493279</v>
      </c>
      <c r="BN68" s="69" t="n">
        <f aca="false">TblProd[[#This Row],[Ore]]</f>
        <v>-357</v>
      </c>
    </row>
    <row r="69" customFormat="false" ht="12.75" hidden="false" customHeight="false" outlineLevel="0" collapsed="false">
      <c r="A69" s="128" t="n">
        <v>66</v>
      </c>
      <c r="B69" s="144" t="n">
        <f aca="false">TblImps[[#This Row],[Time]]</f>
        <v>45432.4583333333</v>
      </c>
      <c r="C69" s="145"/>
      <c r="D69" s="146"/>
      <c r="E69" s="69" t="n">
        <f aca="false">TblConstr[[#This Row],[Land]]</f>
        <v>700</v>
      </c>
      <c r="F69" s="69" t="n">
        <f aca="false">TblPop[[#This Row],[Peasants]]</f>
        <v>10481</v>
      </c>
      <c r="G69" s="69"/>
      <c r="H69" s="69" t="e">
        <f aca="false">TblMili[[#This Row],[Networth (2)]]</f>
        <v>#VALUE!</v>
      </c>
      <c r="I69" s="69" t="n">
        <f aca="false">OFFSET(TblProd[[#This Row],[Platinum]],-1,0)+OFFSET(TblProd[[#This Row],[Plat/hr]],-1,0) - TblProd[[#This Row],[Expenses Platinum]] + IF(TblProd[[#This Row],[Plat Bonus]],TblPop[[#This Row],[Peasants]]*4) + SUM(TblConstr[[#This Row],[Dest Hom]:[Dest Doc]])*TblConstr[[#This Row],[CPA Platinum -DB]]*tech_3_3_2*TblTech[[#This Row],[3-3]]</f>
        <v>57978</v>
      </c>
      <c r="J69" s="69" t="n">
        <f aca="false">OFFSET(TblProd[[#This Row],[Food]],-1,0)+OFFSET(TblProd[[#This Row],[Food/hr]],-1,0)+ROUNDUP((TblConstr[[#This Row],[Farms]]*80+TblConstr[[#This Row],[Docks]]*35)*(1+OFFSET(TblProd[[#This Row],[Bonus Food/hr]],-1,0)),0)</f>
        <v>474254</v>
      </c>
      <c r="K69" s="69" t="n">
        <f aca="false">OFFSET(TblProd[[#This Row],[Lumber]],-1,0)+OFFSET(TblProd[[#This Row],[Lumber/hr]],-1,0) - TblProd[[#This Row],[Expenses Lumber]] + SUM(TblConstr[[#This Row],[Dest Hom]:[Dest Doc]])*TblConstr[[#This Row],[CPA Lumber -DB]]*tech_3_3_2*TblTech[[#This Row],[3-3]]</f>
        <v>7394</v>
      </c>
      <c r="L69" s="69" t="n">
        <f aca="false">OFFSET(TblProd[[#This Row],[Mana]],-1,0)+OFFSET(TblProd[[#This Row],[Mana/hr]],-1,0)- TblProd[[#This Row],[Expenses Mana]]</f>
        <v>484038</v>
      </c>
      <c r="M69" s="69" t="n">
        <f aca="false">OFFSET(TblProd[[#This Row],[Ore]],-1,0)+OFFSET(TblProd[[#This Row],[Ore/hr]],-1,0) -TblProd[[#This Row],[Expenses Ore]]</f>
        <v>-357</v>
      </c>
      <c r="N69" s="69" t="n">
        <f aca="false">OFFSET(TblProd[[#This Row],[Gems]],-1,0)+OFFSET(TblProd[[#This Row],[Gems/hr]],-1,0) - TblProd[[#This Row],[Expenses Gems]]</f>
        <v>-1000</v>
      </c>
      <c r="O69" s="69" t="n">
        <f aca="false">OFFSET(TblProd[[#This Row],[Boats]],-1,0)+OFFSET(TblProd[[#This Row],[Boats/hr]],-1,0)</f>
        <v>19.85</v>
      </c>
      <c r="P69" s="69" t="n">
        <f aca="false">OFFSET(TblProd[[#This Row],[Prestige]],-1,0)</f>
        <v>250</v>
      </c>
      <c r="Q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9" s="69" t="n">
        <f aca="false">MAX(3750,_xlfn.CEILING.MATH(TblProd[[#This Row],[Land]]*2.5+OFFSET(TblTech[[#This Row],[Sum of tech]],-1,0)*150))</f>
        <v>3750</v>
      </c>
      <c r="S69" s="132"/>
      <c r="T69" s="69" t="n">
        <f aca="false">ROUNDDOWN(TblProd[[#This Row],[Raw Plat/hr]]*(1+TblProd[[#This Row],[Bonus Plat/hr]]),0)</f>
        <v>48673</v>
      </c>
      <c r="U69" s="69" t="n">
        <f aca="false">ROUND(TblProd[[#This Row],[Raw Food/hr]]*(1+TblProd[[#This Row],[Bonus Food/hr]])-TblProd[[#This Row],[Food decay]]-TblProd[[#This Row],[Food eaten]],0)</f>
        <v>-4536</v>
      </c>
      <c r="V69" s="69" t="n">
        <f aca="false">ROUND(TblProd[[#This Row],[Raw Lumber/hr]]*(1+TblProd[[#This Row],[Bonus Lumber/hr]])-TblProd[[#This Row],[Lumber rot]],0)</f>
        <v>1051</v>
      </c>
      <c r="W69" s="69" t="n">
        <f aca="false">ROUND(TblProd[[#This Row],[Raw Mana/hr]]*(1+TblProd[[#This Row],[Bonus Mana/hr]])-TblProd[[#This Row],[Mana drain]],0)</f>
        <v>-8956</v>
      </c>
      <c r="X69" s="69" t="n">
        <f aca="false">ROUNDDOWN(TblProd[[#This Row],[Raw Ore/hr]]*(1+TblProd[[#This Row],[Bonux Ore/hr]]),0)</f>
        <v>0</v>
      </c>
      <c r="Y69" s="69" t="n">
        <f aca="false">ROUNDDOWN(TblProd[[#This Row],[Raw Gems/hr]]*(1+TblProd[[#This Row],[Bonus Gems/hr]]),0)</f>
        <v>0</v>
      </c>
      <c r="Z69" s="148" t="n">
        <f aca="false">OFFSET(TblConstr[[#This Row],[Tot Doc]],1,0)*dock_boats_hr * (1 + tech_4_1*TblTech[[#This Row],[4-1]])</f>
        <v>1.2</v>
      </c>
      <c r="AA69" s="146"/>
      <c r="AB69" s="69" t="n">
        <f aca="false">TblPop[[#This Row],[Peasants]]*tax*TblPop[[#This Row],[Employment]] + (Construction!AZ70+Construction!BX70)*(alch_plat+(Magic!AM69&gt;0)*alchemist_flame_bonus)</f>
        <v>44248.7</v>
      </c>
      <c r="AC69" s="69" t="n">
        <f aca="false">TblConstr[[#This Row],[Tot Farm]]*farm_food + TblConstr[[#This Row],[Tot Doc]]*dock_food</f>
        <v>3280</v>
      </c>
      <c r="AD69" s="69" t="n">
        <f aca="false">TblConstr[[#This Row],[Tot Ly]]*ly_lumber + TblConstr[[#This Row],[Tot Hav]]*fh_lumber</f>
        <v>1250</v>
      </c>
      <c r="AE69" s="69" t="n">
        <f aca="false">OFFSET(TblConstr[[#This Row],[Tot Tow]],1,0)*(tower_mana + tech_4_5*TblTech[[#This Row],[4-5]]) + OFFSET(TblConstr[[#This Row],[Tot WG]],1,0)*wg_mana_prod</f>
        <v>725</v>
      </c>
      <c r="AF69" s="69" t="n">
        <f aca="false">OFFSET(TblConstr[[#This Row],[Tot OM]],1,0)*om_ore+IF(race="Dwarf",ROUNDDOWN(TblMili[[#This Row],[Unit 2]]*0.4,0),)</f>
        <v>0</v>
      </c>
      <c r="AG69" s="69" t="n">
        <f aca="false">OFFSET(TblConstr[[#This Row],[Tot DM]],1,0)*dm_gems</f>
        <v>0</v>
      </c>
      <c r="AH69" s="132"/>
      <c r="AI69" s="149" t="n">
        <f aca="false">MIN(race_platinum_bonus + IF(TblMagic[[#This Row],[Active Alch Frost]]&gt;0,alch_frost_bonus,IF(Magic!AD69&gt;0,midas_bonus)) + TblImps[[#This Row],[Science]] - TblProd[[#This Row],[Guard]]*(0.02 + tech_5_7*TblTech[[#This Row],[5-7]]) + tech_1_5*TblTech[[#This Row],[1-5]] + tech_4_4*TblTech[[#This Row],[4-4]], 0.5)</f>
        <v>0.1</v>
      </c>
      <c r="AJ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9" s="149" t="n">
        <f aca="false">race_lumber_bonus+ IF(TblMagic[[#This Row],[Active Gaia''s Blessing]]&gt;0,gaias_blessing_lumber)+ tech_1_3*TblTech[[#This Row],[1-3]] + tech_1_6*TblTech[[#This Row],[1-6]] + tech_3_3*TblTech[[#This Row],[3-3]]</f>
        <v>-0.1</v>
      </c>
      <c r="AL69" s="149" t="n">
        <f aca="false">race_mana_bonus+ 0 + TblImps[[#This Row],[Towers]] + tech_1_2*TblTech[[#This Row],[1-2]] + tech_3_4*TblTech[[#This Row],[3-4]]</f>
        <v>0</v>
      </c>
      <c r="AM69" s="149" t="n">
        <f aca="false">race_ore_bonus + IF(TblMagic[[#This Row],[Active Miner''s Sight]]&gt;0,miners_sight_bonus,IF(TblMagic[[#This Row],[Active Mining Strength]]&gt;0,mining_strength_bonus)) +  tech_1_6*TblTech[[#This Row],[1-6]]</f>
        <v>0</v>
      </c>
      <c r="AN69" s="149" t="n">
        <f aca="false">race_gem_bonus+ tech_3_2*TblTech[[#This Row],[3-2]] + tech_4_3*TblTech[[#This Row],[4-3]] + tech_6_2*TblTech[[#This Row],[6-2]]</f>
        <v>0.15</v>
      </c>
      <c r="AO69" s="132"/>
      <c r="AP69" s="69" t="n">
        <f aca="false">TblProd[[#This Row],[Food]]*food_decay * (1 + tech_2_1*TblTech[[#This Row],[2-1]] + tech_2_8*TblTech[[#This Row],[2-8]])</f>
        <v>4742.54</v>
      </c>
      <c r="AQ69" s="69" t="n">
        <f aca="false">(1+race_food_consumption)*TblPop[[#This Row],[Total]]*food_per_person*(1+tech_1_10*TblTech[[#This Row],[1-10]]+tech_7_5*TblTech[[#This Row],[7-5]])</f>
        <v>3155.25</v>
      </c>
      <c r="AR69" s="69" t="n">
        <f aca="false">TblProd[[#This Row],[Lumber]]*lumber_rot * (1 + tech_2_1*TblTech[[#This Row],[2-1]] + tech_2_8*TblTech[[#This Row],[2-8]] + tech_5_2*TblTech[[#This Row],[5-2]])</f>
        <v>73.94</v>
      </c>
      <c r="AS69" s="69" t="n">
        <f aca="false">TblProd[[#This Row],[Mana]]*mana_drain * (1 + tech_2_1*TblTech[[#This Row],[2-1]] + tech_2_8*TblTech[[#This Row],[2-8]])</f>
        <v>9680.76</v>
      </c>
      <c r="AT69" s="146"/>
      <c r="AU69" s="69" t="n">
        <f aca="false">TblExplore[[#This Row],[Platinum (2)]]+TblConstr[[#This Row],[Total Plat Cost]]+TblMili[[#This Row],[Plat Cost]]+TblRezone[[#This Row],[Platinum cost]]+TblImps[[#This Row],[P1]]-TblProd[[#This Row],[Bank Plat]]</f>
        <v>19200</v>
      </c>
      <c r="AV69" s="69" t="n">
        <f aca="false">TblConstr[[#This Row],[Total Lum Cost]]+TblImps[[#This Row],[L1]]-TblProd[[#This Row],[Bank Lumber]] + Military!$CL$25*TblMili[[#This Row],[Sec. rec. Cost]]</f>
        <v>0</v>
      </c>
      <c r="AW69" s="69" t="n">
        <f aca="false">TblMagic[[#This Row],[Mana cost]] + Military!$CL$26*TblMili[[#This Row],[Sec. rec. Cost]]</f>
        <v>0</v>
      </c>
      <c r="AX69" s="69" t="n">
        <f aca="false">Military!$CL$24*TblMili[[#This Row],[Sec. rec. Cost]]+TblImps[[#This Row],[O1]]-TblProd[[#This Row],[Bank Ore]]</f>
        <v>0</v>
      </c>
      <c r="AY69" s="69" t="n">
        <f aca="false">TblImps[[#This Row],[G1]]-TblProd[[#This Row],[Bank Gems]]</f>
        <v>0</v>
      </c>
      <c r="AZ69" s="132"/>
      <c r="BA69" s="33" t="n">
        <f aca="false">IF(TblProd[[#This Row],[Set Guard]]&lt;&gt;"",TblProd[[#This Row],[Set Guard]],OFFSET(TblProd[[#This Row],[Guard]],-1,0))</f>
        <v>0</v>
      </c>
      <c r="BB69" s="145"/>
      <c r="BC69" s="151" t="n">
        <f aca="false">TblProd[[#This Row],[Hour]]</f>
        <v>66</v>
      </c>
      <c r="BD69" s="152" t="n">
        <f aca="false">-TblProd[[#This Row],[Bank Lumber]] / 2 + -TblProd[[#This Row],[Bank Gems]] * 2 + -TblProd[[#This Row],[Bank Ore]] / 2</f>
        <v>0</v>
      </c>
      <c r="BE69" s="152"/>
      <c r="BF69" s="152"/>
      <c r="BG69" s="152"/>
      <c r="BH69" s="153" t="n">
        <f aca="false">TblProd[[#This Row],[Time]]</f>
        <v>45432.4583333333</v>
      </c>
      <c r="BI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J69" s="69" t="n">
        <f aca="false">TblProd[[#This Row],[Platinum]]</f>
        <v>57978</v>
      </c>
      <c r="BK69" s="69" t="n">
        <f aca="false">TblProd[[#This Row],[Food]]</f>
        <v>474254</v>
      </c>
      <c r="BL69" s="69" t="n">
        <f aca="false">TblProd[[#This Row],[Lumber]]</f>
        <v>7394</v>
      </c>
      <c r="BM69" s="69" t="n">
        <f aca="false">TblProd[[#This Row],[Mana]]</f>
        <v>484038</v>
      </c>
      <c r="BN69" s="69" t="n">
        <f aca="false">TblProd[[#This Row],[Ore]]</f>
        <v>-357</v>
      </c>
    </row>
    <row r="70" customFormat="false" ht="12.75" hidden="false" customHeight="false" outlineLevel="0" collapsed="false">
      <c r="A70" s="128" t="n">
        <v>67</v>
      </c>
      <c r="B70" s="144" t="n">
        <f aca="false">TblImps[[#This Row],[Time]]</f>
        <v>45432.5</v>
      </c>
      <c r="C70" s="145"/>
      <c r="D70" s="146"/>
      <c r="E70" s="69" t="n">
        <f aca="false">TblConstr[[#This Row],[Land]]</f>
        <v>700</v>
      </c>
      <c r="F70" s="69" t="n">
        <f aca="false">TblPop[[#This Row],[Peasants]]</f>
        <v>10456</v>
      </c>
      <c r="G70" s="69"/>
      <c r="H70" s="69" t="e">
        <f aca="false">TblMili[[#This Row],[Networth (2)]]</f>
        <v>#VALUE!</v>
      </c>
      <c r="I70" s="69" t="n">
        <f aca="false">OFFSET(TblProd[[#This Row],[Platinum]],-1,0)+OFFSET(TblProd[[#This Row],[Plat/hr]],-1,0) - TblProd[[#This Row],[Expenses Platinum]] + IF(TblProd[[#This Row],[Plat Bonus]],TblPop[[#This Row],[Peasants]]*4) + SUM(TblConstr[[#This Row],[Dest Hom]:[Dest Doc]])*TblConstr[[#This Row],[CPA Platinum -DB]]*tech_3_3_2*TblTech[[#This Row],[3-3]]</f>
        <v>61403</v>
      </c>
      <c r="J70" s="69" t="n">
        <f aca="false">OFFSET(TblProd[[#This Row],[Food]],-1,0)+OFFSET(TblProd[[#This Row],[Food/hr]],-1,0)+ROUNDUP((TblConstr[[#This Row],[Farms]]*80+TblConstr[[#This Row],[Docks]]*35)*(1+OFFSET(TblProd[[#This Row],[Bonus Food/hr]],-1,0)),0)</f>
        <v>469718</v>
      </c>
      <c r="K70" s="69" t="n">
        <f aca="false">OFFSET(TblProd[[#This Row],[Lumber]],-1,0)+OFFSET(TblProd[[#This Row],[Lumber/hr]],-1,0) - TblProd[[#This Row],[Expenses Lumber]] + SUM(TblConstr[[#This Row],[Dest Hom]:[Dest Doc]])*TblConstr[[#This Row],[CPA Lumber -DB]]*tech_3_3_2*TblTech[[#This Row],[3-3]]</f>
        <v>8445</v>
      </c>
      <c r="L70" s="69" t="n">
        <f aca="false">OFFSET(TblProd[[#This Row],[Mana]],-1,0)+OFFSET(TblProd[[#This Row],[Mana/hr]],-1,0)- TblProd[[#This Row],[Expenses Mana]]</f>
        <v>475082</v>
      </c>
      <c r="M70" s="69" t="n">
        <f aca="false">OFFSET(TblProd[[#This Row],[Ore]],-1,0)+OFFSET(TblProd[[#This Row],[Ore/hr]],-1,0) -TblProd[[#This Row],[Expenses Ore]]</f>
        <v>-357</v>
      </c>
      <c r="N70" s="69" t="n">
        <f aca="false">OFFSET(TblProd[[#This Row],[Gems]],-1,0)+OFFSET(TblProd[[#This Row],[Gems/hr]],-1,0) - TblProd[[#This Row],[Expenses Gems]]</f>
        <v>-1000</v>
      </c>
      <c r="O70" s="69" t="n">
        <f aca="false">OFFSET(TblProd[[#This Row],[Boats]],-1,0)+OFFSET(TblProd[[#This Row],[Boats/hr]],-1,0)</f>
        <v>21.05</v>
      </c>
      <c r="P70" s="69" t="n">
        <f aca="false">OFFSET(TblProd[[#This Row],[Prestige]],-1,0)</f>
        <v>250</v>
      </c>
      <c r="Q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0" s="69" t="n">
        <f aca="false">MAX(3750,_xlfn.CEILING.MATH(TblProd[[#This Row],[Land]]*2.5+OFFSET(TblTech[[#This Row],[Sum of tech]],-1,0)*150))</f>
        <v>3750</v>
      </c>
      <c r="S70" s="132"/>
      <c r="T70" s="69" t="n">
        <f aca="false">ROUNDDOWN(TblProd[[#This Row],[Raw Plat/hr]]*(1+TblProd[[#This Row],[Bonus Plat/hr]]),0)</f>
        <v>48599</v>
      </c>
      <c r="U70" s="69" t="n">
        <f aca="false">ROUND(TblProd[[#This Row],[Raw Food/hr]]*(1+TblProd[[#This Row],[Bonus Food/hr]])-TblProd[[#This Row],[Food decay]]-TblProd[[#This Row],[Food eaten]],0)</f>
        <v>-4510</v>
      </c>
      <c r="V70" s="69" t="n">
        <f aca="false">ROUND(TblProd[[#This Row],[Raw Lumber/hr]]*(1+TblProd[[#This Row],[Bonus Lumber/hr]])-TblProd[[#This Row],[Lumber rot]],0)</f>
        <v>1041</v>
      </c>
      <c r="W70" s="69" t="n">
        <f aca="false">ROUND(TblProd[[#This Row],[Raw Mana/hr]]*(1+TblProd[[#This Row],[Bonus Mana/hr]])-TblProd[[#This Row],[Mana drain]],0)</f>
        <v>-8777</v>
      </c>
      <c r="X70" s="69" t="n">
        <f aca="false">ROUNDDOWN(TblProd[[#This Row],[Raw Ore/hr]]*(1+TblProd[[#This Row],[Bonux Ore/hr]]),0)</f>
        <v>0</v>
      </c>
      <c r="Y70" s="69" t="n">
        <f aca="false">ROUNDDOWN(TblProd[[#This Row],[Raw Gems/hr]]*(1+TblProd[[#This Row],[Bonus Gems/hr]]),0)</f>
        <v>0</v>
      </c>
      <c r="Z70" s="148" t="n">
        <f aca="false">OFFSET(TblConstr[[#This Row],[Tot Doc]],1,0)*dock_boats_hr * (1 + tech_4_1*TblTech[[#This Row],[4-1]])</f>
        <v>1.2</v>
      </c>
      <c r="AA70" s="146"/>
      <c r="AB70" s="69" t="n">
        <f aca="false">TblPop[[#This Row],[Peasants]]*tax*TblPop[[#This Row],[Employment]] + (Construction!AZ71+Construction!BX71)*(alch_plat+(Magic!AM70&gt;0)*alchemist_flame_bonus)</f>
        <v>44181.2</v>
      </c>
      <c r="AC70" s="69" t="n">
        <f aca="false">TblConstr[[#This Row],[Tot Farm]]*farm_food + TblConstr[[#This Row],[Tot Doc]]*dock_food</f>
        <v>3280</v>
      </c>
      <c r="AD70" s="69" t="n">
        <f aca="false">TblConstr[[#This Row],[Tot Ly]]*ly_lumber + TblConstr[[#This Row],[Tot Hav]]*fh_lumber</f>
        <v>1250</v>
      </c>
      <c r="AE70" s="69" t="n">
        <f aca="false">OFFSET(TblConstr[[#This Row],[Tot Tow]],1,0)*(tower_mana + tech_4_5*TblTech[[#This Row],[4-5]]) + OFFSET(TblConstr[[#This Row],[Tot WG]],1,0)*wg_mana_prod</f>
        <v>725</v>
      </c>
      <c r="AF70" s="69" t="n">
        <f aca="false">OFFSET(TblConstr[[#This Row],[Tot OM]],1,0)*om_ore+IF(race="Dwarf",ROUNDDOWN(TblMili[[#This Row],[Unit 2]]*0.4,0),)</f>
        <v>0</v>
      </c>
      <c r="AG70" s="69" t="n">
        <f aca="false">OFFSET(TblConstr[[#This Row],[Tot DM]],1,0)*dm_gems</f>
        <v>0</v>
      </c>
      <c r="AH70" s="132"/>
      <c r="AI70" s="149" t="n">
        <f aca="false">MIN(race_platinum_bonus + IF(TblMagic[[#This Row],[Active Alch Frost]]&gt;0,alch_frost_bonus,IF(Magic!AD70&gt;0,midas_bonus)) + TblImps[[#This Row],[Science]] - TblProd[[#This Row],[Guard]]*(0.02 + tech_5_7*TblTech[[#This Row],[5-7]]) + tech_1_5*TblTech[[#This Row],[1-5]] + tech_4_4*TblTech[[#This Row],[4-4]], 0.5)</f>
        <v>0.1</v>
      </c>
      <c r="AJ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0" s="149" t="n">
        <f aca="false">race_lumber_bonus+ IF(TblMagic[[#This Row],[Active Gaia''s Blessing]]&gt;0,gaias_blessing_lumber)+ tech_1_3*TblTech[[#This Row],[1-3]] + tech_1_6*TblTech[[#This Row],[1-6]] + tech_3_3*TblTech[[#This Row],[3-3]]</f>
        <v>-0.1</v>
      </c>
      <c r="AL70" s="149" t="n">
        <f aca="false">race_mana_bonus+ 0 + TblImps[[#This Row],[Towers]] + tech_1_2*TblTech[[#This Row],[1-2]] + tech_3_4*TblTech[[#This Row],[3-4]]</f>
        <v>0</v>
      </c>
      <c r="AM70" s="149" t="n">
        <f aca="false">race_ore_bonus + IF(TblMagic[[#This Row],[Active Miner''s Sight]]&gt;0,miners_sight_bonus,IF(TblMagic[[#This Row],[Active Mining Strength]]&gt;0,mining_strength_bonus)) +  tech_1_6*TblTech[[#This Row],[1-6]]</f>
        <v>0</v>
      </c>
      <c r="AN70" s="149" t="n">
        <f aca="false">race_gem_bonus+ tech_3_2*TblTech[[#This Row],[3-2]] + tech_4_3*TblTech[[#This Row],[4-3]] + tech_6_2*TblTech[[#This Row],[6-2]]</f>
        <v>0.15</v>
      </c>
      <c r="AO70" s="132"/>
      <c r="AP70" s="69" t="n">
        <f aca="false">TblProd[[#This Row],[Food]]*food_decay * (1 + tech_2_1*TblTech[[#This Row],[2-1]] + tech_2_8*TblTech[[#This Row],[2-8]])</f>
        <v>4697.18</v>
      </c>
      <c r="AQ70" s="69" t="n">
        <f aca="false">(1+race_food_consumption)*TblPop[[#This Row],[Total]]*food_per_person*(1+tech_1_10*TblTech[[#This Row],[1-10]]+tech_7_5*TblTech[[#This Row],[7-5]])</f>
        <v>3175.25</v>
      </c>
      <c r="AR70" s="69" t="n">
        <f aca="false">TblProd[[#This Row],[Lumber]]*lumber_rot * (1 + tech_2_1*TblTech[[#This Row],[2-1]] + tech_2_8*TblTech[[#This Row],[2-8]] + tech_5_2*TblTech[[#This Row],[5-2]])</f>
        <v>84.45</v>
      </c>
      <c r="AS70" s="69" t="n">
        <f aca="false">TblProd[[#This Row],[Mana]]*mana_drain * (1 + tech_2_1*TblTech[[#This Row],[2-1]] + tech_2_8*TblTech[[#This Row],[2-8]])</f>
        <v>9501.64</v>
      </c>
      <c r="AT70" s="146"/>
      <c r="AU70" s="69" t="n">
        <f aca="false">TblExplore[[#This Row],[Platinum (2)]]+TblConstr[[#This Row],[Total Plat Cost]]+TblMili[[#This Row],[Plat Cost]]+TblRezone[[#This Row],[Platinum cost]]+TblImps[[#This Row],[P1]]-TblProd[[#This Row],[Bank Plat]]</f>
        <v>45248</v>
      </c>
      <c r="AV70" s="69" t="n">
        <f aca="false">TblConstr[[#This Row],[Total Lum Cost]]+TblImps[[#This Row],[L1]]-TblProd[[#This Row],[Bank Lumber]] + Military!$CL$25*TblMili[[#This Row],[Sec. rec. Cost]]</f>
        <v>0</v>
      </c>
      <c r="AW70" s="69" t="n">
        <f aca="false">TblMagic[[#This Row],[Mana cost]] + Military!$CL$26*TblMili[[#This Row],[Sec. rec. Cost]]</f>
        <v>0</v>
      </c>
      <c r="AX70" s="69" t="n">
        <f aca="false">Military!$CL$24*TblMili[[#This Row],[Sec. rec. Cost]]+TblImps[[#This Row],[O1]]-TblProd[[#This Row],[Bank Ore]]</f>
        <v>0</v>
      </c>
      <c r="AY70" s="69" t="n">
        <f aca="false">TblImps[[#This Row],[G1]]-TblProd[[#This Row],[Bank Gems]]</f>
        <v>0</v>
      </c>
      <c r="AZ70" s="132"/>
      <c r="BA70" s="33" t="n">
        <f aca="false">IF(TblProd[[#This Row],[Set Guard]]&lt;&gt;"",TblProd[[#This Row],[Set Guard]],OFFSET(TblProd[[#This Row],[Guard]],-1,0))</f>
        <v>0</v>
      </c>
      <c r="BB70" s="145"/>
      <c r="BC70" s="151" t="n">
        <f aca="false">TblProd[[#This Row],[Hour]]</f>
        <v>67</v>
      </c>
      <c r="BD70" s="152" t="n">
        <f aca="false">-TblProd[[#This Row],[Bank Lumber]] / 2 + -TblProd[[#This Row],[Bank Gems]] * 2 + -TblProd[[#This Row],[Bank Ore]] / 2</f>
        <v>0</v>
      </c>
      <c r="BE70" s="152"/>
      <c r="BF70" s="152"/>
      <c r="BG70" s="152"/>
      <c r="BH70" s="153" t="n">
        <f aca="false">TblProd[[#This Row],[Time]]</f>
        <v>45432.5</v>
      </c>
      <c r="BI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J70" s="69" t="n">
        <f aca="false">TblProd[[#This Row],[Platinum]]</f>
        <v>61403</v>
      </c>
      <c r="BK70" s="69" t="n">
        <f aca="false">TblProd[[#This Row],[Food]]</f>
        <v>469718</v>
      </c>
      <c r="BL70" s="69" t="n">
        <f aca="false">TblProd[[#This Row],[Lumber]]</f>
        <v>8445</v>
      </c>
      <c r="BM70" s="69" t="n">
        <f aca="false">TblProd[[#This Row],[Mana]]</f>
        <v>475082</v>
      </c>
      <c r="BN70" s="69" t="n">
        <f aca="false">TblProd[[#This Row],[Ore]]</f>
        <v>-357</v>
      </c>
    </row>
    <row r="71" customFormat="false" ht="12.75" hidden="false" customHeight="false" outlineLevel="0" collapsed="false">
      <c r="A71" s="128" t="n">
        <v>68</v>
      </c>
      <c r="B71" s="144" t="n">
        <f aca="false">TblImps[[#This Row],[Time]]</f>
        <v>45432.5416666667</v>
      </c>
      <c r="C71" s="145"/>
      <c r="D71" s="146"/>
      <c r="E71" s="69" t="n">
        <f aca="false">TblConstr[[#This Row],[Land]]</f>
        <v>700</v>
      </c>
      <c r="F71" s="69" t="n">
        <f aca="false">TblPop[[#This Row],[Peasants]]</f>
        <v>10351</v>
      </c>
      <c r="G71" s="69"/>
      <c r="H71" s="69" t="e">
        <f aca="false">TblMili[[#This Row],[Networth (2)]]</f>
        <v>#VALUE!</v>
      </c>
      <c r="I71" s="69" t="n">
        <f aca="false">OFFSET(TblProd[[#This Row],[Platinum]],-1,0)+OFFSET(TblProd[[#This Row],[Plat/hr]],-1,0) - TblProd[[#This Row],[Expenses Platinum]] + IF(TblProd[[#This Row],[Plat Bonus]],TblPop[[#This Row],[Peasants]]*4) + SUM(TblConstr[[#This Row],[Dest Hom]:[Dest Doc]])*TblConstr[[#This Row],[CPA Platinum -DB]]*tech_3_3_2*TblTech[[#This Row],[3-3]]</f>
        <v>68402</v>
      </c>
      <c r="J71" s="69" t="n">
        <f aca="false">OFFSET(TblProd[[#This Row],[Food]],-1,0)+OFFSET(TblProd[[#This Row],[Food/hr]],-1,0)+ROUNDUP((TblConstr[[#This Row],[Farms]]*80+TblConstr[[#This Row],[Docks]]*35)*(1+OFFSET(TblProd[[#This Row],[Bonus Food/hr]],-1,0)),0)</f>
        <v>465208</v>
      </c>
      <c r="K71" s="69" t="n">
        <f aca="false">OFFSET(TblProd[[#This Row],[Lumber]],-1,0)+OFFSET(TblProd[[#This Row],[Lumber/hr]],-1,0) - TblProd[[#This Row],[Expenses Lumber]] + SUM(TblConstr[[#This Row],[Dest Hom]:[Dest Doc]])*TblConstr[[#This Row],[CPA Lumber -DB]]*tech_3_3_2*TblTech[[#This Row],[3-3]]</f>
        <v>9486</v>
      </c>
      <c r="L71" s="69" t="n">
        <f aca="false">OFFSET(TblProd[[#This Row],[Mana]],-1,0)+OFFSET(TblProd[[#This Row],[Mana/hr]],-1,0)- TblProd[[#This Row],[Expenses Mana]]</f>
        <v>466305</v>
      </c>
      <c r="M71" s="69" t="n">
        <f aca="false">OFFSET(TblProd[[#This Row],[Ore]],-1,0)+OFFSET(TblProd[[#This Row],[Ore/hr]],-1,0) -TblProd[[#This Row],[Expenses Ore]]</f>
        <v>-357</v>
      </c>
      <c r="N71" s="69" t="n">
        <f aca="false">OFFSET(TblProd[[#This Row],[Gems]],-1,0)+OFFSET(TblProd[[#This Row],[Gems/hr]],-1,0) - TblProd[[#This Row],[Expenses Gems]]</f>
        <v>-1000</v>
      </c>
      <c r="O71" s="69" t="n">
        <f aca="false">OFFSET(TblProd[[#This Row],[Boats]],-1,0)+OFFSET(TblProd[[#This Row],[Boats/hr]],-1,0)</f>
        <v>22.25</v>
      </c>
      <c r="P71" s="69" t="n">
        <f aca="false">OFFSET(TblProd[[#This Row],[Prestige]],-1,0)</f>
        <v>250</v>
      </c>
      <c r="Q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1" s="69" t="n">
        <f aca="false">MAX(3750,_xlfn.CEILING.MATH(TblProd[[#This Row],[Land]]*2.5+OFFSET(TblTech[[#This Row],[Sum of tech]],-1,0)*150))</f>
        <v>3750</v>
      </c>
      <c r="S71" s="132"/>
      <c r="T71" s="69" t="n">
        <f aca="false">ROUNDDOWN(TblProd[[#This Row],[Raw Plat/hr]]*(1+TblProd[[#This Row],[Bonus Plat/hr]]),0)</f>
        <v>48287</v>
      </c>
      <c r="U71" s="69" t="n">
        <f aca="false">ROUND(TblProd[[#This Row],[Raw Food/hr]]*(1+TblProd[[#This Row],[Bonus Food/hr]])-TblProd[[#This Row],[Food decay]]-TblProd[[#This Row],[Food eaten]],0)</f>
        <v>-4465</v>
      </c>
      <c r="V71" s="69" t="n">
        <f aca="false">ROUND(TblProd[[#This Row],[Raw Lumber/hr]]*(1+TblProd[[#This Row],[Bonus Lumber/hr]])-TblProd[[#This Row],[Lumber rot]],0)</f>
        <v>1030</v>
      </c>
      <c r="W71" s="69" t="n">
        <f aca="false">ROUND(TblProd[[#This Row],[Raw Mana/hr]]*(1+TblProd[[#This Row],[Bonus Mana/hr]])-TblProd[[#This Row],[Mana drain]],0)</f>
        <v>-8601</v>
      </c>
      <c r="X71" s="69" t="n">
        <f aca="false">ROUNDDOWN(TblProd[[#This Row],[Raw Ore/hr]]*(1+TblProd[[#This Row],[Bonux Ore/hr]]),0)</f>
        <v>0</v>
      </c>
      <c r="Y71" s="69" t="n">
        <f aca="false">ROUNDDOWN(TblProd[[#This Row],[Raw Gems/hr]]*(1+TblProd[[#This Row],[Bonus Gems/hr]]),0)</f>
        <v>0</v>
      </c>
      <c r="Z71" s="148" t="n">
        <f aca="false">OFFSET(TblConstr[[#This Row],[Tot Doc]],1,0)*dock_boats_hr * (1 + tech_4_1*TblTech[[#This Row],[4-1]])</f>
        <v>1.2</v>
      </c>
      <c r="AA71" s="146"/>
      <c r="AB71" s="69" t="n">
        <f aca="false">TblPop[[#This Row],[Peasants]]*tax*TblPop[[#This Row],[Employment]] + (Construction!AZ72+Construction!BX72)*(alch_plat+(Magic!AM71&gt;0)*alchemist_flame_bonus)</f>
        <v>43897.7</v>
      </c>
      <c r="AC71" s="69" t="n">
        <f aca="false">TblConstr[[#This Row],[Tot Farm]]*farm_food + TblConstr[[#This Row],[Tot Doc]]*dock_food</f>
        <v>3280</v>
      </c>
      <c r="AD71" s="69" t="n">
        <f aca="false">TblConstr[[#This Row],[Tot Ly]]*ly_lumber + TblConstr[[#This Row],[Tot Hav]]*fh_lumber</f>
        <v>1250</v>
      </c>
      <c r="AE71" s="69" t="n">
        <f aca="false">OFFSET(TblConstr[[#This Row],[Tot Tow]],1,0)*(tower_mana + tech_4_5*TblTech[[#This Row],[4-5]]) + OFFSET(TblConstr[[#This Row],[Tot WG]],1,0)*wg_mana_prod</f>
        <v>725</v>
      </c>
      <c r="AF71" s="69" t="n">
        <f aca="false">OFFSET(TblConstr[[#This Row],[Tot OM]],1,0)*om_ore+IF(race="Dwarf",ROUNDDOWN(TblMili[[#This Row],[Unit 2]]*0.4,0),)</f>
        <v>0</v>
      </c>
      <c r="AG71" s="69" t="n">
        <f aca="false">OFFSET(TblConstr[[#This Row],[Tot DM]],1,0)*dm_gems</f>
        <v>0</v>
      </c>
      <c r="AH71" s="132"/>
      <c r="AI71" s="149" t="n">
        <f aca="false">MIN(race_platinum_bonus + IF(TblMagic[[#This Row],[Active Alch Frost]]&gt;0,alch_frost_bonus,IF(Magic!AD71&gt;0,midas_bonus)) + TblImps[[#This Row],[Science]] - TblProd[[#This Row],[Guard]]*(0.02 + tech_5_7*TblTech[[#This Row],[5-7]]) + tech_1_5*TblTech[[#This Row],[1-5]] + tech_4_4*TblTech[[#This Row],[4-4]], 0.5)</f>
        <v>0.1</v>
      </c>
      <c r="AJ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1" s="149" t="n">
        <f aca="false">race_lumber_bonus+ IF(TblMagic[[#This Row],[Active Gaia''s Blessing]]&gt;0,gaias_blessing_lumber)+ tech_1_3*TblTech[[#This Row],[1-3]] + tech_1_6*TblTech[[#This Row],[1-6]] + tech_3_3*TblTech[[#This Row],[3-3]]</f>
        <v>-0.1</v>
      </c>
      <c r="AL71" s="149" t="n">
        <f aca="false">race_mana_bonus+ 0 + TblImps[[#This Row],[Towers]] + tech_1_2*TblTech[[#This Row],[1-2]] + tech_3_4*TblTech[[#This Row],[3-4]]</f>
        <v>0</v>
      </c>
      <c r="AM71" s="149" t="n">
        <f aca="false">race_ore_bonus + IF(TblMagic[[#This Row],[Active Miner''s Sight]]&gt;0,miners_sight_bonus,IF(TblMagic[[#This Row],[Active Mining Strength]]&gt;0,mining_strength_bonus)) +  tech_1_6*TblTech[[#This Row],[1-6]]</f>
        <v>0</v>
      </c>
      <c r="AN71" s="149" t="n">
        <f aca="false">race_gem_bonus+ tech_3_2*TblTech[[#This Row],[3-2]] + tech_4_3*TblTech[[#This Row],[4-3]] + tech_6_2*TblTech[[#This Row],[6-2]]</f>
        <v>0.15</v>
      </c>
      <c r="AO71" s="132"/>
      <c r="AP71" s="69" t="n">
        <f aca="false">TblProd[[#This Row],[Food]]*food_decay * (1 + tech_2_1*TblTech[[#This Row],[2-1]] + tech_2_8*TblTech[[#This Row],[2-8]])</f>
        <v>4652.08</v>
      </c>
      <c r="AQ71" s="69" t="n">
        <f aca="false">(1+race_food_consumption)*TblPop[[#This Row],[Total]]*food_per_person*(1+tech_1_10*TblTech[[#This Row],[1-10]]+tech_7_5*TblTech[[#This Row],[7-5]])</f>
        <v>3175.25</v>
      </c>
      <c r="AR71" s="69" t="n">
        <f aca="false">TblProd[[#This Row],[Lumber]]*lumber_rot * (1 + tech_2_1*TblTech[[#This Row],[2-1]] + tech_2_8*TblTech[[#This Row],[2-8]] + tech_5_2*TblTech[[#This Row],[5-2]])</f>
        <v>94.86</v>
      </c>
      <c r="AS71" s="69" t="n">
        <f aca="false">TblProd[[#This Row],[Mana]]*mana_drain * (1 + tech_2_1*TblTech[[#This Row],[2-1]] + tech_2_8*TblTech[[#This Row],[2-8]])</f>
        <v>9326.1</v>
      </c>
      <c r="AT71" s="146"/>
      <c r="AU71" s="69" t="n">
        <f aca="false">TblExplore[[#This Row],[Platinum (2)]]+TblConstr[[#This Row],[Total Plat Cost]]+TblMili[[#This Row],[Plat Cost]]+TblRezone[[#This Row],[Platinum cost]]+TblImps[[#This Row],[P1]]-TblProd[[#This Row],[Bank Plat]]</f>
        <v>41600</v>
      </c>
      <c r="AV71" s="69" t="n">
        <f aca="false">TblConstr[[#This Row],[Total Lum Cost]]+TblImps[[#This Row],[L1]]-TblProd[[#This Row],[Bank Lumber]] + Military!$CL$25*TblMili[[#This Row],[Sec. rec. Cost]]</f>
        <v>0</v>
      </c>
      <c r="AW71" s="69" t="n">
        <f aca="false">TblMagic[[#This Row],[Mana cost]] + Military!$CL$26*TblMili[[#This Row],[Sec. rec. Cost]]</f>
        <v>0</v>
      </c>
      <c r="AX71" s="69" t="n">
        <f aca="false">Military!$CL$24*TblMili[[#This Row],[Sec. rec. Cost]]+TblImps[[#This Row],[O1]]-TblProd[[#This Row],[Bank Ore]]</f>
        <v>0</v>
      </c>
      <c r="AY71" s="69" t="n">
        <f aca="false">TblImps[[#This Row],[G1]]-TblProd[[#This Row],[Bank Gems]]</f>
        <v>0</v>
      </c>
      <c r="AZ71" s="132"/>
      <c r="BA71" s="33" t="n">
        <f aca="false">IF(TblProd[[#This Row],[Set Guard]]&lt;&gt;"",TblProd[[#This Row],[Set Guard]],OFFSET(TblProd[[#This Row],[Guard]],-1,0))</f>
        <v>0</v>
      </c>
      <c r="BB71" s="145"/>
      <c r="BC71" s="151" t="n">
        <f aca="false">TblProd[[#This Row],[Hour]]</f>
        <v>68</v>
      </c>
      <c r="BD71" s="152" t="n">
        <f aca="false">-TblProd[[#This Row],[Bank Lumber]] / 2 + -TblProd[[#This Row],[Bank Gems]] * 2 + -TblProd[[#This Row],[Bank Ore]] / 2</f>
        <v>0</v>
      </c>
      <c r="BE71" s="152"/>
      <c r="BF71" s="152"/>
      <c r="BG71" s="152"/>
      <c r="BH71" s="153" t="n">
        <f aca="false">TblProd[[#This Row],[Time]]</f>
        <v>45432.5416666667</v>
      </c>
      <c r="BI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J71" s="69" t="n">
        <f aca="false">TblProd[[#This Row],[Platinum]]</f>
        <v>68402</v>
      </c>
      <c r="BK71" s="69" t="n">
        <f aca="false">TblProd[[#This Row],[Food]]</f>
        <v>465208</v>
      </c>
      <c r="BL71" s="69" t="n">
        <f aca="false">TblProd[[#This Row],[Lumber]]</f>
        <v>9486</v>
      </c>
      <c r="BM71" s="69" t="n">
        <f aca="false">TblProd[[#This Row],[Mana]]</f>
        <v>466305</v>
      </c>
      <c r="BN71" s="69" t="n">
        <f aca="false">TblProd[[#This Row],[Ore]]</f>
        <v>-357</v>
      </c>
    </row>
    <row r="72" customFormat="false" ht="12.75" hidden="false" customHeight="false" outlineLevel="0" collapsed="false">
      <c r="A72" s="128" t="n">
        <v>69</v>
      </c>
      <c r="B72" s="144" t="n">
        <f aca="false">TblImps[[#This Row],[Time]]</f>
        <v>45432.5833333333</v>
      </c>
      <c r="C72" s="145"/>
      <c r="D72" s="146"/>
      <c r="E72" s="69" t="n">
        <f aca="false">TblConstr[[#This Row],[Land]]</f>
        <v>700</v>
      </c>
      <c r="F72" s="69" t="n">
        <f aca="false">TblPop[[#This Row],[Peasants]]</f>
        <v>10247</v>
      </c>
      <c r="G72" s="69"/>
      <c r="H72" s="69" t="e">
        <f aca="false">TblMili[[#This Row],[Networth (2)]]</f>
        <v>#VALUE!</v>
      </c>
      <c r="I72" s="69" t="n">
        <f aca="false">OFFSET(TblProd[[#This Row],[Platinum]],-1,0)+OFFSET(TblProd[[#This Row],[Plat/hr]],-1,0) - TblProd[[#This Row],[Expenses Platinum]] + IF(TblProd[[#This Row],[Plat Bonus]],TblPop[[#This Row],[Peasants]]*4) + SUM(TblConstr[[#This Row],[Dest Hom]:[Dest Doc]])*TblConstr[[#This Row],[CPA Platinum -DB]]*tech_3_3_2*TblTech[[#This Row],[3-3]]</f>
        <v>54065</v>
      </c>
      <c r="J72" s="69" t="n">
        <f aca="false">OFFSET(TblProd[[#This Row],[Food]],-1,0)+OFFSET(TblProd[[#This Row],[Food/hr]],-1,0)+ROUNDUP((TblConstr[[#This Row],[Farms]]*80+TblConstr[[#This Row],[Docks]]*35)*(1+OFFSET(TblProd[[#This Row],[Bonus Food/hr]],-1,0)),0)</f>
        <v>460743</v>
      </c>
      <c r="K72" s="69" t="n">
        <f aca="false">OFFSET(TblProd[[#This Row],[Lumber]],-1,0)+OFFSET(TblProd[[#This Row],[Lumber/hr]],-1,0) - TblProd[[#This Row],[Expenses Lumber]] + SUM(TblConstr[[#This Row],[Dest Hom]:[Dest Doc]])*TblConstr[[#This Row],[CPA Lumber -DB]]*tech_3_3_2*TblTech[[#This Row],[3-3]]</f>
        <v>10516</v>
      </c>
      <c r="L72" s="69" t="n">
        <f aca="false">OFFSET(TblProd[[#This Row],[Mana]],-1,0)+OFFSET(TblProd[[#This Row],[Mana/hr]],-1,0)- TblProd[[#This Row],[Expenses Mana]]</f>
        <v>457704</v>
      </c>
      <c r="M72" s="69" t="n">
        <f aca="false">OFFSET(TblProd[[#This Row],[Ore]],-1,0)+OFFSET(TblProd[[#This Row],[Ore/hr]],-1,0) -TblProd[[#This Row],[Expenses Ore]]</f>
        <v>-357</v>
      </c>
      <c r="N72" s="69" t="n">
        <f aca="false">OFFSET(TblProd[[#This Row],[Gems]],-1,0)+OFFSET(TblProd[[#This Row],[Gems/hr]],-1,0) - TblProd[[#This Row],[Expenses Gems]]</f>
        <v>-1000</v>
      </c>
      <c r="O72" s="69" t="n">
        <f aca="false">OFFSET(TblProd[[#This Row],[Boats]],-1,0)+OFFSET(TblProd[[#This Row],[Boats/hr]],-1,0)</f>
        <v>23.45</v>
      </c>
      <c r="P72" s="69" t="n">
        <f aca="false">OFFSET(TblProd[[#This Row],[Prestige]],-1,0)</f>
        <v>250</v>
      </c>
      <c r="Q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2" s="69" t="n">
        <f aca="false">MAX(3750,_xlfn.CEILING.MATH(TblProd[[#This Row],[Land]]*2.5+OFFSET(TblTech[[#This Row],[Sum of tech]],-1,0)*150))</f>
        <v>3750</v>
      </c>
      <c r="S72" s="132"/>
      <c r="T72" s="69" t="n">
        <f aca="false">ROUNDDOWN(TblProd[[#This Row],[Raw Plat/hr]]*(1+TblProd[[#This Row],[Bonus Plat/hr]]),0)</f>
        <v>47978</v>
      </c>
      <c r="U72" s="69" t="n">
        <f aca="false">ROUND(TblProd[[#This Row],[Raw Food/hr]]*(1+TblProd[[#This Row],[Bonus Food/hr]])-TblProd[[#This Row],[Food decay]]-TblProd[[#This Row],[Food eaten]],0)</f>
        <v>-4421</v>
      </c>
      <c r="V72" s="69" t="n">
        <f aca="false">ROUND(TblProd[[#This Row],[Raw Lumber/hr]]*(1+TblProd[[#This Row],[Bonus Lumber/hr]])-TblProd[[#This Row],[Lumber rot]],0)</f>
        <v>1020</v>
      </c>
      <c r="W72" s="69" t="n">
        <f aca="false">ROUND(TblProd[[#This Row],[Raw Mana/hr]]*(1+TblProd[[#This Row],[Bonus Mana/hr]])-TblProd[[#This Row],[Mana drain]],0)</f>
        <v>-8429</v>
      </c>
      <c r="X72" s="69" t="n">
        <f aca="false">ROUNDDOWN(TblProd[[#This Row],[Raw Ore/hr]]*(1+TblProd[[#This Row],[Bonux Ore/hr]]),0)</f>
        <v>0</v>
      </c>
      <c r="Y72" s="69" t="n">
        <f aca="false">ROUNDDOWN(TblProd[[#This Row],[Raw Gems/hr]]*(1+TblProd[[#This Row],[Bonus Gems/hr]]),0)</f>
        <v>0</v>
      </c>
      <c r="Z72" s="148" t="n">
        <f aca="false">OFFSET(TblConstr[[#This Row],[Tot Doc]],1,0)*dock_boats_hr * (1 + tech_4_1*TblTech[[#This Row],[4-1]])</f>
        <v>1.2</v>
      </c>
      <c r="AA72" s="146"/>
      <c r="AB72" s="69" t="n">
        <f aca="false">TblPop[[#This Row],[Peasants]]*tax*TblPop[[#This Row],[Employment]] + (Construction!AZ73+Construction!BX73)*(alch_plat+(Magic!AM72&gt;0)*alchemist_flame_bonus)</f>
        <v>43616.9</v>
      </c>
      <c r="AC72" s="69" t="n">
        <f aca="false">TblConstr[[#This Row],[Tot Farm]]*farm_food + TblConstr[[#This Row],[Tot Doc]]*dock_food</f>
        <v>3280</v>
      </c>
      <c r="AD72" s="69" t="n">
        <f aca="false">TblConstr[[#This Row],[Tot Ly]]*ly_lumber + TblConstr[[#This Row],[Tot Hav]]*fh_lumber</f>
        <v>1250</v>
      </c>
      <c r="AE72" s="69" t="n">
        <f aca="false">OFFSET(TblConstr[[#This Row],[Tot Tow]],1,0)*(tower_mana + tech_4_5*TblTech[[#This Row],[4-5]]) + OFFSET(TblConstr[[#This Row],[Tot WG]],1,0)*wg_mana_prod</f>
        <v>725</v>
      </c>
      <c r="AF72" s="69" t="n">
        <f aca="false">OFFSET(TblConstr[[#This Row],[Tot OM]],1,0)*om_ore+IF(race="Dwarf",ROUNDDOWN(TblMili[[#This Row],[Unit 2]]*0.4,0),)</f>
        <v>0</v>
      </c>
      <c r="AG72" s="69" t="n">
        <f aca="false">OFFSET(TblConstr[[#This Row],[Tot DM]],1,0)*dm_gems</f>
        <v>0</v>
      </c>
      <c r="AH72" s="132"/>
      <c r="AI72" s="149" t="n">
        <f aca="false">MIN(race_platinum_bonus + IF(TblMagic[[#This Row],[Active Alch Frost]]&gt;0,alch_frost_bonus,IF(Magic!AD72&gt;0,midas_bonus)) + TblImps[[#This Row],[Science]] - TblProd[[#This Row],[Guard]]*(0.02 + tech_5_7*TblTech[[#This Row],[5-7]]) + tech_1_5*TblTech[[#This Row],[1-5]] + tech_4_4*TblTech[[#This Row],[4-4]], 0.5)</f>
        <v>0.1</v>
      </c>
      <c r="AJ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2" s="149" t="n">
        <f aca="false">race_lumber_bonus+ IF(TblMagic[[#This Row],[Active Gaia''s Blessing]]&gt;0,gaias_blessing_lumber)+ tech_1_3*TblTech[[#This Row],[1-3]] + tech_1_6*TblTech[[#This Row],[1-6]] + tech_3_3*TblTech[[#This Row],[3-3]]</f>
        <v>-0.1</v>
      </c>
      <c r="AL72" s="149" t="n">
        <f aca="false">race_mana_bonus+ 0 + TblImps[[#This Row],[Towers]] + tech_1_2*TblTech[[#This Row],[1-2]] + tech_3_4*TblTech[[#This Row],[3-4]]</f>
        <v>0</v>
      </c>
      <c r="AM72" s="149" t="n">
        <f aca="false">race_ore_bonus + IF(TblMagic[[#This Row],[Active Miner''s Sight]]&gt;0,miners_sight_bonus,IF(TblMagic[[#This Row],[Active Mining Strength]]&gt;0,mining_strength_bonus)) +  tech_1_6*TblTech[[#This Row],[1-6]]</f>
        <v>0</v>
      </c>
      <c r="AN72" s="149" t="n">
        <f aca="false">race_gem_bonus+ tech_3_2*TblTech[[#This Row],[3-2]] + tech_4_3*TblTech[[#This Row],[4-3]] + tech_6_2*TblTech[[#This Row],[6-2]]</f>
        <v>0.15</v>
      </c>
      <c r="AO72" s="132"/>
      <c r="AP72" s="69" t="n">
        <f aca="false">TblProd[[#This Row],[Food]]*food_decay * (1 + tech_2_1*TblTech[[#This Row],[2-1]] + tech_2_8*TblTech[[#This Row],[2-8]])</f>
        <v>4607.43</v>
      </c>
      <c r="AQ72" s="69" t="n">
        <f aca="false">(1+race_food_consumption)*TblPop[[#This Row],[Total]]*food_per_person*(1+tech_1_10*TblTech[[#This Row],[1-10]]+tech_7_5*TblTech[[#This Row],[7-5]])</f>
        <v>3175.25</v>
      </c>
      <c r="AR72" s="69" t="n">
        <f aca="false">TblProd[[#This Row],[Lumber]]*lumber_rot * (1 + tech_2_1*TblTech[[#This Row],[2-1]] + tech_2_8*TblTech[[#This Row],[2-8]] + tech_5_2*TblTech[[#This Row],[5-2]])</f>
        <v>105.16</v>
      </c>
      <c r="AS72" s="69" t="n">
        <f aca="false">TblProd[[#This Row],[Mana]]*mana_drain * (1 + tech_2_1*TblTech[[#This Row],[2-1]] + tech_2_8*TblTech[[#This Row],[2-8]])</f>
        <v>9154.08</v>
      </c>
      <c r="AT72" s="146"/>
      <c r="AU72" s="69" t="n">
        <f aca="false">TblExplore[[#This Row],[Platinum (2)]]+TblConstr[[#This Row],[Total Plat Cost]]+TblMili[[#This Row],[Plat Cost]]+TblRezone[[#This Row],[Platinum cost]]+TblImps[[#This Row],[P1]]-TblProd[[#This Row],[Bank Plat]]</f>
        <v>62624</v>
      </c>
      <c r="AV72" s="69" t="n">
        <f aca="false">TblConstr[[#This Row],[Total Lum Cost]]+TblImps[[#This Row],[L1]]-TblProd[[#This Row],[Bank Lumber]] + Military!$CL$25*TblMili[[#This Row],[Sec. rec. Cost]]</f>
        <v>0</v>
      </c>
      <c r="AW72" s="69" t="n">
        <f aca="false">TblMagic[[#This Row],[Mana cost]] + Military!$CL$26*TblMili[[#This Row],[Sec. rec. Cost]]</f>
        <v>0</v>
      </c>
      <c r="AX72" s="69" t="n">
        <f aca="false">Military!$CL$24*TblMili[[#This Row],[Sec. rec. Cost]]+TblImps[[#This Row],[O1]]-TblProd[[#This Row],[Bank Ore]]</f>
        <v>0</v>
      </c>
      <c r="AY72" s="69" t="n">
        <f aca="false">TblImps[[#This Row],[G1]]-TblProd[[#This Row],[Bank Gems]]</f>
        <v>0</v>
      </c>
      <c r="AZ72" s="132"/>
      <c r="BA72" s="33" t="n">
        <f aca="false">IF(TblProd[[#This Row],[Set Guard]]&lt;&gt;"",TblProd[[#This Row],[Set Guard]],OFFSET(TblProd[[#This Row],[Guard]],-1,0))</f>
        <v>0</v>
      </c>
      <c r="BB72" s="145"/>
      <c r="BC72" s="151" t="n">
        <f aca="false">TblProd[[#This Row],[Hour]]</f>
        <v>69</v>
      </c>
      <c r="BD72" s="152" t="n">
        <f aca="false">-TblProd[[#This Row],[Bank Lumber]] / 2 + -TblProd[[#This Row],[Bank Gems]] * 2 + -TblProd[[#This Row],[Bank Ore]] / 2</f>
        <v>0</v>
      </c>
      <c r="BE72" s="152"/>
      <c r="BF72" s="152"/>
      <c r="BG72" s="152"/>
      <c r="BH72" s="153" t="n">
        <f aca="false">TblProd[[#This Row],[Time]]</f>
        <v>45432.5833333333</v>
      </c>
      <c r="BI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J72" s="69" t="n">
        <f aca="false">TblProd[[#This Row],[Platinum]]</f>
        <v>54065</v>
      </c>
      <c r="BK72" s="69" t="n">
        <f aca="false">TblProd[[#This Row],[Food]]</f>
        <v>460743</v>
      </c>
      <c r="BL72" s="69" t="n">
        <f aca="false">TblProd[[#This Row],[Lumber]]</f>
        <v>10516</v>
      </c>
      <c r="BM72" s="69" t="n">
        <f aca="false">TblProd[[#This Row],[Mana]]</f>
        <v>457704</v>
      </c>
      <c r="BN72" s="69" t="n">
        <f aca="false">TblProd[[#This Row],[Ore]]</f>
        <v>-357</v>
      </c>
    </row>
    <row r="73" customFormat="false" ht="12.75" hidden="false" customHeight="false" outlineLevel="0" collapsed="false">
      <c r="A73" s="128" t="n">
        <v>70</v>
      </c>
      <c r="B73" s="144" t="n">
        <f aca="false">TblImps[[#This Row],[Time]]</f>
        <v>45432.625</v>
      </c>
      <c r="C73" s="145"/>
      <c r="D73" s="146"/>
      <c r="E73" s="69" t="n">
        <f aca="false">TblConstr[[#This Row],[Land]]</f>
        <v>700</v>
      </c>
      <c r="F73" s="69" t="n">
        <f aca="false">TblPop[[#This Row],[Peasants]]</f>
        <v>10145</v>
      </c>
      <c r="G73" s="69"/>
      <c r="H73" s="69" t="e">
        <f aca="false">TblMili[[#This Row],[Networth (2)]]</f>
        <v>#VALUE!</v>
      </c>
      <c r="I73" s="69" t="n">
        <f aca="false">OFFSET(TblProd[[#This Row],[Platinum]],-1,0)+OFFSET(TblProd[[#This Row],[Plat/hr]],-1,0) - TblProd[[#This Row],[Expenses Platinum]] + IF(TblProd[[#This Row],[Plat Bonus]],TblPop[[#This Row],[Peasants]]*4) + SUM(TblConstr[[#This Row],[Dest Hom]:[Dest Doc]])*TblConstr[[#This Row],[CPA Platinum -DB]]*tech_3_3_2*TblTech[[#This Row],[3-3]]</f>
        <v>40027</v>
      </c>
      <c r="J73" s="69" t="n">
        <f aca="false">OFFSET(TblProd[[#This Row],[Food]],-1,0)+OFFSET(TblProd[[#This Row],[Food/hr]],-1,0)+ROUNDUP((TblConstr[[#This Row],[Farms]]*80+TblConstr[[#This Row],[Docks]]*35)*(1+OFFSET(TblProd[[#This Row],[Bonus Food/hr]],-1,0)),0)</f>
        <v>456322</v>
      </c>
      <c r="K73" s="69" t="n">
        <f aca="false">OFFSET(TblProd[[#This Row],[Lumber]],-1,0)+OFFSET(TblProd[[#This Row],[Lumber/hr]],-1,0) - TblProd[[#This Row],[Expenses Lumber]] + SUM(TblConstr[[#This Row],[Dest Hom]:[Dest Doc]])*TblConstr[[#This Row],[CPA Lumber -DB]]*tech_3_3_2*TblTech[[#This Row],[3-3]]</f>
        <v>11536</v>
      </c>
      <c r="L73" s="69" t="n">
        <f aca="false">OFFSET(TblProd[[#This Row],[Mana]],-1,0)+OFFSET(TblProd[[#This Row],[Mana/hr]],-1,0)- TblProd[[#This Row],[Expenses Mana]]</f>
        <v>449275</v>
      </c>
      <c r="M73" s="69" t="n">
        <f aca="false">OFFSET(TblProd[[#This Row],[Ore]],-1,0)+OFFSET(TblProd[[#This Row],[Ore/hr]],-1,0) -TblProd[[#This Row],[Expenses Ore]]</f>
        <v>-357</v>
      </c>
      <c r="N73" s="69" t="n">
        <f aca="false">OFFSET(TblProd[[#This Row],[Gems]],-1,0)+OFFSET(TblProd[[#This Row],[Gems/hr]],-1,0) - TblProd[[#This Row],[Expenses Gems]]</f>
        <v>-1000</v>
      </c>
      <c r="O73" s="69" t="n">
        <f aca="false">OFFSET(TblProd[[#This Row],[Boats]],-1,0)+OFFSET(TblProd[[#This Row],[Boats/hr]],-1,0)</f>
        <v>24.65</v>
      </c>
      <c r="P73" s="69" t="n">
        <f aca="false">OFFSET(TblProd[[#This Row],[Prestige]],-1,0)</f>
        <v>250</v>
      </c>
      <c r="Q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3" s="69" t="n">
        <f aca="false">MAX(3750,_xlfn.CEILING.MATH(TblProd[[#This Row],[Land]]*2.5+OFFSET(TblTech[[#This Row],[Sum of tech]],-1,0)*150))</f>
        <v>3750</v>
      </c>
      <c r="S73" s="132"/>
      <c r="T73" s="69" t="n">
        <f aca="false">ROUNDDOWN(TblProd[[#This Row],[Raw Plat/hr]]*(1+TblProd[[#This Row],[Bonus Plat/hr]]),0)</f>
        <v>47675</v>
      </c>
      <c r="U73" s="69" t="n">
        <f aca="false">ROUND(TblProd[[#This Row],[Raw Food/hr]]*(1+TblProd[[#This Row],[Bonus Food/hr]])-TblProd[[#This Row],[Food decay]]-TblProd[[#This Row],[Food eaten]],0)</f>
        <v>-4376</v>
      </c>
      <c r="V73" s="69" t="n">
        <f aca="false">ROUND(TblProd[[#This Row],[Raw Lumber/hr]]*(1+TblProd[[#This Row],[Bonus Lumber/hr]])-TblProd[[#This Row],[Lumber rot]],0)</f>
        <v>1010</v>
      </c>
      <c r="W73" s="69" t="n">
        <f aca="false">ROUND(TblProd[[#This Row],[Raw Mana/hr]]*(1+TblProd[[#This Row],[Bonus Mana/hr]])-TblProd[[#This Row],[Mana drain]],0)</f>
        <v>-8261</v>
      </c>
      <c r="X73" s="69" t="n">
        <f aca="false">ROUNDDOWN(TblProd[[#This Row],[Raw Ore/hr]]*(1+TblProd[[#This Row],[Bonux Ore/hr]]),0)</f>
        <v>0</v>
      </c>
      <c r="Y73" s="69" t="n">
        <f aca="false">ROUNDDOWN(TblProd[[#This Row],[Raw Gems/hr]]*(1+TblProd[[#This Row],[Bonus Gems/hr]]),0)</f>
        <v>0</v>
      </c>
      <c r="Z73" s="148" t="n">
        <f aca="false">OFFSET(TblConstr[[#This Row],[Tot Doc]],1,0)*dock_boats_hr * (1 + tech_4_1*TblTech[[#This Row],[4-1]])</f>
        <v>1.2</v>
      </c>
      <c r="AA73" s="146"/>
      <c r="AB73" s="69" t="n">
        <f aca="false">TblPop[[#This Row],[Peasants]]*tax*TblPop[[#This Row],[Employment]] + (Construction!AZ74+Construction!BX74)*(alch_plat+(Magic!AM73&gt;0)*alchemist_flame_bonus)</f>
        <v>43341.5</v>
      </c>
      <c r="AC73" s="69" t="n">
        <f aca="false">TblConstr[[#This Row],[Tot Farm]]*farm_food + TblConstr[[#This Row],[Tot Doc]]*dock_food</f>
        <v>3280</v>
      </c>
      <c r="AD73" s="69" t="n">
        <f aca="false">TblConstr[[#This Row],[Tot Ly]]*ly_lumber + TblConstr[[#This Row],[Tot Hav]]*fh_lumber</f>
        <v>1250</v>
      </c>
      <c r="AE73" s="69" t="n">
        <f aca="false">OFFSET(TblConstr[[#This Row],[Tot Tow]],1,0)*(tower_mana + tech_4_5*TblTech[[#This Row],[4-5]]) + OFFSET(TblConstr[[#This Row],[Tot WG]],1,0)*wg_mana_prod</f>
        <v>725</v>
      </c>
      <c r="AF73" s="69" t="n">
        <f aca="false">OFFSET(TblConstr[[#This Row],[Tot OM]],1,0)*om_ore+IF(race="Dwarf",ROUNDDOWN(TblMili[[#This Row],[Unit 2]]*0.4,0),)</f>
        <v>0</v>
      </c>
      <c r="AG73" s="69" t="n">
        <f aca="false">OFFSET(TblConstr[[#This Row],[Tot DM]],1,0)*dm_gems</f>
        <v>0</v>
      </c>
      <c r="AH73" s="132"/>
      <c r="AI73" s="149" t="n">
        <f aca="false">MIN(race_platinum_bonus + IF(TblMagic[[#This Row],[Active Alch Frost]]&gt;0,alch_frost_bonus,IF(Magic!AD73&gt;0,midas_bonus)) + TblImps[[#This Row],[Science]] - TblProd[[#This Row],[Guard]]*(0.02 + tech_5_7*TblTech[[#This Row],[5-7]]) + tech_1_5*TblTech[[#This Row],[1-5]] + tech_4_4*TblTech[[#This Row],[4-4]], 0.5)</f>
        <v>0.1</v>
      </c>
      <c r="AJ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3" s="149" t="n">
        <f aca="false">race_lumber_bonus+ IF(TblMagic[[#This Row],[Active Gaia''s Blessing]]&gt;0,gaias_blessing_lumber)+ tech_1_3*TblTech[[#This Row],[1-3]] + tech_1_6*TblTech[[#This Row],[1-6]] + tech_3_3*TblTech[[#This Row],[3-3]]</f>
        <v>-0.1</v>
      </c>
      <c r="AL73" s="149" t="n">
        <f aca="false">race_mana_bonus+ 0 + TblImps[[#This Row],[Towers]] + tech_1_2*TblTech[[#This Row],[1-2]] + tech_3_4*TblTech[[#This Row],[3-4]]</f>
        <v>0</v>
      </c>
      <c r="AM73" s="149" t="n">
        <f aca="false">race_ore_bonus + IF(TblMagic[[#This Row],[Active Miner''s Sight]]&gt;0,miners_sight_bonus,IF(TblMagic[[#This Row],[Active Mining Strength]]&gt;0,mining_strength_bonus)) +  tech_1_6*TblTech[[#This Row],[1-6]]</f>
        <v>0</v>
      </c>
      <c r="AN73" s="149" t="n">
        <f aca="false">race_gem_bonus+ tech_3_2*TblTech[[#This Row],[3-2]] + tech_4_3*TblTech[[#This Row],[4-3]] + tech_6_2*TblTech[[#This Row],[6-2]]</f>
        <v>0.15</v>
      </c>
      <c r="AO73" s="132"/>
      <c r="AP73" s="69" t="n">
        <f aca="false">TblProd[[#This Row],[Food]]*food_decay * (1 + tech_2_1*TblTech[[#This Row],[2-1]] + tech_2_8*TblTech[[#This Row],[2-8]])</f>
        <v>4563.22</v>
      </c>
      <c r="AQ73" s="69" t="n">
        <f aca="false">(1+race_food_consumption)*TblPop[[#This Row],[Total]]*food_per_person*(1+tech_1_10*TblTech[[#This Row],[1-10]]+tech_7_5*TblTech[[#This Row],[7-5]])</f>
        <v>3175.25</v>
      </c>
      <c r="AR73" s="69" t="n">
        <f aca="false">TblProd[[#This Row],[Lumber]]*lumber_rot * (1 + tech_2_1*TblTech[[#This Row],[2-1]] + tech_2_8*TblTech[[#This Row],[2-8]] + tech_5_2*TblTech[[#This Row],[5-2]])</f>
        <v>115.36</v>
      </c>
      <c r="AS73" s="69" t="n">
        <f aca="false">TblProd[[#This Row],[Mana]]*mana_drain * (1 + tech_2_1*TblTech[[#This Row],[2-1]] + tech_2_8*TblTech[[#This Row],[2-8]])</f>
        <v>8985.5</v>
      </c>
      <c r="AT73" s="146"/>
      <c r="AU73" s="69" t="n">
        <f aca="false">TblExplore[[#This Row],[Platinum (2)]]+TblConstr[[#This Row],[Total Plat Cost]]+TblMili[[#This Row],[Plat Cost]]+TblRezone[[#This Row],[Platinum cost]]+TblImps[[#This Row],[P1]]-TblProd[[#This Row],[Bank Plat]]</f>
        <v>62016</v>
      </c>
      <c r="AV73" s="69" t="n">
        <f aca="false">TblConstr[[#This Row],[Total Lum Cost]]+TblImps[[#This Row],[L1]]-TblProd[[#This Row],[Bank Lumber]] + Military!$CL$25*TblMili[[#This Row],[Sec. rec. Cost]]</f>
        <v>0</v>
      </c>
      <c r="AW73" s="69" t="n">
        <f aca="false">TblMagic[[#This Row],[Mana cost]] + Military!$CL$26*TblMili[[#This Row],[Sec. rec. Cost]]</f>
        <v>0</v>
      </c>
      <c r="AX73" s="69" t="n">
        <f aca="false">Military!$CL$24*TblMili[[#This Row],[Sec. rec. Cost]]+TblImps[[#This Row],[O1]]-TblProd[[#This Row],[Bank Ore]]</f>
        <v>0</v>
      </c>
      <c r="AY73" s="69" t="n">
        <f aca="false">TblImps[[#This Row],[G1]]-TblProd[[#This Row],[Bank Gems]]</f>
        <v>0</v>
      </c>
      <c r="AZ73" s="132"/>
      <c r="BA73" s="33" t="n">
        <f aca="false">IF(TblProd[[#This Row],[Set Guard]]&lt;&gt;"",TblProd[[#This Row],[Set Guard]],OFFSET(TblProd[[#This Row],[Guard]],-1,0))</f>
        <v>0</v>
      </c>
      <c r="BB73" s="145"/>
      <c r="BC73" s="151" t="n">
        <f aca="false">TblProd[[#This Row],[Hour]]</f>
        <v>70</v>
      </c>
      <c r="BD73" s="152" t="n">
        <f aca="false">-TblProd[[#This Row],[Bank Lumber]] / 2 + -TblProd[[#This Row],[Bank Gems]] * 2 + -TblProd[[#This Row],[Bank Ore]] / 2</f>
        <v>0</v>
      </c>
      <c r="BE73" s="152"/>
      <c r="BF73" s="152"/>
      <c r="BG73" s="152"/>
      <c r="BH73" s="153" t="n">
        <f aca="false">TblProd[[#This Row],[Time]]</f>
        <v>45432.625</v>
      </c>
      <c r="BI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J73" s="69" t="n">
        <f aca="false">TblProd[[#This Row],[Platinum]]</f>
        <v>40027</v>
      </c>
      <c r="BK73" s="69" t="n">
        <f aca="false">TblProd[[#This Row],[Food]]</f>
        <v>456322</v>
      </c>
      <c r="BL73" s="69" t="n">
        <f aca="false">TblProd[[#This Row],[Lumber]]</f>
        <v>11536</v>
      </c>
      <c r="BM73" s="69" t="n">
        <f aca="false">TblProd[[#This Row],[Mana]]</f>
        <v>449275</v>
      </c>
      <c r="BN73" s="69" t="n">
        <f aca="false">TblProd[[#This Row],[Ore]]</f>
        <v>-357</v>
      </c>
    </row>
    <row r="74" customFormat="false" ht="12.75" hidden="false" customHeight="false" outlineLevel="0" collapsed="false">
      <c r="A74" s="128" t="n">
        <v>71</v>
      </c>
      <c r="B74" s="144" t="n">
        <f aca="false">TblImps[[#This Row],[Time]]</f>
        <v>45432.6666666667</v>
      </c>
      <c r="C74" s="145"/>
      <c r="D74" s="146"/>
      <c r="E74" s="69" t="n">
        <f aca="false">TblConstr[[#This Row],[Land]]</f>
        <v>700</v>
      </c>
      <c r="F74" s="69" t="n">
        <f aca="false">TblPop[[#This Row],[Peasants]]</f>
        <v>10044</v>
      </c>
      <c r="G74" s="69"/>
      <c r="H74" s="69" t="e">
        <f aca="false">TblMili[[#This Row],[Networth (2)]]</f>
        <v>#VALUE!</v>
      </c>
      <c r="I74" s="69" t="n">
        <f aca="false">OFFSET(TblProd[[#This Row],[Platinum]],-1,0)+OFFSET(TblProd[[#This Row],[Plat/hr]],-1,0) - TblProd[[#This Row],[Expenses Platinum]] + IF(TblProd[[#This Row],[Plat Bonus]],TblPop[[#This Row],[Peasants]]*4) + SUM(TblConstr[[#This Row],[Dest Hom]:[Dest Doc]])*TblConstr[[#This Row],[CPA Platinum -DB]]*tech_3_3_2*TblTech[[#This Row],[3-3]]</f>
        <v>26294</v>
      </c>
      <c r="J74" s="69" t="n">
        <f aca="false">OFFSET(TblProd[[#This Row],[Food]],-1,0)+OFFSET(TblProd[[#This Row],[Food/hr]],-1,0)+ROUNDUP((TblConstr[[#This Row],[Farms]]*80+TblConstr[[#This Row],[Docks]]*35)*(1+OFFSET(TblProd[[#This Row],[Bonus Food/hr]],-1,0)),0)</f>
        <v>451946</v>
      </c>
      <c r="K74" s="69" t="n">
        <f aca="false">OFFSET(TblProd[[#This Row],[Lumber]],-1,0)+OFFSET(TblProd[[#This Row],[Lumber/hr]],-1,0) - TblProd[[#This Row],[Expenses Lumber]] + SUM(TblConstr[[#This Row],[Dest Hom]:[Dest Doc]])*TblConstr[[#This Row],[CPA Lumber -DB]]*tech_3_3_2*TblTech[[#This Row],[3-3]]</f>
        <v>12546</v>
      </c>
      <c r="L74" s="69" t="n">
        <f aca="false">OFFSET(TblProd[[#This Row],[Mana]],-1,0)+OFFSET(TblProd[[#This Row],[Mana/hr]],-1,0)- TblProd[[#This Row],[Expenses Mana]]</f>
        <v>441014</v>
      </c>
      <c r="M74" s="69" t="n">
        <f aca="false">OFFSET(TblProd[[#This Row],[Ore]],-1,0)+OFFSET(TblProd[[#This Row],[Ore/hr]],-1,0) -TblProd[[#This Row],[Expenses Ore]]</f>
        <v>-357</v>
      </c>
      <c r="N74" s="69" t="n">
        <f aca="false">OFFSET(TblProd[[#This Row],[Gems]],-1,0)+OFFSET(TblProd[[#This Row],[Gems/hr]],-1,0) - TblProd[[#This Row],[Expenses Gems]]</f>
        <v>-1000</v>
      </c>
      <c r="O74" s="69" t="n">
        <f aca="false">OFFSET(TblProd[[#This Row],[Boats]],-1,0)+OFFSET(TblProd[[#This Row],[Boats/hr]],-1,0)</f>
        <v>25.85</v>
      </c>
      <c r="P74" s="69" t="n">
        <f aca="false">OFFSET(TblProd[[#This Row],[Prestige]],-1,0)</f>
        <v>250</v>
      </c>
      <c r="Q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4" s="69" t="n">
        <f aca="false">MAX(3750,_xlfn.CEILING.MATH(TblProd[[#This Row],[Land]]*2.5+OFFSET(TblTech[[#This Row],[Sum of tech]],-1,0)*150))</f>
        <v>3750</v>
      </c>
      <c r="S74" s="132"/>
      <c r="T74" s="69" t="n">
        <f aca="false">ROUNDDOWN(TblProd[[#This Row],[Raw Plat/hr]]*(1+TblProd[[#This Row],[Bonus Plat/hr]]),0)</f>
        <v>47375</v>
      </c>
      <c r="U74" s="69" t="n">
        <f aca="false">ROUND(TblProd[[#This Row],[Raw Food/hr]]*(1+TblProd[[#This Row],[Bonus Food/hr]])-TblProd[[#This Row],[Food decay]]-TblProd[[#This Row],[Food eaten]],0)</f>
        <v>-4333</v>
      </c>
      <c r="V74" s="69" t="n">
        <f aca="false">ROUND(TblProd[[#This Row],[Raw Lumber/hr]]*(1+TblProd[[#This Row],[Bonus Lumber/hr]])-TblProd[[#This Row],[Lumber rot]],0)</f>
        <v>1000</v>
      </c>
      <c r="W74" s="69" t="n">
        <f aca="false">ROUND(TblProd[[#This Row],[Raw Mana/hr]]*(1+TblProd[[#This Row],[Bonus Mana/hr]])-TblProd[[#This Row],[Mana drain]],0)</f>
        <v>-8095</v>
      </c>
      <c r="X74" s="69" t="n">
        <f aca="false">ROUNDDOWN(TblProd[[#This Row],[Raw Ore/hr]]*(1+TblProd[[#This Row],[Bonux Ore/hr]]),0)</f>
        <v>0</v>
      </c>
      <c r="Y74" s="69" t="n">
        <f aca="false">ROUNDDOWN(TblProd[[#This Row],[Raw Gems/hr]]*(1+TblProd[[#This Row],[Bonus Gems/hr]]),0)</f>
        <v>0</v>
      </c>
      <c r="Z74" s="148" t="n">
        <f aca="false">OFFSET(TblConstr[[#This Row],[Tot Doc]],1,0)*dock_boats_hr * (1 + tech_4_1*TblTech[[#This Row],[4-1]])</f>
        <v>1.2</v>
      </c>
      <c r="AA74" s="146"/>
      <c r="AB74" s="69" t="n">
        <f aca="false">TblPop[[#This Row],[Peasants]]*tax*TblPop[[#This Row],[Employment]] + (Construction!AZ75+Construction!BX75)*(alch_plat+(Magic!AM74&gt;0)*alchemist_flame_bonus)</f>
        <v>43068.8</v>
      </c>
      <c r="AC74" s="69" t="n">
        <f aca="false">TblConstr[[#This Row],[Tot Farm]]*farm_food + TblConstr[[#This Row],[Tot Doc]]*dock_food</f>
        <v>3280</v>
      </c>
      <c r="AD74" s="69" t="n">
        <f aca="false">TblConstr[[#This Row],[Tot Ly]]*ly_lumber + TblConstr[[#This Row],[Tot Hav]]*fh_lumber</f>
        <v>1250</v>
      </c>
      <c r="AE74" s="69" t="n">
        <f aca="false">OFFSET(TblConstr[[#This Row],[Tot Tow]],1,0)*(tower_mana + tech_4_5*TblTech[[#This Row],[4-5]]) + OFFSET(TblConstr[[#This Row],[Tot WG]],1,0)*wg_mana_prod</f>
        <v>725</v>
      </c>
      <c r="AF74" s="69" t="n">
        <f aca="false">OFFSET(TblConstr[[#This Row],[Tot OM]],1,0)*om_ore+IF(race="Dwarf",ROUNDDOWN(TblMili[[#This Row],[Unit 2]]*0.4,0),)</f>
        <v>0</v>
      </c>
      <c r="AG74" s="69" t="n">
        <f aca="false">OFFSET(TblConstr[[#This Row],[Tot DM]],1,0)*dm_gems</f>
        <v>0</v>
      </c>
      <c r="AH74" s="132"/>
      <c r="AI74" s="149" t="n">
        <f aca="false">MIN(race_platinum_bonus + IF(TblMagic[[#This Row],[Active Alch Frost]]&gt;0,alch_frost_bonus,IF(Magic!AD74&gt;0,midas_bonus)) + TblImps[[#This Row],[Science]] - TblProd[[#This Row],[Guard]]*(0.02 + tech_5_7*TblTech[[#This Row],[5-7]]) + tech_1_5*TblTech[[#This Row],[1-5]] + tech_4_4*TblTech[[#This Row],[4-4]], 0.5)</f>
        <v>0.1</v>
      </c>
      <c r="AJ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4" s="149" t="n">
        <f aca="false">race_lumber_bonus+ IF(TblMagic[[#This Row],[Active Gaia''s Blessing]]&gt;0,gaias_blessing_lumber)+ tech_1_3*TblTech[[#This Row],[1-3]] + tech_1_6*TblTech[[#This Row],[1-6]] + tech_3_3*TblTech[[#This Row],[3-3]]</f>
        <v>-0.1</v>
      </c>
      <c r="AL74" s="149" t="n">
        <f aca="false">race_mana_bonus+ 0 + TblImps[[#This Row],[Towers]] + tech_1_2*TblTech[[#This Row],[1-2]] + tech_3_4*TblTech[[#This Row],[3-4]]</f>
        <v>0</v>
      </c>
      <c r="AM74" s="149" t="n">
        <f aca="false">race_ore_bonus + IF(TblMagic[[#This Row],[Active Miner''s Sight]]&gt;0,miners_sight_bonus,IF(TblMagic[[#This Row],[Active Mining Strength]]&gt;0,mining_strength_bonus)) +  tech_1_6*TblTech[[#This Row],[1-6]]</f>
        <v>0</v>
      </c>
      <c r="AN74" s="149" t="n">
        <f aca="false">race_gem_bonus+ tech_3_2*TblTech[[#This Row],[3-2]] + tech_4_3*TblTech[[#This Row],[4-3]] + tech_6_2*TblTech[[#This Row],[6-2]]</f>
        <v>0.15</v>
      </c>
      <c r="AO74" s="132"/>
      <c r="AP74" s="69" t="n">
        <f aca="false">TblProd[[#This Row],[Food]]*food_decay * (1 + tech_2_1*TblTech[[#This Row],[2-1]] + tech_2_8*TblTech[[#This Row],[2-8]])</f>
        <v>4519.46</v>
      </c>
      <c r="AQ74" s="69" t="n">
        <f aca="false">(1+race_food_consumption)*TblPop[[#This Row],[Total]]*food_per_person*(1+tech_1_10*TblTech[[#This Row],[1-10]]+tech_7_5*TblTech[[#This Row],[7-5]])</f>
        <v>3175.25</v>
      </c>
      <c r="AR74" s="69" t="n">
        <f aca="false">TblProd[[#This Row],[Lumber]]*lumber_rot * (1 + tech_2_1*TblTech[[#This Row],[2-1]] + tech_2_8*TblTech[[#This Row],[2-8]] + tech_5_2*TblTech[[#This Row],[5-2]])</f>
        <v>125.46</v>
      </c>
      <c r="AS74" s="69" t="n">
        <f aca="false">TblProd[[#This Row],[Mana]]*mana_drain * (1 + tech_2_1*TblTech[[#This Row],[2-1]] + tech_2_8*TblTech[[#This Row],[2-8]])</f>
        <v>8820.28</v>
      </c>
      <c r="AT74" s="146"/>
      <c r="AU74" s="69" t="n">
        <f aca="false">TblExplore[[#This Row],[Platinum (2)]]+TblConstr[[#This Row],[Total Plat Cost]]+TblMili[[#This Row],[Plat Cost]]+TblRezone[[#This Row],[Platinum cost]]+TblImps[[#This Row],[P1]]-TblProd[[#This Row],[Bank Plat]]</f>
        <v>61408</v>
      </c>
      <c r="AV74" s="69" t="n">
        <f aca="false">TblConstr[[#This Row],[Total Lum Cost]]+TblImps[[#This Row],[L1]]-TblProd[[#This Row],[Bank Lumber]] + Military!$CL$25*TblMili[[#This Row],[Sec. rec. Cost]]</f>
        <v>0</v>
      </c>
      <c r="AW74" s="69" t="n">
        <f aca="false">TblMagic[[#This Row],[Mana cost]] + Military!$CL$26*TblMili[[#This Row],[Sec. rec. Cost]]</f>
        <v>0</v>
      </c>
      <c r="AX74" s="69" t="n">
        <f aca="false">Military!$CL$24*TblMili[[#This Row],[Sec. rec. Cost]]+TblImps[[#This Row],[O1]]-TblProd[[#This Row],[Bank Ore]]</f>
        <v>0</v>
      </c>
      <c r="AY74" s="69" t="n">
        <f aca="false">TblImps[[#This Row],[G1]]-TblProd[[#This Row],[Bank Gems]]</f>
        <v>0</v>
      </c>
      <c r="AZ74" s="132"/>
      <c r="BA74" s="33" t="n">
        <f aca="false">IF(TblProd[[#This Row],[Set Guard]]&lt;&gt;"",TblProd[[#This Row],[Set Guard]],OFFSET(TblProd[[#This Row],[Guard]],-1,0))</f>
        <v>0</v>
      </c>
      <c r="BB74" s="145"/>
      <c r="BC74" s="151" t="n">
        <f aca="false">TblProd[[#This Row],[Hour]]</f>
        <v>71</v>
      </c>
      <c r="BD74" s="152" t="n">
        <f aca="false">-TblProd[[#This Row],[Bank Lumber]] / 2 + -TblProd[[#This Row],[Bank Gems]] * 2 + -TblProd[[#This Row],[Bank Ore]] / 2</f>
        <v>0</v>
      </c>
      <c r="BE74" s="152"/>
      <c r="BF74" s="152"/>
      <c r="BG74" s="152"/>
      <c r="BH74" s="153" t="n">
        <f aca="false">TblProd[[#This Row],[Time]]</f>
        <v>45432.6666666667</v>
      </c>
      <c r="BI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J74" s="69" t="n">
        <f aca="false">TblProd[[#This Row],[Platinum]]</f>
        <v>26294</v>
      </c>
      <c r="BK74" s="69" t="n">
        <f aca="false">TblProd[[#This Row],[Food]]</f>
        <v>451946</v>
      </c>
      <c r="BL74" s="69" t="n">
        <f aca="false">TblProd[[#This Row],[Lumber]]</f>
        <v>12546</v>
      </c>
      <c r="BM74" s="69" t="n">
        <f aca="false">TblProd[[#This Row],[Mana]]</f>
        <v>441014</v>
      </c>
      <c r="BN74" s="69" t="n">
        <f aca="false">TblProd[[#This Row],[Ore]]</f>
        <v>-357</v>
      </c>
    </row>
    <row r="75" customFormat="false" ht="12.75" hidden="false" customHeight="false" outlineLevel="0" collapsed="false">
      <c r="A75" s="128" t="n">
        <v>72</v>
      </c>
      <c r="B75" s="144" t="n">
        <f aca="false">TblImps[[#This Row],[Time]]</f>
        <v>45432.7083333333</v>
      </c>
      <c r="C75" s="145"/>
      <c r="D75" s="146"/>
      <c r="E75" s="69" t="n">
        <f aca="false">TblConstr[[#This Row],[Land]]</f>
        <v>700</v>
      </c>
      <c r="F75" s="69" t="n">
        <f aca="false">TblPop[[#This Row],[Peasants]]</f>
        <v>9944</v>
      </c>
      <c r="G75" s="69"/>
      <c r="H75" s="69" t="e">
        <f aca="false">TblMili[[#This Row],[Networth (2)]]</f>
        <v>#VALUE!</v>
      </c>
      <c r="I75" s="69" t="n">
        <f aca="false">OFFSET(TblProd[[#This Row],[Platinum]],-1,0)+OFFSET(TblProd[[#This Row],[Plat/hr]],-1,0) - TblProd[[#This Row],[Expenses Platinum]] + IF(TblProd[[#This Row],[Plat Bonus]],TblPop[[#This Row],[Peasants]]*4) + SUM(TblConstr[[#This Row],[Dest Hom]:[Dest Doc]])*TblConstr[[#This Row],[CPA Platinum -DB]]*tech_3_3_2*TblTech[[#This Row],[3-3]]</f>
        <v>12869</v>
      </c>
      <c r="J75" s="69" t="n">
        <f aca="false">OFFSET(TblProd[[#This Row],[Food]],-1,0)+OFFSET(TblProd[[#This Row],[Food/hr]],-1,0)+ROUNDUP((TblConstr[[#This Row],[Farms]]*80+TblConstr[[#This Row],[Docks]]*35)*(1+OFFSET(TblProd[[#This Row],[Bonus Food/hr]],-1,0)),0)</f>
        <v>447613</v>
      </c>
      <c r="K75" s="69" t="n">
        <f aca="false">OFFSET(TblProd[[#This Row],[Lumber]],-1,0)+OFFSET(TblProd[[#This Row],[Lumber/hr]],-1,0) - TblProd[[#This Row],[Expenses Lumber]] + SUM(TblConstr[[#This Row],[Dest Hom]:[Dest Doc]])*TblConstr[[#This Row],[CPA Lumber -DB]]*tech_3_3_2*TblTech[[#This Row],[3-3]]</f>
        <v>13546</v>
      </c>
      <c r="L75" s="69" t="n">
        <f aca="false">OFFSET(TblProd[[#This Row],[Mana]],-1,0)+OFFSET(TblProd[[#This Row],[Mana/hr]],-1,0)- TblProd[[#This Row],[Expenses Mana]]</f>
        <v>432919</v>
      </c>
      <c r="M75" s="69" t="n">
        <f aca="false">OFFSET(TblProd[[#This Row],[Ore]],-1,0)+OFFSET(TblProd[[#This Row],[Ore/hr]],-1,0) -TblProd[[#This Row],[Expenses Ore]]</f>
        <v>-357</v>
      </c>
      <c r="N75" s="69" t="n">
        <f aca="false">OFFSET(TblProd[[#This Row],[Gems]],-1,0)+OFFSET(TblProd[[#This Row],[Gems/hr]],-1,0) - TblProd[[#This Row],[Expenses Gems]]</f>
        <v>-1000</v>
      </c>
      <c r="O75" s="69" t="n">
        <f aca="false">OFFSET(TblProd[[#This Row],[Boats]],-1,0)+OFFSET(TblProd[[#This Row],[Boats/hr]],-1,0)</f>
        <v>27.05</v>
      </c>
      <c r="P75" s="69" t="n">
        <f aca="false">OFFSET(TblProd[[#This Row],[Prestige]],-1,0)</f>
        <v>250</v>
      </c>
      <c r="Q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5" s="69" t="n">
        <f aca="false">MAX(3750,_xlfn.CEILING.MATH(TblProd[[#This Row],[Land]]*2.5+OFFSET(TblTech[[#This Row],[Sum of tech]],-1,0)*150))</f>
        <v>3750</v>
      </c>
      <c r="S75" s="132"/>
      <c r="T75" s="69" t="n">
        <f aca="false">ROUNDDOWN(TblProd[[#This Row],[Raw Plat/hr]]*(1+TblProd[[#This Row],[Bonus Plat/hr]]),0)</f>
        <v>47078</v>
      </c>
      <c r="U75" s="69" t="n">
        <f aca="false">ROUND(TblProd[[#This Row],[Raw Food/hr]]*(1+TblProd[[#This Row],[Bonus Food/hr]])-TblProd[[#This Row],[Food decay]]-TblProd[[#This Row],[Food eaten]],0)</f>
        <v>-4289</v>
      </c>
      <c r="V75" s="69" t="n">
        <f aca="false">ROUND(TblProd[[#This Row],[Raw Lumber/hr]]*(1+TblProd[[#This Row],[Bonus Lumber/hr]])-TblProd[[#This Row],[Lumber rot]],0)</f>
        <v>990</v>
      </c>
      <c r="W75" s="69" t="n">
        <f aca="false">ROUND(TblProd[[#This Row],[Raw Mana/hr]]*(1+TblProd[[#This Row],[Bonus Mana/hr]])-TblProd[[#This Row],[Mana drain]],0)</f>
        <v>-7933</v>
      </c>
      <c r="X75" s="69" t="n">
        <f aca="false">ROUNDDOWN(TblProd[[#This Row],[Raw Ore/hr]]*(1+TblProd[[#This Row],[Bonux Ore/hr]]),0)</f>
        <v>0</v>
      </c>
      <c r="Y75" s="69" t="n">
        <f aca="false">ROUNDDOWN(TblProd[[#This Row],[Raw Gems/hr]]*(1+TblProd[[#This Row],[Bonus Gems/hr]]),0)</f>
        <v>0</v>
      </c>
      <c r="Z75" s="148" t="n">
        <f aca="false">OFFSET(TblConstr[[#This Row],[Tot Doc]],1,0)*dock_boats_hr * (1 + tech_4_1*TblTech[[#This Row],[4-1]])</f>
        <v>1.2</v>
      </c>
      <c r="AA75" s="146"/>
      <c r="AB75" s="69" t="n">
        <f aca="false">TblPop[[#This Row],[Peasants]]*tax*TblPop[[#This Row],[Employment]] + (Construction!AZ76+Construction!BX76)*(alch_plat+(Magic!AM75&gt;0)*alchemist_flame_bonus)</f>
        <v>42798.8</v>
      </c>
      <c r="AC75" s="69" t="n">
        <f aca="false">TblConstr[[#This Row],[Tot Farm]]*farm_food + TblConstr[[#This Row],[Tot Doc]]*dock_food</f>
        <v>3280</v>
      </c>
      <c r="AD75" s="69" t="n">
        <f aca="false">TblConstr[[#This Row],[Tot Ly]]*ly_lumber + TblConstr[[#This Row],[Tot Hav]]*fh_lumber</f>
        <v>1250</v>
      </c>
      <c r="AE75" s="69" t="n">
        <f aca="false">OFFSET(TblConstr[[#This Row],[Tot Tow]],1,0)*(tower_mana + tech_4_5*TblTech[[#This Row],[4-5]]) + OFFSET(TblConstr[[#This Row],[Tot WG]],1,0)*wg_mana_prod</f>
        <v>725</v>
      </c>
      <c r="AF75" s="69" t="n">
        <f aca="false">OFFSET(TblConstr[[#This Row],[Tot OM]],1,0)*om_ore+IF(race="Dwarf",ROUNDDOWN(TblMili[[#This Row],[Unit 2]]*0.4,0),)</f>
        <v>0</v>
      </c>
      <c r="AG75" s="69" t="n">
        <f aca="false">OFFSET(TblConstr[[#This Row],[Tot DM]],1,0)*dm_gems</f>
        <v>0</v>
      </c>
      <c r="AH75" s="132"/>
      <c r="AI75" s="149" t="n">
        <f aca="false">MIN(race_platinum_bonus + IF(TblMagic[[#This Row],[Active Alch Frost]]&gt;0,alch_frost_bonus,IF(Magic!AD75&gt;0,midas_bonus)) + TblImps[[#This Row],[Science]] - TblProd[[#This Row],[Guard]]*(0.02 + tech_5_7*TblTech[[#This Row],[5-7]]) + tech_1_5*TblTech[[#This Row],[1-5]] + tech_4_4*TblTech[[#This Row],[4-4]], 0.5)</f>
        <v>0.1</v>
      </c>
      <c r="AJ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5" s="149" t="n">
        <f aca="false">race_lumber_bonus+ IF(TblMagic[[#This Row],[Active Gaia''s Blessing]]&gt;0,gaias_blessing_lumber)+ tech_1_3*TblTech[[#This Row],[1-3]] + tech_1_6*TblTech[[#This Row],[1-6]] + tech_3_3*TblTech[[#This Row],[3-3]]</f>
        <v>-0.1</v>
      </c>
      <c r="AL75" s="149" t="n">
        <f aca="false">race_mana_bonus+ 0 + TblImps[[#This Row],[Towers]] + tech_1_2*TblTech[[#This Row],[1-2]] + tech_3_4*TblTech[[#This Row],[3-4]]</f>
        <v>0</v>
      </c>
      <c r="AM75" s="149" t="n">
        <f aca="false">race_ore_bonus + IF(TblMagic[[#This Row],[Active Miner''s Sight]]&gt;0,miners_sight_bonus,IF(TblMagic[[#This Row],[Active Mining Strength]]&gt;0,mining_strength_bonus)) +  tech_1_6*TblTech[[#This Row],[1-6]]</f>
        <v>0</v>
      </c>
      <c r="AN75" s="149" t="n">
        <f aca="false">race_gem_bonus+ tech_3_2*TblTech[[#This Row],[3-2]] + tech_4_3*TblTech[[#This Row],[4-3]] + tech_6_2*TblTech[[#This Row],[6-2]]</f>
        <v>0.15</v>
      </c>
      <c r="AO75" s="132"/>
      <c r="AP75" s="69" t="n">
        <f aca="false">TblProd[[#This Row],[Food]]*food_decay * (1 + tech_2_1*TblTech[[#This Row],[2-1]] + tech_2_8*TblTech[[#This Row],[2-8]])</f>
        <v>4476.13</v>
      </c>
      <c r="AQ75" s="69" t="n">
        <f aca="false">(1+race_food_consumption)*TblPop[[#This Row],[Total]]*food_per_person*(1+tech_1_10*TblTech[[#This Row],[1-10]]+tech_7_5*TblTech[[#This Row],[7-5]])</f>
        <v>3175.25</v>
      </c>
      <c r="AR75" s="69" t="n">
        <f aca="false">TblProd[[#This Row],[Lumber]]*lumber_rot * (1 + tech_2_1*TblTech[[#This Row],[2-1]] + tech_2_8*TblTech[[#This Row],[2-8]] + tech_5_2*TblTech[[#This Row],[5-2]])</f>
        <v>135.46</v>
      </c>
      <c r="AS75" s="69" t="n">
        <f aca="false">TblProd[[#This Row],[Mana]]*mana_drain * (1 + tech_2_1*TblTech[[#This Row],[2-1]] + tech_2_8*TblTech[[#This Row],[2-8]])</f>
        <v>8658.38</v>
      </c>
      <c r="AT75" s="146"/>
      <c r="AU75" s="69" t="n">
        <f aca="false">TblExplore[[#This Row],[Platinum (2)]]+TblConstr[[#This Row],[Total Plat Cost]]+TblMili[[#This Row],[Plat Cost]]+TblRezone[[#This Row],[Platinum cost]]+TblImps[[#This Row],[P1]]-TblProd[[#This Row],[Bank Plat]]</f>
        <v>60800</v>
      </c>
      <c r="AV75" s="69" t="n">
        <f aca="false">TblConstr[[#This Row],[Total Lum Cost]]+TblImps[[#This Row],[L1]]-TblProd[[#This Row],[Bank Lumber]] + Military!$CL$25*TblMili[[#This Row],[Sec. rec. Cost]]</f>
        <v>0</v>
      </c>
      <c r="AW75" s="69" t="n">
        <f aca="false">TblMagic[[#This Row],[Mana cost]] + Military!$CL$26*TblMili[[#This Row],[Sec. rec. Cost]]</f>
        <v>0</v>
      </c>
      <c r="AX75" s="69" t="n">
        <f aca="false">Military!$CL$24*TblMili[[#This Row],[Sec. rec. Cost]]+TblImps[[#This Row],[O1]]-TblProd[[#This Row],[Bank Ore]]</f>
        <v>0</v>
      </c>
      <c r="AY75" s="69" t="n">
        <f aca="false">TblImps[[#This Row],[G1]]-TblProd[[#This Row],[Bank Gems]]</f>
        <v>0</v>
      </c>
      <c r="AZ75" s="132"/>
      <c r="BA75" s="33" t="n">
        <f aca="false">IF(TblProd[[#This Row],[Set Guard]]&lt;&gt;"",TblProd[[#This Row],[Set Guard]],OFFSET(TblProd[[#This Row],[Guard]],-1,0))</f>
        <v>0</v>
      </c>
      <c r="BB75" s="145"/>
      <c r="BC75" s="151" t="n">
        <f aca="false">TblProd[[#This Row],[Hour]]</f>
        <v>72</v>
      </c>
      <c r="BD75" s="152" t="n">
        <f aca="false">-TblProd[[#This Row],[Bank Lumber]] / 2 + -TblProd[[#This Row],[Bank Gems]] * 2 + -TblProd[[#This Row],[Bank Ore]] / 2</f>
        <v>0</v>
      </c>
      <c r="BE75" s="152"/>
      <c r="BF75" s="152"/>
      <c r="BG75" s="152"/>
      <c r="BH75" s="153" t="n">
        <f aca="false">TblProd[[#This Row],[Time]]</f>
        <v>45432.7083333333</v>
      </c>
      <c r="BI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J75" s="69" t="n">
        <f aca="false">TblProd[[#This Row],[Platinum]]</f>
        <v>12869</v>
      </c>
      <c r="BK75" s="69" t="n">
        <f aca="false">TblProd[[#This Row],[Food]]</f>
        <v>447613</v>
      </c>
      <c r="BL75" s="69" t="n">
        <f aca="false">TblProd[[#This Row],[Lumber]]</f>
        <v>13546</v>
      </c>
      <c r="BM75" s="69" t="n">
        <f aca="false">TblProd[[#This Row],[Mana]]</f>
        <v>432919</v>
      </c>
      <c r="BN75" s="69" t="n">
        <f aca="false">TblProd[[#This Row],[Ore]]</f>
        <v>-357</v>
      </c>
    </row>
    <row r="76" s="31" customFormat="true" ht="12.75" hidden="false" customHeight="false" outlineLevel="0" collapsed="false">
      <c r="A76" s="154" t="s">
        <v>85</v>
      </c>
      <c r="B76" s="155" t="n">
        <f aca="false">TblImps[[#This Row],[Time]]</f>
        <v>45432.75</v>
      </c>
      <c r="C76" s="156"/>
      <c r="D76" s="157"/>
      <c r="E76" s="76" t="n">
        <f aca="false">TblConstr[[#This Row],[Land]]</f>
        <v>700</v>
      </c>
      <c r="F76" s="76" t="n">
        <f aca="false">TblPop[[#This Row],[Peasants]]</f>
        <v>9845</v>
      </c>
      <c r="G76" s="76"/>
      <c r="H76" s="76" t="e">
        <f aca="false">TblMili[[#This Row],[Networth (2)]]</f>
        <v>#VALUE!</v>
      </c>
      <c r="I76" s="76" t="n">
        <f aca="false">OFFSET(TblProd[[#This Row],[Platinum]],-1,0)+OFFSET(TblProd[[#This Row],[Plat/hr]],-1,0) - TblProd[[#This Row],[Expenses Platinum]] + IF(TblProd[[#This Row],[Plat Bonus]],TblPop[[#This Row],[Peasants]]*4) + SUM(TblConstr[[#This Row],[Dest Hom]:[Dest Doc]])*TblConstr[[#This Row],[CPA Platinum -DB]]*tech_3_3_2*TblTech[[#This Row],[3-3]]</f>
        <v>155</v>
      </c>
      <c r="J76" s="76" t="n">
        <f aca="false">OFFSET(TblProd[[#This Row],[Food]],-1,0)+OFFSET(TblProd[[#This Row],[Food/hr]],-1,0)+ROUNDUP((TblConstr[[#This Row],[Farms]]*80+TblConstr[[#This Row],[Docks]]*35)*(1+OFFSET(TblProd[[#This Row],[Bonus Food/hr]],-1,0)),0)</f>
        <v>443324</v>
      </c>
      <c r="K76" s="76" t="n">
        <f aca="false">OFFSET(TblProd[[#This Row],[Lumber]],-1,0)+OFFSET(TblProd[[#This Row],[Lumber/hr]],-1,0) - TblProd[[#This Row],[Expenses Lumber]] + SUM(TblConstr[[#This Row],[Dest Hom]:[Dest Doc]])*TblConstr[[#This Row],[CPA Lumber -DB]]*tech_3_3_2*TblTech[[#This Row],[3-3]]</f>
        <v>14536</v>
      </c>
      <c r="L76" s="76" t="n">
        <f aca="false">OFFSET(TblProd[[#This Row],[Mana]],-1,0)+OFFSET(TblProd[[#This Row],[Mana/hr]],-1,0)- TblProd[[#This Row],[Expenses Mana]]</f>
        <v>417986</v>
      </c>
      <c r="M76" s="76" t="n">
        <f aca="false">OFFSET(TblProd[[#This Row],[Ore]],-1,0)+OFFSET(TblProd[[#This Row],[Ore/hr]],-1,0) -TblProd[[#This Row],[Expenses Ore]]</f>
        <v>-357</v>
      </c>
      <c r="N76" s="76" t="n">
        <f aca="false">OFFSET(TblProd[[#This Row],[Gems]],-1,0)+OFFSET(TblProd[[#This Row],[Gems/hr]],-1,0) - TblProd[[#This Row],[Expenses Gems]]</f>
        <v>-1000</v>
      </c>
      <c r="O76" s="76" t="n">
        <f aca="false">OFFSET(TblProd[[#This Row],[Boats]],-1,0)+OFFSET(TblProd[[#This Row],[Boats/hr]],-1,0)</f>
        <v>28.25</v>
      </c>
      <c r="P76" s="76" t="n">
        <f aca="false">OFFSET(TblProd[[#This Row],[Prestige]],-1,0)</f>
        <v>250</v>
      </c>
      <c r="Q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6" s="69" t="n">
        <f aca="false">MAX(3750,_xlfn.CEILING.MATH(TblProd[[#This Row],[Land]]*2.5+OFFSET(TblTech[[#This Row],[Sum of tech]],-1,0)*150))</f>
        <v>3750</v>
      </c>
      <c r="T76" s="76" t="n">
        <f aca="false">ROUNDDOWN(TblProd[[#This Row],[Raw Plat/hr]]*(1+TblProd[[#This Row],[Bonus Plat/hr]]),0)</f>
        <v>46784</v>
      </c>
      <c r="U76" s="76" t="n">
        <f aca="false">ROUND(TblProd[[#This Row],[Raw Food/hr]]*(1+TblProd[[#This Row],[Bonus Food/hr]])-TblProd[[#This Row],[Food decay]]-TblProd[[#This Row],[Food eaten]],0)</f>
        <v>-4246</v>
      </c>
      <c r="V76" s="76" t="n">
        <f aca="false">ROUND(TblProd[[#This Row],[Raw Lumber/hr]]*(1+TblProd[[#This Row],[Bonus Lumber/hr]])-TblProd[[#This Row],[Lumber rot]],0)</f>
        <v>980</v>
      </c>
      <c r="W76" s="76" t="n">
        <f aca="false">ROUND(TblProd[[#This Row],[Raw Mana/hr]]*(1+TblProd[[#This Row],[Bonus Mana/hr]])-TblProd[[#This Row],[Mana drain]],0)</f>
        <v>-7635</v>
      </c>
      <c r="X76" s="76" t="n">
        <f aca="false">ROUNDDOWN(TblProd[[#This Row],[Raw Ore/hr]]*(1+TblProd[[#This Row],[Bonux Ore/hr]]),0)</f>
        <v>0</v>
      </c>
      <c r="Y76" s="76" t="n">
        <f aca="false">ROUNDDOWN(TblProd[[#This Row],[Raw Gems/hr]]*(1+TblProd[[#This Row],[Bonus Gems/hr]]),0)</f>
        <v>0</v>
      </c>
      <c r="Z76" s="158" t="n">
        <f aca="false">OFFSET(TblConstr[[#This Row],[Tot Doc]],1,0)*dock_boats_hr * (1 + tech_4_1*TblTech[[#This Row],[4-1]])</f>
        <v>1.2</v>
      </c>
      <c r="AA76" s="76"/>
      <c r="AB76" s="76" t="n">
        <f aca="false">TblPop[[#This Row],[Peasants]]*tax*TblPop[[#This Row],[Employment]] + (Construction!AZ77+Construction!BX77)*(alch_plat+(Magic!AM76&gt;0)*alchemist_flame_bonus)</f>
        <v>42531.5</v>
      </c>
      <c r="AC76" s="76" t="n">
        <f aca="false">TblConstr[[#This Row],[Tot Farm]]*farm_food + TblConstr[[#This Row],[Tot Doc]]*dock_food</f>
        <v>3280</v>
      </c>
      <c r="AD76" s="76" t="n">
        <f aca="false">TblConstr[[#This Row],[Tot Ly]]*ly_lumber + TblConstr[[#This Row],[Tot Hav]]*fh_lumber</f>
        <v>1250</v>
      </c>
      <c r="AE76" s="76" t="n">
        <f aca="false">OFFSET(TblConstr[[#This Row],[Tot Tow]],1,0)*(tower_mana + tech_4_5*TblTech[[#This Row],[4-5]]) + OFFSET(TblConstr[[#This Row],[Tot WG]],1,0)*wg_mana_prod</f>
        <v>725</v>
      </c>
      <c r="AF76" s="76" t="n">
        <f aca="false">OFFSET(TblConstr[[#This Row],[Tot OM]],1,0)*om_ore+IF(race="Dwarf",ROUNDDOWN(TblMili[[#This Row],[Unit 2]]*0.4,0),)</f>
        <v>0</v>
      </c>
      <c r="AG76" s="76" t="n">
        <f aca="false">OFFSET(TblConstr[[#This Row],[Tot DM]],1,0)*dm_gems</f>
        <v>0</v>
      </c>
      <c r="AI76" s="159" t="n">
        <f aca="false">MIN(race_platinum_bonus + IF(TblMagic[[#This Row],[Active Alch Frost]]&gt;0,alch_frost_bonus,IF(Magic!AD76&gt;0,midas_bonus)) + TblImps[[#This Row],[Science]] - TblProd[[#This Row],[Guard]]*(0.02 + tech_5_7*TblTech[[#This Row],[5-7]]) + tech_1_5*TblTech[[#This Row],[1-5]] + tech_4_4*TblTech[[#This Row],[4-4]], 0.5)</f>
        <v>0.1</v>
      </c>
      <c r="AJ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6" s="159" t="n">
        <f aca="false">race_lumber_bonus+ IF(TblMagic[[#This Row],[Active Gaia''s Blessing]]&gt;0,gaias_blessing_lumber)+ tech_1_3*TblTech[[#This Row],[1-3]] + tech_1_6*TblTech[[#This Row],[1-6]] + tech_3_3*TblTech[[#This Row],[3-3]]</f>
        <v>-0.1</v>
      </c>
      <c r="AL76" s="159" t="n">
        <f aca="false">race_mana_bonus+ 0 + TblImps[[#This Row],[Towers]] + tech_1_2*TblTech[[#This Row],[1-2]] + tech_3_4*TblTech[[#This Row],[3-4]]</f>
        <v>0</v>
      </c>
      <c r="AM76" s="159" t="n">
        <f aca="false">race_ore_bonus + IF(TblMagic[[#This Row],[Active Miner''s Sight]]&gt;0,miners_sight_bonus,IF(TblMagic[[#This Row],[Active Mining Strength]]&gt;0,mining_strength_bonus)) +  tech_1_6*TblTech[[#This Row],[1-6]]</f>
        <v>0</v>
      </c>
      <c r="AN76" s="159" t="n">
        <f aca="false">race_gem_bonus+ tech_3_2*TblTech[[#This Row],[3-2]] + tech_4_3*TblTech[[#This Row],[4-3]] + tech_6_2*TblTech[[#This Row],[6-2]]</f>
        <v>0.15</v>
      </c>
      <c r="AP76" s="76" t="n">
        <f aca="false">TblProd[[#This Row],[Food]]*food_decay * (1 + tech_2_1*TblTech[[#This Row],[2-1]] + tech_2_8*TblTech[[#This Row],[2-8]])</f>
        <v>4433.24</v>
      </c>
      <c r="AQ76" s="76" t="n">
        <f aca="false">(1+race_food_consumption)*TblPop[[#This Row],[Total]]*food_per_person*(1+tech_1_10*TblTech[[#This Row],[1-10]]+tech_7_5*TblTech[[#This Row],[7-5]])</f>
        <v>3175.25</v>
      </c>
      <c r="AR76" s="76" t="n">
        <f aca="false">TblProd[[#This Row],[Lumber]]*lumber_rot * (1 + tech_2_1*TblTech[[#This Row],[2-1]] + tech_2_8*TblTech[[#This Row],[2-8]] + tech_5_2*TblTech[[#This Row],[5-2]])</f>
        <v>145.36</v>
      </c>
      <c r="AS76" s="76" t="n">
        <f aca="false">TblProd[[#This Row],[Mana]]*mana_drain * (1 + tech_2_1*TblTech[[#This Row],[2-1]] + tech_2_8*TblTech[[#This Row],[2-8]])</f>
        <v>8359.72</v>
      </c>
      <c r="AT76" s="76"/>
      <c r="AU76" s="76" t="n">
        <f aca="false">TblExplore[[#This Row],[Platinum (2)]]+TblConstr[[#This Row],[Total Plat Cost]]+TblMili[[#This Row],[Plat Cost]]+TblRezone[[#This Row],[Platinum cost]]+TblImps[[#This Row],[P1]]-TblProd[[#This Row],[Bank Plat]]</f>
        <v>59792</v>
      </c>
      <c r="AV76" s="76" t="n">
        <f aca="false">TblConstr[[#This Row],[Total Lum Cost]]+TblImps[[#This Row],[L1]]-TblProd[[#This Row],[Bank Lumber]] + Military!$CL$25*TblMili[[#This Row],[Sec. rec. Cost]]</f>
        <v>0</v>
      </c>
      <c r="AW76" s="76" t="n">
        <f aca="false">TblMagic[[#This Row],[Mana cost]] + Military!$CL$26*TblMili[[#This Row],[Sec. rec. Cost]]</f>
        <v>7000</v>
      </c>
      <c r="AX76" s="76" t="n">
        <f aca="false">Military!$CL$24*TblMili[[#This Row],[Sec. rec. Cost]]+TblImps[[#This Row],[O1]]-TblProd[[#This Row],[Bank Ore]]</f>
        <v>0</v>
      </c>
      <c r="AY76" s="76" t="n">
        <f aca="false">TblImps[[#This Row],[G1]]-TblProd[[#This Row],[Bank Gems]]</f>
        <v>0</v>
      </c>
      <c r="BA76" s="137" t="n">
        <f aca="false">IF(TblProd[[#This Row],[Set Guard]]&lt;&gt;"",TblProd[[#This Row],[Set Guard]],OFFSET(TblProd[[#This Row],[Guard]],-1,0))</f>
        <v>0</v>
      </c>
      <c r="BB76" s="156"/>
      <c r="BC76" s="31" t="str">
        <f aca="false">TblProd[[#This Row],[Hour]]</f>
        <v>OOP</v>
      </c>
      <c r="BD76" s="161" t="n">
        <f aca="false">-TblProd[[#This Row],[Bank Lumber]] / 2 + -TblProd[[#This Row],[Bank Gems]] * 2 + -TblProd[[#This Row],[Bank Ore]] / 2</f>
        <v>0</v>
      </c>
      <c r="BE76" s="161"/>
      <c r="BF76" s="161"/>
      <c r="BG76" s="161"/>
      <c r="BH76" s="162" t="n">
        <f aca="false">TblProd[[#This Row],[Time]]</f>
        <v>45432.75</v>
      </c>
      <c r="BI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J76" s="76" t="n">
        <f aca="false">TblProd[[#This Row],[Platinum]]</f>
        <v>155</v>
      </c>
      <c r="BK76" s="76" t="n">
        <f aca="false">TblProd[[#This Row],[Food]]</f>
        <v>443324</v>
      </c>
      <c r="BL76" s="76" t="n">
        <f aca="false">TblProd[[#This Row],[Lumber]]</f>
        <v>14536</v>
      </c>
      <c r="BM76" s="76" t="n">
        <f aca="false">TblProd[[#This Row],[Mana]]</f>
        <v>417986</v>
      </c>
      <c r="BN76" s="76" t="n">
        <f aca="false">TblProd[[#This Row],[Ore]]</f>
        <v>-357</v>
      </c>
    </row>
    <row r="77" customFormat="false" ht="12.75" hidden="false" customHeight="false" outlineLevel="0" collapsed="false">
      <c r="A77" s="128" t="n">
        <v>2</v>
      </c>
      <c r="B77" s="144" t="n">
        <f aca="false">TblImps[[#This Row],[Time]]</f>
        <v>45432.7916666667</v>
      </c>
      <c r="C77" s="145"/>
      <c r="D77" s="146"/>
      <c r="E77" s="69" t="n">
        <f aca="false">TblConstr[[#This Row],[Land]]</f>
        <v>700</v>
      </c>
      <c r="F77" s="69" t="n">
        <f aca="false">TblPop[[#This Row],[Peasants]]</f>
        <v>9846</v>
      </c>
      <c r="G77" s="69"/>
      <c r="H77" s="69" t="e">
        <f aca="false">TblMili[[#This Row],[Networth (2)]]</f>
        <v>#VALUE!</v>
      </c>
      <c r="I77" s="69" t="n">
        <f aca="false">OFFSET(TblProd[[#This Row],[Platinum]],-1,0)+OFFSET(TblProd[[#This Row],[Plat/hr]],-1,0) - TblProd[[#This Row],[Expenses Platinum]] + IF(TblProd[[#This Row],[Plat Bonus]],TblPop[[#This Row],[Peasants]]*4) + SUM(TblConstr[[#This Row],[Dest Hom]:[Dest Doc]])*TblConstr[[#This Row],[CPA Platinum -DB]]*tech_3_3_2*TblTech[[#This Row],[3-3]]</f>
        <v>8123</v>
      </c>
      <c r="J77" s="69" t="n">
        <f aca="false">OFFSET(TblProd[[#This Row],[Food]],-1,0)+OFFSET(TblProd[[#This Row],[Food/hr]],-1,0)+ROUNDUP((TblConstr[[#This Row],[Farms]]*80+TblConstr[[#This Row],[Docks]]*35)*(1+OFFSET(TblProd[[#This Row],[Bonus Food/hr]],-1,0)),0)</f>
        <v>439078</v>
      </c>
      <c r="K77" s="69" t="n">
        <f aca="false">OFFSET(TblProd[[#This Row],[Lumber]],-1,0)+OFFSET(TblProd[[#This Row],[Lumber/hr]],-1,0) - TblProd[[#This Row],[Expenses Lumber]] + SUM(TblConstr[[#This Row],[Dest Hom]:[Dest Doc]])*TblConstr[[#This Row],[CPA Lumber -DB]]*tech_3_3_2*TblTech[[#This Row],[3-3]]</f>
        <v>15516</v>
      </c>
      <c r="L77" s="69" t="n">
        <f aca="false">OFFSET(TblProd[[#This Row],[Mana]],-1,0)+OFFSET(TblProd[[#This Row],[Mana/hr]],-1,0)- TblProd[[#This Row],[Expenses Mana]]</f>
        <v>410351</v>
      </c>
      <c r="M77" s="69" t="n">
        <f aca="false">OFFSET(TblProd[[#This Row],[Ore]],-1,0)+OFFSET(TblProd[[#This Row],[Ore/hr]],-1,0) -TblProd[[#This Row],[Expenses Ore]]</f>
        <v>-357</v>
      </c>
      <c r="N77" s="69" t="n">
        <f aca="false">OFFSET(TblProd[[#This Row],[Gems]],-1,0)+OFFSET(TblProd[[#This Row],[Gems/hr]],-1,0) - TblProd[[#This Row],[Expenses Gems]]</f>
        <v>-1000</v>
      </c>
      <c r="O77" s="69" t="n">
        <f aca="false">OFFSET(TblProd[[#This Row],[Boats]],-1,0)+OFFSET(TblProd[[#This Row],[Boats/hr]],-1,0)</f>
        <v>29.45</v>
      </c>
      <c r="P77" s="69" t="n">
        <f aca="false">OFFSET(TblProd[[#This Row],[Prestige]],-1,0)</f>
        <v>250</v>
      </c>
      <c r="Q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7" s="69" t="n">
        <f aca="false">MAX(3750,_xlfn.CEILING.MATH(TblProd[[#This Row],[Land]]*2.5+OFFSET(TblTech[[#This Row],[Sum of tech]],-1,0)*150))</f>
        <v>3750</v>
      </c>
      <c r="S77" s="132"/>
      <c r="T77" s="69" t="n">
        <f aca="false">ROUNDDOWN(TblProd[[#This Row],[Raw Plat/hr]]*(1+TblProd[[#This Row],[Bonus Plat/hr]]),0)</f>
        <v>46787</v>
      </c>
      <c r="U77" s="69" t="n">
        <f aca="false">ROUND(TblProd[[#This Row],[Raw Food/hr]]*(1+TblProd[[#This Row],[Bonus Food/hr]])-TblProd[[#This Row],[Food decay]]-TblProd[[#This Row],[Food eaten]],0)</f>
        <v>-4229</v>
      </c>
      <c r="V77" s="69" t="n">
        <f aca="false">ROUND(TblProd[[#This Row],[Raw Lumber/hr]]*(1+TblProd[[#This Row],[Bonus Lumber/hr]])-TblProd[[#This Row],[Lumber rot]],0)</f>
        <v>970</v>
      </c>
      <c r="W77" s="69" t="n">
        <f aca="false">ROUND(TblProd[[#This Row],[Raw Mana/hr]]*(1+TblProd[[#This Row],[Bonus Mana/hr]])-TblProd[[#This Row],[Mana drain]],0)</f>
        <v>-7482</v>
      </c>
      <c r="X77" s="69" t="n">
        <f aca="false">ROUNDDOWN(TblProd[[#This Row],[Raw Ore/hr]]*(1+TblProd[[#This Row],[Bonux Ore/hr]]),0)</f>
        <v>0</v>
      </c>
      <c r="Y77" s="69" t="n">
        <f aca="false">ROUNDDOWN(TblProd[[#This Row],[Raw Gems/hr]]*(1+TblProd[[#This Row],[Bonus Gems/hr]]),0)</f>
        <v>0</v>
      </c>
      <c r="Z77" s="148" t="n">
        <f aca="false">OFFSET(TblConstr[[#This Row],[Tot Doc]],1,0)*dock_boats_hr * (1 + tech_4_1*TblTech[[#This Row],[4-1]])</f>
        <v>1.2</v>
      </c>
      <c r="AA77" s="146"/>
      <c r="AB77" s="69" t="n">
        <f aca="false">TblPop[[#This Row],[Peasants]]*tax*TblPop[[#This Row],[Employment]] + (Construction!AZ78+Construction!BX78)*(alch_plat+(Magic!AM77&gt;0)*alchemist_flame_bonus)</f>
        <v>42534.2</v>
      </c>
      <c r="AC77" s="69" t="n">
        <f aca="false">TblConstr[[#This Row],[Tot Farm]]*farm_food + TblConstr[[#This Row],[Tot Doc]]*dock_food</f>
        <v>3280</v>
      </c>
      <c r="AD77" s="69" t="n">
        <f aca="false">TblConstr[[#This Row],[Tot Ly]]*ly_lumber + TblConstr[[#This Row],[Tot Hav]]*fh_lumber</f>
        <v>1250</v>
      </c>
      <c r="AE77" s="69" t="n">
        <f aca="false">OFFSET(TblConstr[[#This Row],[Tot Tow]],1,0)*(tower_mana + tech_4_5*TblTech[[#This Row],[4-5]]) + OFFSET(TblConstr[[#This Row],[Tot WG]],1,0)*wg_mana_prod</f>
        <v>725</v>
      </c>
      <c r="AF77" s="69" t="n">
        <f aca="false">OFFSET(TblConstr[[#This Row],[Tot OM]],1,0)*om_ore+IF(race="Dwarf",ROUNDDOWN(TblMili[[#This Row],[Unit 2]]*0.4,0),)</f>
        <v>0</v>
      </c>
      <c r="AG77" s="69" t="n">
        <f aca="false">OFFSET(TblConstr[[#This Row],[Tot DM]],1,0)*dm_gems</f>
        <v>0</v>
      </c>
      <c r="AH77" s="132"/>
      <c r="AI77" s="149" t="n">
        <f aca="false">MIN(race_platinum_bonus + IF(TblMagic[[#This Row],[Active Alch Frost]]&gt;0,alch_frost_bonus,IF(Magic!AD77&gt;0,midas_bonus)) + TblImps[[#This Row],[Science]] - TblProd[[#This Row],[Guard]]*(0.02 + tech_5_7*TblTech[[#This Row],[5-7]]) + tech_1_5*TblTech[[#This Row],[1-5]] + tech_4_4*TblTech[[#This Row],[4-4]], 0.5)</f>
        <v>0.1</v>
      </c>
      <c r="AJ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7" s="149" t="n">
        <f aca="false">race_lumber_bonus+ IF(TblMagic[[#This Row],[Active Gaia''s Blessing]]&gt;0,gaias_blessing_lumber)+ tech_1_3*TblTech[[#This Row],[1-3]] + tech_1_6*TblTech[[#This Row],[1-6]] + tech_3_3*TblTech[[#This Row],[3-3]]</f>
        <v>-0.1</v>
      </c>
      <c r="AL77" s="149" t="n">
        <f aca="false">race_mana_bonus+ 0 + TblImps[[#This Row],[Towers]] + tech_1_2*TblTech[[#This Row],[1-2]] + tech_3_4*TblTech[[#This Row],[3-4]]</f>
        <v>0</v>
      </c>
      <c r="AM77" s="149" t="n">
        <f aca="false">race_ore_bonus + IF(TblMagic[[#This Row],[Active Miner''s Sight]]&gt;0,miners_sight_bonus,IF(TblMagic[[#This Row],[Active Mining Strength]]&gt;0,mining_strength_bonus)) +  tech_1_6*TblTech[[#This Row],[1-6]]</f>
        <v>0</v>
      </c>
      <c r="AN77" s="149" t="n">
        <f aca="false">race_gem_bonus+ tech_3_2*TblTech[[#This Row],[3-2]] + tech_4_3*TblTech[[#This Row],[4-3]] + tech_6_2*TblTech[[#This Row],[6-2]]</f>
        <v>0.15</v>
      </c>
      <c r="AO77" s="132"/>
      <c r="AP77" s="69" t="n">
        <f aca="false">TblProd[[#This Row],[Food]]*food_decay * (1 + tech_2_1*TblTech[[#This Row],[2-1]] + tech_2_8*TblTech[[#This Row],[2-8]])</f>
        <v>4390.78</v>
      </c>
      <c r="AQ77" s="69" t="n">
        <f aca="false">(1+race_food_consumption)*TblPop[[#This Row],[Total]]*food_per_person*(1+tech_1_10*TblTech[[#This Row],[1-10]]+tech_7_5*TblTech[[#This Row],[7-5]])</f>
        <v>3200</v>
      </c>
      <c r="AR77" s="69" t="n">
        <f aca="false">TblProd[[#This Row],[Lumber]]*lumber_rot * (1 + tech_2_1*TblTech[[#This Row],[2-1]] + tech_2_8*TblTech[[#This Row],[2-8]] + tech_5_2*TblTech[[#This Row],[5-2]])</f>
        <v>155.16</v>
      </c>
      <c r="AS77" s="69" t="n">
        <f aca="false">TblProd[[#This Row],[Mana]]*mana_drain * (1 + tech_2_1*TblTech[[#This Row],[2-1]] + tech_2_8*TblTech[[#This Row],[2-8]])</f>
        <v>8207.02</v>
      </c>
      <c r="AT77" s="146"/>
      <c r="AU77" s="69" t="n">
        <f aca="false">TblExplore[[#This Row],[Platinum (2)]]+TblConstr[[#This Row],[Total Plat Cost]]+TblMili[[#This Row],[Plat Cost]]+TblRezone[[#This Row],[Platinum cost]]+TblImps[[#This Row],[P1]]-TblProd[[#This Row],[Bank Plat]]</f>
        <v>38816</v>
      </c>
      <c r="AV77" s="69" t="n">
        <f aca="false">TblConstr[[#This Row],[Total Lum Cost]]+TblImps[[#This Row],[L1]]-TblProd[[#This Row],[Bank Lumber]] + Military!$CL$25*TblMili[[#This Row],[Sec. rec. Cost]]</f>
        <v>0</v>
      </c>
      <c r="AW77" s="69" t="n">
        <f aca="false">TblMagic[[#This Row],[Mana cost]] + Military!$CL$26*TblMili[[#This Row],[Sec. rec. Cost]]</f>
        <v>0</v>
      </c>
      <c r="AX77" s="69" t="n">
        <f aca="false">Military!$CL$24*TblMili[[#This Row],[Sec. rec. Cost]]+TblImps[[#This Row],[O1]]-TblProd[[#This Row],[Bank Ore]]</f>
        <v>0</v>
      </c>
      <c r="AY77" s="69" t="n">
        <f aca="false">TblImps[[#This Row],[G1]]-TblProd[[#This Row],[Bank Gems]]</f>
        <v>0</v>
      </c>
      <c r="AZ77" s="132"/>
      <c r="BA77" s="33" t="n">
        <f aca="false">IF(TblProd[[#This Row],[Set Guard]]&lt;&gt;"",TblProd[[#This Row],[Set Guard]],OFFSET(TblProd[[#This Row],[Guard]],-1,0))</f>
        <v>0</v>
      </c>
      <c r="BB77" s="145"/>
      <c r="BC77" s="151" t="n">
        <f aca="false">TblProd[[#This Row],[Hour]]</f>
        <v>2</v>
      </c>
      <c r="BD77" s="152" t="n">
        <f aca="false">-TblProd[[#This Row],[Bank Lumber]] / 2 + -TblProd[[#This Row],[Bank Gems]] * 2 + -TblProd[[#This Row],[Bank Ore]] / 2</f>
        <v>0</v>
      </c>
      <c r="BE77" s="152"/>
      <c r="BF77" s="152"/>
      <c r="BG77" s="152"/>
      <c r="BH77" s="153" t="n">
        <f aca="false">TblProd[[#This Row],[Time]]</f>
        <v>45432.7916666667</v>
      </c>
      <c r="BI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J77" s="69" t="n">
        <f aca="false">TblProd[[#This Row],[Platinum]]</f>
        <v>8123</v>
      </c>
      <c r="BK77" s="69" t="n">
        <f aca="false">TblProd[[#This Row],[Food]]</f>
        <v>439078</v>
      </c>
      <c r="BL77" s="69" t="n">
        <f aca="false">TblProd[[#This Row],[Lumber]]</f>
        <v>15516</v>
      </c>
      <c r="BM77" s="69" t="n">
        <f aca="false">TblProd[[#This Row],[Mana]]</f>
        <v>410351</v>
      </c>
      <c r="BN77" s="69" t="n">
        <f aca="false">TblProd[[#This Row],[Ore]]</f>
        <v>-357</v>
      </c>
    </row>
    <row r="78" customFormat="false" ht="12.75" hidden="false" customHeight="false" outlineLevel="0" collapsed="false">
      <c r="A78" s="128" t="n">
        <v>3</v>
      </c>
      <c r="B78" s="144" t="n">
        <f aca="false">TblImps[[#This Row],[Time]]</f>
        <v>45432.8333333333</v>
      </c>
      <c r="C78" s="145"/>
      <c r="D78" s="146"/>
      <c r="E78" s="69" t="n">
        <f aca="false">TblConstr[[#This Row],[Land]]</f>
        <v>700</v>
      </c>
      <c r="F78" s="69" t="n">
        <f aca="false">TblPop[[#This Row],[Peasants]]</f>
        <v>9847</v>
      </c>
      <c r="G78" s="69"/>
      <c r="H78" s="69" t="e">
        <f aca="false">TblMili[[#This Row],[Networth (2)]]</f>
        <v>#VALUE!</v>
      </c>
      <c r="I78" s="69" t="n">
        <f aca="false">OFFSET(TblProd[[#This Row],[Platinum]],-1,0)+OFFSET(TblProd[[#This Row],[Plat/hr]],-1,0) - TblProd[[#This Row],[Expenses Platinum]] + IF(TblProd[[#This Row],[Plat Bonus]],TblPop[[#This Row],[Peasants]]*4) + SUM(TblConstr[[#This Row],[Dest Hom]:[Dest Doc]])*TblConstr[[#This Row],[CPA Platinum -DB]]*tech_3_3_2*TblTech[[#This Row],[3-3]]</f>
        <v>36094</v>
      </c>
      <c r="J78" s="69" t="n">
        <f aca="false">OFFSET(TblProd[[#This Row],[Food]],-1,0)+OFFSET(TblProd[[#This Row],[Food/hr]],-1,0)+ROUNDUP((TblConstr[[#This Row],[Farms]]*80+TblConstr[[#This Row],[Docks]]*35)*(1+OFFSET(TblProd[[#This Row],[Bonus Food/hr]],-1,0)),0)</f>
        <v>434849</v>
      </c>
      <c r="K78" s="69" t="n">
        <f aca="false">OFFSET(TblProd[[#This Row],[Lumber]],-1,0)+OFFSET(TblProd[[#This Row],[Lumber/hr]],-1,0) - TblProd[[#This Row],[Expenses Lumber]] + SUM(TblConstr[[#This Row],[Dest Hom]:[Dest Doc]])*TblConstr[[#This Row],[CPA Lumber -DB]]*tech_3_3_2*TblTech[[#This Row],[3-3]]</f>
        <v>16486</v>
      </c>
      <c r="L78" s="69" t="n">
        <f aca="false">OFFSET(TblProd[[#This Row],[Mana]],-1,0)+OFFSET(TblProd[[#This Row],[Mana/hr]],-1,0)- TblProd[[#This Row],[Expenses Mana]]</f>
        <v>402869</v>
      </c>
      <c r="M78" s="69" t="n">
        <f aca="false">OFFSET(TblProd[[#This Row],[Ore]],-1,0)+OFFSET(TblProd[[#This Row],[Ore/hr]],-1,0) -TblProd[[#This Row],[Expenses Ore]]</f>
        <v>-357</v>
      </c>
      <c r="N78" s="69" t="n">
        <f aca="false">OFFSET(TblProd[[#This Row],[Gems]],-1,0)+OFFSET(TblProd[[#This Row],[Gems/hr]],-1,0) - TblProd[[#This Row],[Expenses Gems]]</f>
        <v>-1000</v>
      </c>
      <c r="O78" s="69" t="n">
        <f aca="false">OFFSET(TblProd[[#This Row],[Boats]],-1,0)+OFFSET(TblProd[[#This Row],[Boats/hr]],-1,0)</f>
        <v>30.65</v>
      </c>
      <c r="P78" s="69" t="n">
        <f aca="false">OFFSET(TblProd[[#This Row],[Prestige]],-1,0)</f>
        <v>250</v>
      </c>
      <c r="Q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8" s="69" t="n">
        <f aca="false">MAX(3750,_xlfn.CEILING.MATH(TblProd[[#This Row],[Land]]*2.5+OFFSET(TblTech[[#This Row],[Sum of tech]],-1,0)*150))</f>
        <v>3750</v>
      </c>
      <c r="S78" s="132"/>
      <c r="T78" s="69" t="n">
        <f aca="false">ROUNDDOWN(TblProd[[#This Row],[Raw Plat/hr]]*(1+TblProd[[#This Row],[Bonus Plat/hr]]),0)</f>
        <v>46790</v>
      </c>
      <c r="U78" s="69" t="n">
        <f aca="false">ROUND(TblProd[[#This Row],[Raw Food/hr]]*(1+TblProd[[#This Row],[Bonus Food/hr]])-TblProd[[#This Row],[Food decay]]-TblProd[[#This Row],[Food eaten]],0)</f>
        <v>-4211</v>
      </c>
      <c r="V78" s="69" t="n">
        <f aca="false">ROUND(TblProd[[#This Row],[Raw Lumber/hr]]*(1+TblProd[[#This Row],[Bonus Lumber/hr]])-TblProd[[#This Row],[Lumber rot]],0)</f>
        <v>960</v>
      </c>
      <c r="W78" s="69" t="n">
        <f aca="false">ROUND(TblProd[[#This Row],[Raw Mana/hr]]*(1+TblProd[[#This Row],[Bonus Mana/hr]])-TblProd[[#This Row],[Mana drain]],0)</f>
        <v>-7332</v>
      </c>
      <c r="X78" s="69" t="n">
        <f aca="false">ROUNDDOWN(TblProd[[#This Row],[Raw Ore/hr]]*(1+TblProd[[#This Row],[Bonux Ore/hr]]),0)</f>
        <v>0</v>
      </c>
      <c r="Y78" s="69" t="n">
        <f aca="false">ROUNDDOWN(TblProd[[#This Row],[Raw Gems/hr]]*(1+TblProd[[#This Row],[Bonus Gems/hr]]),0)</f>
        <v>0</v>
      </c>
      <c r="Z78" s="148" t="n">
        <f aca="false">OFFSET(TblConstr[[#This Row],[Tot Doc]],1,0)*dock_boats_hr * (1 + tech_4_1*TblTech[[#This Row],[4-1]])</f>
        <v>1.2</v>
      </c>
      <c r="AA78" s="146"/>
      <c r="AB78" s="69" t="n">
        <f aca="false">TblPop[[#This Row],[Peasants]]*tax*TblPop[[#This Row],[Employment]] + (Construction!AZ79+Construction!BX79)*(alch_plat+(Magic!AM78&gt;0)*alchemist_flame_bonus)</f>
        <v>42536.9</v>
      </c>
      <c r="AC78" s="69" t="n">
        <f aca="false">TblConstr[[#This Row],[Tot Farm]]*farm_food + TblConstr[[#This Row],[Tot Doc]]*dock_food</f>
        <v>3280</v>
      </c>
      <c r="AD78" s="69" t="n">
        <f aca="false">TblConstr[[#This Row],[Tot Ly]]*ly_lumber + TblConstr[[#This Row],[Tot Hav]]*fh_lumber</f>
        <v>1250</v>
      </c>
      <c r="AE78" s="69" t="n">
        <f aca="false">OFFSET(TblConstr[[#This Row],[Tot Tow]],1,0)*(tower_mana + tech_4_5*TblTech[[#This Row],[4-5]]) + OFFSET(TblConstr[[#This Row],[Tot WG]],1,0)*wg_mana_prod</f>
        <v>725</v>
      </c>
      <c r="AF78" s="69" t="n">
        <f aca="false">OFFSET(TblConstr[[#This Row],[Tot OM]],1,0)*om_ore+IF(race="Dwarf",ROUNDDOWN(TblMili[[#This Row],[Unit 2]]*0.4,0),)</f>
        <v>0</v>
      </c>
      <c r="AG78" s="69" t="n">
        <f aca="false">OFFSET(TblConstr[[#This Row],[Tot DM]],1,0)*dm_gems</f>
        <v>0</v>
      </c>
      <c r="AH78" s="132"/>
      <c r="AI78" s="149" t="n">
        <f aca="false">MIN(race_platinum_bonus + IF(TblMagic[[#This Row],[Active Alch Frost]]&gt;0,alch_frost_bonus,IF(Magic!AD78&gt;0,midas_bonus)) + TblImps[[#This Row],[Science]] - TblProd[[#This Row],[Guard]]*(0.02 + tech_5_7*TblTech[[#This Row],[5-7]]) + tech_1_5*TblTech[[#This Row],[1-5]] + tech_4_4*TblTech[[#This Row],[4-4]], 0.5)</f>
        <v>0.1</v>
      </c>
      <c r="AJ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8" s="149" t="n">
        <f aca="false">race_lumber_bonus+ IF(TblMagic[[#This Row],[Active Gaia''s Blessing]]&gt;0,gaias_blessing_lumber)+ tech_1_3*TblTech[[#This Row],[1-3]] + tech_1_6*TblTech[[#This Row],[1-6]] + tech_3_3*TblTech[[#This Row],[3-3]]</f>
        <v>-0.1</v>
      </c>
      <c r="AL78" s="149" t="n">
        <f aca="false">race_mana_bonus+ 0 + TblImps[[#This Row],[Towers]] + tech_1_2*TblTech[[#This Row],[1-2]] + tech_3_4*TblTech[[#This Row],[3-4]]</f>
        <v>0</v>
      </c>
      <c r="AM78" s="149" t="n">
        <f aca="false">race_ore_bonus + IF(TblMagic[[#This Row],[Active Miner''s Sight]]&gt;0,miners_sight_bonus,IF(TblMagic[[#This Row],[Active Mining Strength]]&gt;0,mining_strength_bonus)) +  tech_1_6*TblTech[[#This Row],[1-6]]</f>
        <v>0</v>
      </c>
      <c r="AN78" s="149" t="n">
        <f aca="false">race_gem_bonus+ tech_3_2*TblTech[[#This Row],[3-2]] + tech_4_3*TblTech[[#This Row],[4-3]] + tech_6_2*TblTech[[#This Row],[6-2]]</f>
        <v>0.15</v>
      </c>
      <c r="AO78" s="132"/>
      <c r="AP78" s="69" t="n">
        <f aca="false">TblProd[[#This Row],[Food]]*food_decay * (1 + tech_2_1*TblTech[[#This Row],[2-1]] + tech_2_8*TblTech[[#This Row],[2-8]])</f>
        <v>4348.49</v>
      </c>
      <c r="AQ78" s="69" t="n">
        <f aca="false">(1+race_food_consumption)*TblPop[[#This Row],[Total]]*food_per_person*(1+tech_1_10*TblTech[[#This Row],[1-10]]+tech_7_5*TblTech[[#This Row],[7-5]])</f>
        <v>3224.75</v>
      </c>
      <c r="AR78" s="69" t="n">
        <f aca="false">TblProd[[#This Row],[Lumber]]*lumber_rot * (1 + tech_2_1*TblTech[[#This Row],[2-1]] + tech_2_8*TblTech[[#This Row],[2-8]] + tech_5_2*TblTech[[#This Row],[5-2]])</f>
        <v>164.86</v>
      </c>
      <c r="AS78" s="69" t="n">
        <f aca="false">TblProd[[#This Row],[Mana]]*mana_drain * (1 + tech_2_1*TblTech[[#This Row],[2-1]] + tech_2_8*TblTech[[#This Row],[2-8]])</f>
        <v>8057.38</v>
      </c>
      <c r="AT78" s="146"/>
      <c r="AU78" s="69" t="n">
        <f aca="false">TblExplore[[#This Row],[Platinum (2)]]+TblConstr[[#This Row],[Total Plat Cost]]+TblMili[[#This Row],[Plat Cost]]+TblRezone[[#This Row],[Platinum cost]]+TblImps[[#This Row],[P1]]-TblProd[[#This Row],[Bank Plat]]</f>
        <v>18816</v>
      </c>
      <c r="AV78" s="69" t="n">
        <f aca="false">TblConstr[[#This Row],[Total Lum Cost]]+TblImps[[#This Row],[L1]]-TblProd[[#This Row],[Bank Lumber]] + Military!$CL$25*TblMili[[#This Row],[Sec. rec. Cost]]</f>
        <v>0</v>
      </c>
      <c r="AW78" s="69" t="n">
        <f aca="false">TblMagic[[#This Row],[Mana cost]] + Military!$CL$26*TblMili[[#This Row],[Sec. rec. Cost]]</f>
        <v>0</v>
      </c>
      <c r="AX78" s="69" t="n">
        <f aca="false">Military!$CL$24*TblMili[[#This Row],[Sec. rec. Cost]]+TblImps[[#This Row],[O1]]-TblProd[[#This Row],[Bank Ore]]</f>
        <v>0</v>
      </c>
      <c r="AY78" s="69" t="n">
        <f aca="false">TblImps[[#This Row],[G1]]-TblProd[[#This Row],[Bank Gems]]</f>
        <v>0</v>
      </c>
      <c r="AZ78" s="132"/>
      <c r="BA78" s="33" t="n">
        <f aca="false">IF(TblProd[[#This Row],[Set Guard]]&lt;&gt;"",TblProd[[#This Row],[Set Guard]],OFFSET(TblProd[[#This Row],[Guard]],-1,0))</f>
        <v>0</v>
      </c>
      <c r="BB78" s="145"/>
      <c r="BC78" s="151" t="n">
        <f aca="false">TblProd[[#This Row],[Hour]]</f>
        <v>3</v>
      </c>
      <c r="BD78" s="152" t="n">
        <f aca="false">-TblProd[[#This Row],[Bank Lumber]] / 2 + -TblProd[[#This Row],[Bank Gems]] * 2 + -TblProd[[#This Row],[Bank Ore]] / 2</f>
        <v>0</v>
      </c>
      <c r="BE78" s="152"/>
      <c r="BF78" s="152"/>
      <c r="BG78" s="152"/>
      <c r="BH78" s="153" t="n">
        <f aca="false">TblProd[[#This Row],[Time]]</f>
        <v>45432.8333333333</v>
      </c>
      <c r="BI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J78" s="69" t="n">
        <f aca="false">TblProd[[#This Row],[Platinum]]</f>
        <v>36094</v>
      </c>
      <c r="BK78" s="69" t="n">
        <f aca="false">TblProd[[#This Row],[Food]]</f>
        <v>434849</v>
      </c>
      <c r="BL78" s="69" t="n">
        <f aca="false">TblProd[[#This Row],[Lumber]]</f>
        <v>16486</v>
      </c>
      <c r="BM78" s="69" t="n">
        <f aca="false">TblProd[[#This Row],[Mana]]</f>
        <v>402869</v>
      </c>
      <c r="BN78" s="69" t="n">
        <f aca="false">TblProd[[#This Row],[Ore]]</f>
        <v>-357</v>
      </c>
    </row>
    <row r="79" customFormat="false" ht="12.75" hidden="false" customHeight="false" outlineLevel="0" collapsed="false">
      <c r="A79" s="128" t="n">
        <v>4</v>
      </c>
      <c r="B79" s="144" t="n">
        <f aca="false">TblImps[[#This Row],[Time]]</f>
        <v>45432.875</v>
      </c>
      <c r="C79" s="145"/>
      <c r="D79" s="146"/>
      <c r="E79" s="69" t="n">
        <f aca="false">TblConstr[[#This Row],[Land]]</f>
        <v>700</v>
      </c>
      <c r="F79" s="69" t="n">
        <f aca="false">TblPop[[#This Row],[Peasants]]</f>
        <v>9789</v>
      </c>
      <c r="G79" s="69"/>
      <c r="H79" s="69" t="e">
        <f aca="false">TblMili[[#This Row],[Networth (2)]]</f>
        <v>#VALUE!</v>
      </c>
      <c r="I79" s="69" t="n">
        <f aca="false">OFFSET(TblProd[[#This Row],[Platinum]],-1,0)+OFFSET(TblProd[[#This Row],[Plat/hr]],-1,0) - TblProd[[#This Row],[Expenses Platinum]] + IF(TblProd[[#This Row],[Plat Bonus]],TblPop[[#This Row],[Peasants]]*4) + SUM(TblConstr[[#This Row],[Dest Hom]:[Dest Doc]])*TblConstr[[#This Row],[CPA Platinum -DB]]*tech_3_3_2*TblTech[[#This Row],[3-3]]</f>
        <v>64068</v>
      </c>
      <c r="J79" s="69" t="n">
        <f aca="false">OFFSET(TblProd[[#This Row],[Food]],-1,0)+OFFSET(TblProd[[#This Row],[Food/hr]],-1,0)+ROUNDUP((TblConstr[[#This Row],[Farms]]*80+TblConstr[[#This Row],[Docks]]*35)*(1+OFFSET(TblProd[[#This Row],[Bonus Food/hr]],-1,0)),0)</f>
        <v>430638</v>
      </c>
      <c r="K79" s="69" t="n">
        <f aca="false">OFFSET(TblProd[[#This Row],[Lumber]],-1,0)+OFFSET(TblProd[[#This Row],[Lumber/hr]],-1,0) - TblProd[[#This Row],[Expenses Lumber]] + SUM(TblConstr[[#This Row],[Dest Hom]:[Dest Doc]])*TblConstr[[#This Row],[CPA Lumber -DB]]*tech_3_3_2*TblTech[[#This Row],[3-3]]</f>
        <v>17446</v>
      </c>
      <c r="L79" s="69" t="n">
        <f aca="false">OFFSET(TblProd[[#This Row],[Mana]],-1,0)+OFFSET(TblProd[[#This Row],[Mana/hr]],-1,0)- TblProd[[#This Row],[Expenses Mana]]</f>
        <v>395537</v>
      </c>
      <c r="M79" s="69" t="n">
        <f aca="false">OFFSET(TblProd[[#This Row],[Ore]],-1,0)+OFFSET(TblProd[[#This Row],[Ore/hr]],-1,0) -TblProd[[#This Row],[Expenses Ore]]</f>
        <v>-357</v>
      </c>
      <c r="N79" s="69" t="n">
        <f aca="false">OFFSET(TblProd[[#This Row],[Gems]],-1,0)+OFFSET(TblProd[[#This Row],[Gems/hr]],-1,0) - TblProd[[#This Row],[Expenses Gems]]</f>
        <v>-1000</v>
      </c>
      <c r="O79" s="69" t="n">
        <f aca="false">OFFSET(TblProd[[#This Row],[Boats]],-1,0)+OFFSET(TblProd[[#This Row],[Boats/hr]],-1,0)</f>
        <v>31.85</v>
      </c>
      <c r="P79" s="69" t="n">
        <f aca="false">OFFSET(TblProd[[#This Row],[Prestige]],-1,0)</f>
        <v>250</v>
      </c>
      <c r="Q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9" s="69" t="n">
        <f aca="false">MAX(3750,_xlfn.CEILING.MATH(TblProd[[#This Row],[Land]]*2.5+OFFSET(TblTech[[#This Row],[Sum of tech]],-1,0)*150))</f>
        <v>3750</v>
      </c>
      <c r="S79" s="132"/>
      <c r="T79" s="69" t="n">
        <f aca="false">ROUNDDOWN(TblProd[[#This Row],[Raw Plat/hr]]*(1+TblProd[[#This Row],[Bonus Plat/hr]]),0)</f>
        <v>46618</v>
      </c>
      <c r="U79" s="69" t="n">
        <f aca="false">ROUND(TblProd[[#This Row],[Raw Food/hr]]*(1+TblProd[[#This Row],[Bonus Food/hr]])-TblProd[[#This Row],[Food decay]]-TblProd[[#This Row],[Food eaten]],0)</f>
        <v>-4179</v>
      </c>
      <c r="V79" s="69" t="n">
        <f aca="false">ROUND(TblProd[[#This Row],[Raw Lumber/hr]]*(1+TblProd[[#This Row],[Bonus Lumber/hr]])-TblProd[[#This Row],[Lumber rot]],0)</f>
        <v>951</v>
      </c>
      <c r="W79" s="69" t="n">
        <f aca="false">ROUND(TblProd[[#This Row],[Raw Mana/hr]]*(1+TblProd[[#This Row],[Bonus Mana/hr]])-TblProd[[#This Row],[Mana drain]],0)</f>
        <v>-7186</v>
      </c>
      <c r="X79" s="69" t="n">
        <f aca="false">ROUNDDOWN(TblProd[[#This Row],[Raw Ore/hr]]*(1+TblProd[[#This Row],[Bonux Ore/hr]]),0)</f>
        <v>0</v>
      </c>
      <c r="Y79" s="69" t="n">
        <f aca="false">ROUNDDOWN(TblProd[[#This Row],[Raw Gems/hr]]*(1+TblProd[[#This Row],[Bonus Gems/hr]]),0)</f>
        <v>0</v>
      </c>
      <c r="Z79" s="148" t="n">
        <f aca="false">OFFSET(TblConstr[[#This Row],[Tot Doc]],1,0)*dock_boats_hr * (1 + tech_4_1*TblTech[[#This Row],[4-1]])</f>
        <v>1.2</v>
      </c>
      <c r="AA79" s="146"/>
      <c r="AB79" s="69" t="n">
        <f aca="false">TblPop[[#This Row],[Peasants]]*tax*TblPop[[#This Row],[Employment]] + (Construction!AZ80+Construction!BX80)*(alch_plat+(Magic!AM79&gt;0)*alchemist_flame_bonus)</f>
        <v>42380.3</v>
      </c>
      <c r="AC79" s="69" t="n">
        <f aca="false">TblConstr[[#This Row],[Tot Farm]]*farm_food + TblConstr[[#This Row],[Tot Doc]]*dock_food</f>
        <v>3280</v>
      </c>
      <c r="AD79" s="69" t="n">
        <f aca="false">TblConstr[[#This Row],[Tot Ly]]*ly_lumber + TblConstr[[#This Row],[Tot Hav]]*fh_lumber</f>
        <v>1250</v>
      </c>
      <c r="AE79" s="69" t="n">
        <f aca="false">OFFSET(TblConstr[[#This Row],[Tot Tow]],1,0)*(tower_mana + tech_4_5*TblTech[[#This Row],[4-5]]) + OFFSET(TblConstr[[#This Row],[Tot WG]],1,0)*wg_mana_prod</f>
        <v>725</v>
      </c>
      <c r="AF79" s="69" t="n">
        <f aca="false">OFFSET(TblConstr[[#This Row],[Tot OM]],1,0)*om_ore+IF(race="Dwarf",ROUNDDOWN(TblMili[[#This Row],[Unit 2]]*0.4,0),)</f>
        <v>0</v>
      </c>
      <c r="AG79" s="69" t="n">
        <f aca="false">OFFSET(TblConstr[[#This Row],[Tot DM]],1,0)*dm_gems</f>
        <v>0</v>
      </c>
      <c r="AH79" s="132"/>
      <c r="AI79" s="149" t="n">
        <f aca="false">MIN(race_platinum_bonus + IF(TblMagic[[#This Row],[Active Alch Frost]]&gt;0,alch_frost_bonus,IF(Magic!AD79&gt;0,midas_bonus)) + TblImps[[#This Row],[Science]] - TblProd[[#This Row],[Guard]]*(0.02 + tech_5_7*TblTech[[#This Row],[5-7]]) + tech_1_5*TblTech[[#This Row],[1-5]] + tech_4_4*TblTech[[#This Row],[4-4]], 0.5)</f>
        <v>0.1</v>
      </c>
      <c r="AJ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9" s="149" t="n">
        <f aca="false">race_lumber_bonus+ IF(TblMagic[[#This Row],[Active Gaia''s Blessing]]&gt;0,gaias_blessing_lumber)+ tech_1_3*TblTech[[#This Row],[1-3]] + tech_1_6*TblTech[[#This Row],[1-6]] + tech_3_3*TblTech[[#This Row],[3-3]]</f>
        <v>-0.1</v>
      </c>
      <c r="AL79" s="149" t="n">
        <f aca="false">race_mana_bonus+ 0 + TblImps[[#This Row],[Towers]] + tech_1_2*TblTech[[#This Row],[1-2]] + tech_3_4*TblTech[[#This Row],[3-4]]</f>
        <v>0</v>
      </c>
      <c r="AM79" s="149" t="n">
        <f aca="false">race_ore_bonus + IF(TblMagic[[#This Row],[Active Miner''s Sight]]&gt;0,miners_sight_bonus,IF(TblMagic[[#This Row],[Active Mining Strength]]&gt;0,mining_strength_bonus)) +  tech_1_6*TblTech[[#This Row],[1-6]]</f>
        <v>0</v>
      </c>
      <c r="AN79" s="149" t="n">
        <f aca="false">race_gem_bonus+ tech_3_2*TblTech[[#This Row],[3-2]] + tech_4_3*TblTech[[#This Row],[4-3]] + tech_6_2*TblTech[[#This Row],[6-2]]</f>
        <v>0.15</v>
      </c>
      <c r="AO79" s="132"/>
      <c r="AP79" s="69" t="n">
        <f aca="false">TblProd[[#This Row],[Food]]*food_decay * (1 + tech_2_1*TblTech[[#This Row],[2-1]] + tech_2_8*TblTech[[#This Row],[2-8]])</f>
        <v>4306.38</v>
      </c>
      <c r="AQ79" s="69" t="n">
        <f aca="false">(1+race_food_consumption)*TblPop[[#This Row],[Total]]*food_per_person*(1+tech_1_10*TblTech[[#This Row],[1-10]]+tech_7_5*TblTech[[#This Row],[7-5]])</f>
        <v>3234.75</v>
      </c>
      <c r="AR79" s="69" t="n">
        <f aca="false">TblProd[[#This Row],[Lumber]]*lumber_rot * (1 + tech_2_1*TblTech[[#This Row],[2-1]] + tech_2_8*TblTech[[#This Row],[2-8]] + tech_5_2*TblTech[[#This Row],[5-2]])</f>
        <v>174.46</v>
      </c>
      <c r="AS79" s="69" t="n">
        <f aca="false">TblProd[[#This Row],[Mana]]*mana_drain * (1 + tech_2_1*TblTech[[#This Row],[2-1]] + tech_2_8*TblTech[[#This Row],[2-8]])</f>
        <v>7910.74</v>
      </c>
      <c r="AT79" s="146"/>
      <c r="AU79" s="69" t="n">
        <f aca="false">TblExplore[[#This Row],[Platinum (2)]]+TblConstr[[#This Row],[Total Plat Cost]]+TblMili[[#This Row],[Plat Cost]]+TblRezone[[#This Row],[Platinum cost]]+TblImps[[#This Row],[P1]]-TblProd[[#This Row],[Bank Plat]]</f>
        <v>18816</v>
      </c>
      <c r="AV79" s="69" t="n">
        <f aca="false">TblConstr[[#This Row],[Total Lum Cost]]+TblImps[[#This Row],[L1]]-TblProd[[#This Row],[Bank Lumber]] + Military!$CL$25*TblMili[[#This Row],[Sec. rec. Cost]]</f>
        <v>0</v>
      </c>
      <c r="AW79" s="69" t="n">
        <f aca="false">TblMagic[[#This Row],[Mana cost]] + Military!$CL$26*TblMili[[#This Row],[Sec. rec. Cost]]</f>
        <v>0</v>
      </c>
      <c r="AX79" s="69" t="n">
        <f aca="false">Military!$CL$24*TblMili[[#This Row],[Sec. rec. Cost]]+TblImps[[#This Row],[O1]]-TblProd[[#This Row],[Bank Ore]]</f>
        <v>0</v>
      </c>
      <c r="AY79" s="69" t="n">
        <f aca="false">TblImps[[#This Row],[G1]]-TblProd[[#This Row],[Bank Gems]]</f>
        <v>0</v>
      </c>
      <c r="AZ79" s="132"/>
      <c r="BA79" s="33" t="n">
        <f aca="false">IF(TblProd[[#This Row],[Set Guard]]&lt;&gt;"",TblProd[[#This Row],[Set Guard]],OFFSET(TblProd[[#This Row],[Guard]],-1,0))</f>
        <v>0</v>
      </c>
      <c r="BB79" s="145"/>
      <c r="BC79" s="151" t="n">
        <f aca="false">TblProd[[#This Row],[Hour]]</f>
        <v>4</v>
      </c>
      <c r="BD79" s="152" t="n">
        <f aca="false">-TblProd[[#This Row],[Bank Lumber]] / 2 + -TblProd[[#This Row],[Bank Gems]] * 2 + -TblProd[[#This Row],[Bank Ore]] / 2</f>
        <v>0</v>
      </c>
      <c r="BE79" s="152"/>
      <c r="BF79" s="152"/>
      <c r="BG79" s="152"/>
      <c r="BH79" s="153" t="n">
        <f aca="false">TblProd[[#This Row],[Time]]</f>
        <v>45432.875</v>
      </c>
      <c r="BI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J79" s="69" t="n">
        <f aca="false">TblProd[[#This Row],[Platinum]]</f>
        <v>64068</v>
      </c>
      <c r="BK79" s="69" t="n">
        <f aca="false">TblProd[[#This Row],[Food]]</f>
        <v>430638</v>
      </c>
      <c r="BL79" s="69" t="n">
        <f aca="false">TblProd[[#This Row],[Lumber]]</f>
        <v>17446</v>
      </c>
      <c r="BM79" s="69" t="n">
        <f aca="false">TblProd[[#This Row],[Mana]]</f>
        <v>395537</v>
      </c>
      <c r="BN79" s="69" t="n">
        <f aca="false">TblProd[[#This Row],[Ore]]</f>
        <v>-357</v>
      </c>
    </row>
    <row r="80" customFormat="false" ht="12.75" hidden="false" customHeight="false" outlineLevel="0" collapsed="false">
      <c r="A80" s="128" t="n">
        <v>5</v>
      </c>
      <c r="B80" s="144" t="n">
        <f aca="false">TblImps[[#This Row],[Time]]</f>
        <v>45432.9166666667</v>
      </c>
      <c r="C80" s="145" t="n">
        <v>1</v>
      </c>
      <c r="D80" s="146"/>
      <c r="E80" s="69" t="n">
        <f aca="false">TblConstr[[#This Row],[Land]]</f>
        <v>700</v>
      </c>
      <c r="F80" s="69" t="n">
        <f aca="false">TblPop[[#This Row],[Peasants]]</f>
        <v>9691</v>
      </c>
      <c r="G80" s="69"/>
      <c r="H80" s="69" t="e">
        <f aca="false">TblMili[[#This Row],[Networth (2)]]</f>
        <v>#VALUE!</v>
      </c>
      <c r="I80" s="69" t="n">
        <f aca="false">OFFSET(TblProd[[#This Row],[Platinum]],-1,0)+OFFSET(TblProd[[#This Row],[Plat/hr]],-1,0) - TblProd[[#This Row],[Expenses Platinum]] + IF(TblProd[[#This Row],[Plat Bonus]],TblPop[[#This Row],[Peasants]]*4) + SUM(TblConstr[[#This Row],[Dest Hom]:[Dest Doc]])*TblConstr[[#This Row],[CPA Platinum -DB]]*tech_3_3_2*TblTech[[#This Row],[3-3]]</f>
        <v>149450</v>
      </c>
      <c r="J80" s="69" t="n">
        <f aca="false">OFFSET(TblProd[[#This Row],[Food]],-1,0)+OFFSET(TblProd[[#This Row],[Food/hr]],-1,0)+ROUNDUP((TblConstr[[#This Row],[Farms]]*80+TblConstr[[#This Row],[Docks]]*35)*(1+OFFSET(TblProd[[#This Row],[Bonus Food/hr]],-1,0)),0)</f>
        <v>426459</v>
      </c>
      <c r="K80" s="69" t="n">
        <f aca="false">OFFSET(TblProd[[#This Row],[Lumber]],-1,0)+OFFSET(TblProd[[#This Row],[Lumber/hr]],-1,0) - TblProd[[#This Row],[Expenses Lumber]] + SUM(TblConstr[[#This Row],[Dest Hom]:[Dest Doc]])*TblConstr[[#This Row],[CPA Lumber -DB]]*tech_3_3_2*TblTech[[#This Row],[3-3]]</f>
        <v>18397</v>
      </c>
      <c r="L80" s="69" t="n">
        <f aca="false">OFFSET(TblProd[[#This Row],[Mana]],-1,0)+OFFSET(TblProd[[#This Row],[Mana/hr]],-1,0)- TblProd[[#This Row],[Expenses Mana]]</f>
        <v>388351</v>
      </c>
      <c r="M80" s="69" t="n">
        <f aca="false">OFFSET(TblProd[[#This Row],[Ore]],-1,0)+OFFSET(TblProd[[#This Row],[Ore/hr]],-1,0) -TblProd[[#This Row],[Expenses Ore]]</f>
        <v>-357</v>
      </c>
      <c r="N80" s="69" t="n">
        <f aca="false">OFFSET(TblProd[[#This Row],[Gems]],-1,0)+OFFSET(TblProd[[#This Row],[Gems/hr]],-1,0) - TblProd[[#This Row],[Expenses Gems]]</f>
        <v>-1000</v>
      </c>
      <c r="O80" s="69" t="n">
        <f aca="false">OFFSET(TblProd[[#This Row],[Boats]],-1,0)+OFFSET(TblProd[[#This Row],[Boats/hr]],-1,0)</f>
        <v>33.05</v>
      </c>
      <c r="P80" s="69" t="n">
        <f aca="false">OFFSET(TblProd[[#This Row],[Prestige]],-1,0)</f>
        <v>250</v>
      </c>
      <c r="Q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0" s="69" t="n">
        <f aca="false">MAX(3750,_xlfn.CEILING.MATH(TblProd[[#This Row],[Land]]*2.5+OFFSET(TblTech[[#This Row],[Sum of tech]],-1,0)*150))</f>
        <v>3750</v>
      </c>
      <c r="S80" s="132"/>
      <c r="T80" s="69" t="n">
        <f aca="false">ROUNDDOWN(TblProd[[#This Row],[Raw Plat/hr]]*(1+TblProd[[#This Row],[Bonus Plat/hr]]),0)</f>
        <v>46327</v>
      </c>
      <c r="U80" s="69" t="n">
        <f aca="false">ROUND(TblProd[[#This Row],[Raw Food/hr]]*(1+TblProd[[#This Row],[Bonus Food/hr]])-TblProd[[#This Row],[Food decay]]-TblProd[[#This Row],[Food eaten]],0)</f>
        <v>-4137</v>
      </c>
      <c r="V80" s="69" t="n">
        <f aca="false">ROUND(TblProd[[#This Row],[Raw Lumber/hr]]*(1+TblProd[[#This Row],[Bonus Lumber/hr]])-TblProd[[#This Row],[Lumber rot]],0)</f>
        <v>941</v>
      </c>
      <c r="W80" s="69" t="n">
        <f aca="false">ROUND(TblProd[[#This Row],[Raw Mana/hr]]*(1+TblProd[[#This Row],[Bonus Mana/hr]])-TblProd[[#This Row],[Mana drain]],0)</f>
        <v>-7042</v>
      </c>
      <c r="X80" s="69" t="n">
        <f aca="false">ROUNDDOWN(TblProd[[#This Row],[Raw Ore/hr]]*(1+TblProd[[#This Row],[Bonux Ore/hr]]),0)</f>
        <v>0</v>
      </c>
      <c r="Y80" s="69" t="n">
        <f aca="false">ROUNDDOWN(TblProd[[#This Row],[Raw Gems/hr]]*(1+TblProd[[#This Row],[Bonus Gems/hr]]),0)</f>
        <v>0</v>
      </c>
      <c r="Z80" s="148" t="n">
        <f aca="false">OFFSET(TblConstr[[#This Row],[Tot Doc]],1,0)*dock_boats_hr * (1 + tech_4_1*TblTech[[#This Row],[4-1]])</f>
        <v>1.2</v>
      </c>
      <c r="AA80" s="146"/>
      <c r="AB80" s="69" t="n">
        <f aca="false">TblPop[[#This Row],[Peasants]]*tax*TblPop[[#This Row],[Employment]] + (Construction!AZ81+Construction!BX81)*(alch_plat+(Magic!AM80&gt;0)*alchemist_flame_bonus)</f>
        <v>42115.7</v>
      </c>
      <c r="AC80" s="69" t="n">
        <f aca="false">TblConstr[[#This Row],[Tot Farm]]*farm_food + TblConstr[[#This Row],[Tot Doc]]*dock_food</f>
        <v>3280</v>
      </c>
      <c r="AD80" s="69" t="n">
        <f aca="false">TblConstr[[#This Row],[Tot Ly]]*ly_lumber + TblConstr[[#This Row],[Tot Hav]]*fh_lumber</f>
        <v>1250</v>
      </c>
      <c r="AE80" s="69" t="n">
        <f aca="false">OFFSET(TblConstr[[#This Row],[Tot Tow]],1,0)*(tower_mana + tech_4_5*TblTech[[#This Row],[4-5]]) + OFFSET(TblConstr[[#This Row],[Tot WG]],1,0)*wg_mana_prod</f>
        <v>725</v>
      </c>
      <c r="AF80" s="69" t="n">
        <f aca="false">OFFSET(TblConstr[[#This Row],[Tot OM]],1,0)*om_ore+IF(race="Dwarf",ROUNDDOWN(TblMili[[#This Row],[Unit 2]]*0.4,0),)</f>
        <v>0</v>
      </c>
      <c r="AG80" s="69" t="n">
        <f aca="false">OFFSET(TblConstr[[#This Row],[Tot DM]],1,0)*dm_gems</f>
        <v>0</v>
      </c>
      <c r="AH80" s="132"/>
      <c r="AI80" s="149" t="n">
        <f aca="false">MIN(race_platinum_bonus + IF(TblMagic[[#This Row],[Active Alch Frost]]&gt;0,alch_frost_bonus,IF(Magic!AD80&gt;0,midas_bonus)) + TblImps[[#This Row],[Science]] - TblProd[[#This Row],[Guard]]*(0.02 + tech_5_7*TblTech[[#This Row],[5-7]]) + tech_1_5*TblTech[[#This Row],[1-5]] + tech_4_4*TblTech[[#This Row],[4-4]], 0.5)</f>
        <v>0.1</v>
      </c>
      <c r="AJ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0" s="149" t="n">
        <f aca="false">race_lumber_bonus+ IF(TblMagic[[#This Row],[Active Gaia''s Blessing]]&gt;0,gaias_blessing_lumber)+ tech_1_3*TblTech[[#This Row],[1-3]] + tech_1_6*TblTech[[#This Row],[1-6]] + tech_3_3*TblTech[[#This Row],[3-3]]</f>
        <v>-0.1</v>
      </c>
      <c r="AL80" s="149" t="n">
        <f aca="false">race_mana_bonus+ 0 + TblImps[[#This Row],[Towers]] + tech_1_2*TblTech[[#This Row],[1-2]] + tech_3_4*TblTech[[#This Row],[3-4]]</f>
        <v>0</v>
      </c>
      <c r="AM80" s="149" t="n">
        <f aca="false">race_ore_bonus + IF(TblMagic[[#This Row],[Active Miner''s Sight]]&gt;0,miners_sight_bonus,IF(TblMagic[[#This Row],[Active Mining Strength]]&gt;0,mining_strength_bonus)) +  tech_1_6*TblTech[[#This Row],[1-6]]</f>
        <v>0</v>
      </c>
      <c r="AN80" s="149" t="n">
        <f aca="false">race_gem_bonus+ tech_3_2*TblTech[[#This Row],[3-2]] + tech_4_3*TblTech[[#This Row],[4-3]] + tech_6_2*TblTech[[#This Row],[6-2]]</f>
        <v>0.15</v>
      </c>
      <c r="AO80" s="132"/>
      <c r="AP80" s="69" t="n">
        <f aca="false">TblProd[[#This Row],[Food]]*food_decay * (1 + tech_2_1*TblTech[[#This Row],[2-1]] + tech_2_8*TblTech[[#This Row],[2-8]])</f>
        <v>4264.59</v>
      </c>
      <c r="AQ80" s="69" t="n">
        <f aca="false">(1+race_food_consumption)*TblPop[[#This Row],[Total]]*food_per_person*(1+tech_1_10*TblTech[[#This Row],[1-10]]+tech_7_5*TblTech[[#This Row],[7-5]])</f>
        <v>3234.75</v>
      </c>
      <c r="AR80" s="69" t="n">
        <f aca="false">TblProd[[#This Row],[Lumber]]*lumber_rot * (1 + tech_2_1*TblTech[[#This Row],[2-1]] + tech_2_8*TblTech[[#This Row],[2-8]] + tech_5_2*TblTech[[#This Row],[5-2]])</f>
        <v>183.97</v>
      </c>
      <c r="AS80" s="69" t="n">
        <f aca="false">TblProd[[#This Row],[Mana]]*mana_drain * (1 + tech_2_1*TblTech[[#This Row],[2-1]] + tech_2_8*TblTech[[#This Row],[2-8]])</f>
        <v>7767.02</v>
      </c>
      <c r="AT80" s="146"/>
      <c r="AU80" s="69" t="n">
        <f aca="false">TblExplore[[#This Row],[Platinum (2)]]+TblConstr[[#This Row],[Total Plat Cost]]+TblMili[[#This Row],[Plat Cost]]+TblRezone[[#This Row],[Platinum cost]]+TblImps[[#This Row],[P1]]-TblProd[[#This Row],[Bank Plat]]</f>
        <v>0</v>
      </c>
      <c r="AV80" s="69" t="n">
        <f aca="false">TblConstr[[#This Row],[Total Lum Cost]]+TblImps[[#This Row],[L1]]-TblProd[[#This Row],[Bank Lumber]] + Military!$CL$25*TblMili[[#This Row],[Sec. rec. Cost]]</f>
        <v>0</v>
      </c>
      <c r="AW80" s="69" t="n">
        <f aca="false">TblMagic[[#This Row],[Mana cost]] + Military!$CL$26*TblMili[[#This Row],[Sec. rec. Cost]]</f>
        <v>0</v>
      </c>
      <c r="AX80" s="69" t="n">
        <f aca="false">Military!$CL$24*TblMili[[#This Row],[Sec. rec. Cost]]+TblImps[[#This Row],[O1]]-TblProd[[#This Row],[Bank Ore]]</f>
        <v>0</v>
      </c>
      <c r="AY80" s="69" t="n">
        <f aca="false">TblImps[[#This Row],[G1]]-TblProd[[#This Row],[Bank Gems]]</f>
        <v>0</v>
      </c>
      <c r="AZ80" s="132"/>
      <c r="BA80" s="33" t="n">
        <f aca="false">IF(TblProd[[#This Row],[Set Guard]]&lt;&gt;"",TblProd[[#This Row],[Set Guard]],OFFSET(TblProd[[#This Row],[Guard]],-1,0))</f>
        <v>0</v>
      </c>
      <c r="BB80" s="145"/>
      <c r="BC80" s="151" t="n">
        <f aca="false">TblProd[[#This Row],[Hour]]</f>
        <v>5</v>
      </c>
      <c r="BD80" s="152" t="n">
        <f aca="false">-TblProd[[#This Row],[Bank Lumber]] / 2 + -TblProd[[#This Row],[Bank Gems]] * 2 + -TblProd[[#This Row],[Bank Ore]] / 2</f>
        <v>0</v>
      </c>
      <c r="BE80" s="152"/>
      <c r="BF80" s="152"/>
      <c r="BG80" s="152"/>
      <c r="BH80" s="153" t="n">
        <f aca="false">TblProd[[#This Row],[Time]]</f>
        <v>45432.9166666667</v>
      </c>
      <c r="BI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J80" s="69" t="n">
        <f aca="false">TblProd[[#This Row],[Platinum]]</f>
        <v>149450</v>
      </c>
      <c r="BK80" s="69" t="n">
        <f aca="false">TblProd[[#This Row],[Food]]</f>
        <v>426459</v>
      </c>
      <c r="BL80" s="69" t="n">
        <f aca="false">TblProd[[#This Row],[Lumber]]</f>
        <v>18397</v>
      </c>
      <c r="BM80" s="69" t="n">
        <f aca="false">TblProd[[#This Row],[Mana]]</f>
        <v>388351</v>
      </c>
      <c r="BN80" s="69" t="n">
        <f aca="false">TblProd[[#This Row],[Ore]]</f>
        <v>-357</v>
      </c>
    </row>
    <row r="81" customFormat="false" ht="12.75" hidden="false" customHeight="false" outlineLevel="0" collapsed="false">
      <c r="A81" s="128" t="n">
        <v>6</v>
      </c>
      <c r="B81" s="144" t="n">
        <f aca="false">TblImps[[#This Row],[Time]]</f>
        <v>45432.9583333333</v>
      </c>
      <c r="C81" s="145"/>
      <c r="D81" s="146"/>
      <c r="E81" s="69" t="n">
        <f aca="false">TblConstr[[#This Row],[Land]]</f>
        <v>700</v>
      </c>
      <c r="F81" s="69" t="n">
        <f aca="false">TblPop[[#This Row],[Peasants]]</f>
        <v>9594</v>
      </c>
      <c r="G81" s="69"/>
      <c r="H81" s="69" t="e">
        <f aca="false">TblMili[[#This Row],[Networth (2)]]</f>
        <v>#VALUE!</v>
      </c>
      <c r="I81" s="69" t="n">
        <f aca="false">OFFSET(TblProd[[#This Row],[Platinum]],-1,0)+OFFSET(TblProd[[#This Row],[Plat/hr]],-1,0) - TblProd[[#This Row],[Expenses Platinum]] + IF(TblProd[[#This Row],[Plat Bonus]],TblPop[[#This Row],[Peasants]]*4) + SUM(TblConstr[[#This Row],[Dest Hom]:[Dest Doc]])*TblConstr[[#This Row],[CPA Platinum -DB]]*tech_3_3_2*TblTech[[#This Row],[3-3]]</f>
        <v>195777</v>
      </c>
      <c r="J81" s="69" t="n">
        <f aca="false">OFFSET(TblProd[[#This Row],[Food]],-1,0)+OFFSET(TblProd[[#This Row],[Food/hr]],-1,0)+ROUNDUP((TblConstr[[#This Row],[Farms]]*80+TblConstr[[#This Row],[Docks]]*35)*(1+OFFSET(TblProd[[#This Row],[Bonus Food/hr]],-1,0)),0)</f>
        <v>422322</v>
      </c>
      <c r="K81" s="69" t="n">
        <f aca="false">OFFSET(TblProd[[#This Row],[Lumber]],-1,0)+OFFSET(TblProd[[#This Row],[Lumber/hr]],-1,0) - TblProd[[#This Row],[Expenses Lumber]] + SUM(TblConstr[[#This Row],[Dest Hom]:[Dest Doc]])*TblConstr[[#This Row],[CPA Lumber -DB]]*tech_3_3_2*TblTech[[#This Row],[3-3]]</f>
        <v>19338</v>
      </c>
      <c r="L81" s="69" t="n">
        <f aca="false">OFFSET(TblProd[[#This Row],[Mana]],-1,0)+OFFSET(TblProd[[#This Row],[Mana/hr]],-1,0)- TblProd[[#This Row],[Expenses Mana]]</f>
        <v>381309</v>
      </c>
      <c r="M81" s="69" t="n">
        <f aca="false">OFFSET(TblProd[[#This Row],[Ore]],-1,0)+OFFSET(TblProd[[#This Row],[Ore/hr]],-1,0) -TblProd[[#This Row],[Expenses Ore]]</f>
        <v>-357</v>
      </c>
      <c r="N81" s="69" t="n">
        <f aca="false">OFFSET(TblProd[[#This Row],[Gems]],-1,0)+OFFSET(TblProd[[#This Row],[Gems/hr]],-1,0) - TblProd[[#This Row],[Expenses Gems]]</f>
        <v>-1000</v>
      </c>
      <c r="O81" s="69" t="n">
        <f aca="false">OFFSET(TblProd[[#This Row],[Boats]],-1,0)+OFFSET(TblProd[[#This Row],[Boats/hr]],-1,0)</f>
        <v>34.25</v>
      </c>
      <c r="P81" s="69" t="n">
        <f aca="false">OFFSET(TblProd[[#This Row],[Prestige]],-1,0)</f>
        <v>250</v>
      </c>
      <c r="Q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1" s="69" t="n">
        <f aca="false">MAX(3750,_xlfn.CEILING.MATH(TblProd[[#This Row],[Land]]*2.5+OFFSET(TblTech[[#This Row],[Sum of tech]],-1,0)*150))</f>
        <v>3750</v>
      </c>
      <c r="S81" s="132"/>
      <c r="T81" s="69" t="n">
        <f aca="false">ROUNDDOWN(TblProd[[#This Row],[Raw Plat/hr]]*(1+TblProd[[#This Row],[Bonus Plat/hr]]),0)</f>
        <v>46039</v>
      </c>
      <c r="U81" s="69" t="n">
        <f aca="false">ROUND(TblProd[[#This Row],[Raw Food/hr]]*(1+TblProd[[#This Row],[Bonus Food/hr]])-TblProd[[#This Row],[Food decay]]-TblProd[[#This Row],[Food eaten]],0)</f>
        <v>-4096</v>
      </c>
      <c r="V81" s="69" t="n">
        <f aca="false">ROUND(TblProd[[#This Row],[Raw Lumber/hr]]*(1+TblProd[[#This Row],[Bonus Lumber/hr]])-TblProd[[#This Row],[Lumber rot]],0)</f>
        <v>932</v>
      </c>
      <c r="W81" s="69" t="n">
        <f aca="false">ROUND(TblProd[[#This Row],[Raw Mana/hr]]*(1+TblProd[[#This Row],[Bonus Mana/hr]])-TblProd[[#This Row],[Mana drain]],0)</f>
        <v>-6901</v>
      </c>
      <c r="X81" s="69" t="n">
        <f aca="false">ROUNDDOWN(TblProd[[#This Row],[Raw Ore/hr]]*(1+TblProd[[#This Row],[Bonux Ore/hr]]),0)</f>
        <v>0</v>
      </c>
      <c r="Y81" s="69" t="n">
        <f aca="false">ROUNDDOWN(TblProd[[#This Row],[Raw Gems/hr]]*(1+TblProd[[#This Row],[Bonus Gems/hr]]),0)</f>
        <v>0</v>
      </c>
      <c r="Z81" s="148" t="n">
        <f aca="false">OFFSET(TblConstr[[#This Row],[Tot Doc]],1,0)*dock_boats_hr * (1 + tech_4_1*TblTech[[#This Row],[4-1]])</f>
        <v>1.2</v>
      </c>
      <c r="AA81" s="146"/>
      <c r="AB81" s="69" t="n">
        <f aca="false">TblPop[[#This Row],[Peasants]]*tax*TblPop[[#This Row],[Employment]] + (Construction!AZ82+Construction!BX82)*(alch_plat+(Magic!AM81&gt;0)*alchemist_flame_bonus)</f>
        <v>41853.8</v>
      </c>
      <c r="AC81" s="69" t="n">
        <f aca="false">TblConstr[[#This Row],[Tot Farm]]*farm_food + TblConstr[[#This Row],[Tot Doc]]*dock_food</f>
        <v>3280</v>
      </c>
      <c r="AD81" s="69" t="n">
        <f aca="false">TblConstr[[#This Row],[Tot Ly]]*ly_lumber + TblConstr[[#This Row],[Tot Hav]]*fh_lumber</f>
        <v>1250</v>
      </c>
      <c r="AE81" s="69" t="n">
        <f aca="false">OFFSET(TblConstr[[#This Row],[Tot Tow]],1,0)*(tower_mana + tech_4_5*TblTech[[#This Row],[4-5]]) + OFFSET(TblConstr[[#This Row],[Tot WG]],1,0)*wg_mana_prod</f>
        <v>725</v>
      </c>
      <c r="AF81" s="69" t="n">
        <f aca="false">OFFSET(TblConstr[[#This Row],[Tot OM]],1,0)*om_ore+IF(race="Dwarf",ROUNDDOWN(TblMili[[#This Row],[Unit 2]]*0.4,0),)</f>
        <v>0</v>
      </c>
      <c r="AG81" s="69" t="n">
        <f aca="false">OFFSET(TblConstr[[#This Row],[Tot DM]],1,0)*dm_gems</f>
        <v>0</v>
      </c>
      <c r="AH81" s="132"/>
      <c r="AI81" s="149" t="n">
        <f aca="false">MIN(race_platinum_bonus + IF(TblMagic[[#This Row],[Active Alch Frost]]&gt;0,alch_frost_bonus,IF(Magic!AD81&gt;0,midas_bonus)) + TblImps[[#This Row],[Science]] - TblProd[[#This Row],[Guard]]*(0.02 + tech_5_7*TblTech[[#This Row],[5-7]]) + tech_1_5*TblTech[[#This Row],[1-5]] + tech_4_4*TblTech[[#This Row],[4-4]], 0.5)</f>
        <v>0.1</v>
      </c>
      <c r="AJ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1" s="149" t="n">
        <f aca="false">race_lumber_bonus+ IF(TblMagic[[#This Row],[Active Gaia''s Blessing]]&gt;0,gaias_blessing_lumber)+ tech_1_3*TblTech[[#This Row],[1-3]] + tech_1_6*TblTech[[#This Row],[1-6]] + tech_3_3*TblTech[[#This Row],[3-3]]</f>
        <v>-0.1</v>
      </c>
      <c r="AL81" s="149" t="n">
        <f aca="false">race_mana_bonus+ 0 + TblImps[[#This Row],[Towers]] + tech_1_2*TblTech[[#This Row],[1-2]] + tech_3_4*TblTech[[#This Row],[3-4]]</f>
        <v>0</v>
      </c>
      <c r="AM81" s="149" t="n">
        <f aca="false">race_ore_bonus + IF(TblMagic[[#This Row],[Active Miner''s Sight]]&gt;0,miners_sight_bonus,IF(TblMagic[[#This Row],[Active Mining Strength]]&gt;0,mining_strength_bonus)) +  tech_1_6*TblTech[[#This Row],[1-6]]</f>
        <v>0</v>
      </c>
      <c r="AN81" s="149" t="n">
        <f aca="false">race_gem_bonus+ tech_3_2*TblTech[[#This Row],[3-2]] + tech_4_3*TblTech[[#This Row],[4-3]] + tech_6_2*TblTech[[#This Row],[6-2]]</f>
        <v>0.15</v>
      </c>
      <c r="AO81" s="132"/>
      <c r="AP81" s="69" t="n">
        <f aca="false">TblProd[[#This Row],[Food]]*food_decay * (1 + tech_2_1*TblTech[[#This Row],[2-1]] + tech_2_8*TblTech[[#This Row],[2-8]])</f>
        <v>4223.22</v>
      </c>
      <c r="AQ81" s="69" t="n">
        <f aca="false">(1+race_food_consumption)*TblPop[[#This Row],[Total]]*food_per_person*(1+tech_1_10*TblTech[[#This Row],[1-10]]+tech_7_5*TblTech[[#This Row],[7-5]])</f>
        <v>3234.75</v>
      </c>
      <c r="AR81" s="69" t="n">
        <f aca="false">TblProd[[#This Row],[Lumber]]*lumber_rot * (1 + tech_2_1*TblTech[[#This Row],[2-1]] + tech_2_8*TblTech[[#This Row],[2-8]] + tech_5_2*TblTech[[#This Row],[5-2]])</f>
        <v>193.38</v>
      </c>
      <c r="AS81" s="69" t="n">
        <f aca="false">TblProd[[#This Row],[Mana]]*mana_drain * (1 + tech_2_1*TblTech[[#This Row],[2-1]] + tech_2_8*TblTech[[#This Row],[2-8]])</f>
        <v>7626.18</v>
      </c>
      <c r="AT81" s="146"/>
      <c r="AU81" s="69" t="n">
        <f aca="false">TblExplore[[#This Row],[Platinum (2)]]+TblConstr[[#This Row],[Total Plat Cost]]+TblMili[[#This Row],[Plat Cost]]+TblRezone[[#This Row],[Platinum cost]]+TblImps[[#This Row],[P1]]-TblProd[[#This Row],[Bank Plat]]</f>
        <v>0</v>
      </c>
      <c r="AV81" s="69" t="n">
        <f aca="false">TblConstr[[#This Row],[Total Lum Cost]]+TblImps[[#This Row],[L1]]-TblProd[[#This Row],[Bank Lumber]] + Military!$CL$25*TblMili[[#This Row],[Sec. rec. Cost]]</f>
        <v>0</v>
      </c>
      <c r="AW81" s="69" t="n">
        <f aca="false">TblMagic[[#This Row],[Mana cost]] + Military!$CL$26*TblMili[[#This Row],[Sec. rec. Cost]]</f>
        <v>0</v>
      </c>
      <c r="AX81" s="69" t="n">
        <f aca="false">Military!$CL$24*TblMili[[#This Row],[Sec. rec. Cost]]+TblImps[[#This Row],[O1]]-TblProd[[#This Row],[Bank Ore]]</f>
        <v>0</v>
      </c>
      <c r="AY81" s="69" t="n">
        <f aca="false">TblImps[[#This Row],[G1]]-TblProd[[#This Row],[Bank Gems]]</f>
        <v>0</v>
      </c>
      <c r="AZ81" s="132"/>
      <c r="BA81" s="33" t="n">
        <f aca="false">IF(TblProd[[#This Row],[Set Guard]]&lt;&gt;"",TblProd[[#This Row],[Set Guard]],OFFSET(TblProd[[#This Row],[Guard]],-1,0))</f>
        <v>0</v>
      </c>
      <c r="BB81" s="145"/>
      <c r="BC81" s="151" t="n">
        <f aca="false">TblProd[[#This Row],[Hour]]</f>
        <v>6</v>
      </c>
      <c r="BD81" s="152" t="n">
        <f aca="false">-TblProd[[#This Row],[Bank Lumber]] / 2 + -TblProd[[#This Row],[Bank Gems]] * 2 + -TblProd[[#This Row],[Bank Ore]] / 2</f>
        <v>0</v>
      </c>
      <c r="BE81" s="152"/>
      <c r="BF81" s="152"/>
      <c r="BG81" s="152"/>
      <c r="BH81" s="153" t="n">
        <f aca="false">TblProd[[#This Row],[Time]]</f>
        <v>45432.9583333333</v>
      </c>
      <c r="BI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J81" s="69" t="n">
        <f aca="false">TblProd[[#This Row],[Platinum]]</f>
        <v>195777</v>
      </c>
      <c r="BK81" s="69" t="n">
        <f aca="false">TblProd[[#This Row],[Food]]</f>
        <v>422322</v>
      </c>
      <c r="BL81" s="69" t="n">
        <f aca="false">TblProd[[#This Row],[Lumber]]</f>
        <v>19338</v>
      </c>
      <c r="BM81" s="69" t="n">
        <f aca="false">TblProd[[#This Row],[Mana]]</f>
        <v>381309</v>
      </c>
      <c r="BN81" s="69" t="n">
        <f aca="false">TblProd[[#This Row],[Ore]]</f>
        <v>-357</v>
      </c>
    </row>
    <row r="82" customFormat="false" ht="12.75" hidden="false" customHeight="false" outlineLevel="0" collapsed="false">
      <c r="A82" s="128" t="n">
        <v>7</v>
      </c>
      <c r="B82" s="144" t="n">
        <f aca="false">TblImps[[#This Row],[Time]]</f>
        <v>45433</v>
      </c>
      <c r="C82" s="145"/>
      <c r="D82" s="146"/>
      <c r="E82" s="69" t="n">
        <f aca="false">TblConstr[[#This Row],[Land]]</f>
        <v>700</v>
      </c>
      <c r="F82" s="69" t="n">
        <f aca="false">TblPop[[#This Row],[Peasants]]</f>
        <v>9498</v>
      </c>
      <c r="G82" s="69"/>
      <c r="H82" s="69" t="e">
        <f aca="false">TblMili[[#This Row],[Networth (2)]]</f>
        <v>#VALUE!</v>
      </c>
      <c r="I82" s="69" t="n">
        <f aca="false">OFFSET(TblProd[[#This Row],[Platinum]],-1,0)+OFFSET(TblProd[[#This Row],[Plat/hr]],-1,0) - TblProd[[#This Row],[Expenses Platinum]] + IF(TblProd[[#This Row],[Plat Bonus]],TblPop[[#This Row],[Peasants]]*4) + SUM(TblConstr[[#This Row],[Dest Hom]:[Dest Doc]])*TblConstr[[#This Row],[CPA Platinum -DB]]*tech_3_3_2*TblTech[[#This Row],[3-3]]</f>
        <v>241816</v>
      </c>
      <c r="J82" s="69" t="n">
        <f aca="false">OFFSET(TblProd[[#This Row],[Food]],-1,0)+OFFSET(TblProd[[#This Row],[Food/hr]],-1,0)+ROUNDUP((TblConstr[[#This Row],[Farms]]*80+TblConstr[[#This Row],[Docks]]*35)*(1+OFFSET(TblProd[[#This Row],[Bonus Food/hr]],-1,0)),0)</f>
        <v>418226</v>
      </c>
      <c r="K82" s="69" t="n">
        <f aca="false">OFFSET(TblProd[[#This Row],[Lumber]],-1,0)+OFFSET(TblProd[[#This Row],[Lumber/hr]],-1,0) - TblProd[[#This Row],[Expenses Lumber]] + SUM(TblConstr[[#This Row],[Dest Hom]:[Dest Doc]])*TblConstr[[#This Row],[CPA Lumber -DB]]*tech_3_3_2*TblTech[[#This Row],[3-3]]</f>
        <v>20270</v>
      </c>
      <c r="L82" s="69" t="n">
        <f aca="false">OFFSET(TblProd[[#This Row],[Mana]],-1,0)+OFFSET(TblProd[[#This Row],[Mana/hr]],-1,0)- TblProd[[#This Row],[Expenses Mana]]</f>
        <v>374408</v>
      </c>
      <c r="M82" s="69" t="n">
        <f aca="false">OFFSET(TblProd[[#This Row],[Ore]],-1,0)+OFFSET(TblProd[[#This Row],[Ore/hr]],-1,0) -TblProd[[#This Row],[Expenses Ore]]</f>
        <v>-357</v>
      </c>
      <c r="N82" s="69" t="n">
        <f aca="false">OFFSET(TblProd[[#This Row],[Gems]],-1,0)+OFFSET(TblProd[[#This Row],[Gems/hr]],-1,0) - TblProd[[#This Row],[Expenses Gems]]</f>
        <v>-1000</v>
      </c>
      <c r="O82" s="69" t="n">
        <f aca="false">OFFSET(TblProd[[#This Row],[Boats]],-1,0)+OFFSET(TblProd[[#This Row],[Boats/hr]],-1,0)</f>
        <v>35.45</v>
      </c>
      <c r="P82" s="69" t="n">
        <f aca="false">OFFSET(TblProd[[#This Row],[Prestige]],-1,0)</f>
        <v>250</v>
      </c>
      <c r="Q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2" s="69" t="n">
        <f aca="false">MAX(3750,_xlfn.CEILING.MATH(TblProd[[#This Row],[Land]]*2.5+OFFSET(TblTech[[#This Row],[Sum of tech]],-1,0)*150))</f>
        <v>3750</v>
      </c>
      <c r="S82" s="132"/>
      <c r="T82" s="69" t="n">
        <f aca="false">ROUNDDOWN(TblProd[[#This Row],[Raw Plat/hr]]*(1+TblProd[[#This Row],[Bonus Plat/hr]]),0)</f>
        <v>45754</v>
      </c>
      <c r="U82" s="69" t="n">
        <f aca="false">ROUND(TblProd[[#This Row],[Raw Food/hr]]*(1+TblProd[[#This Row],[Bonus Food/hr]])-TblProd[[#This Row],[Food decay]]-TblProd[[#This Row],[Food eaten]],0)</f>
        <v>-4055</v>
      </c>
      <c r="V82" s="69" t="n">
        <f aca="false">ROUND(TblProd[[#This Row],[Raw Lumber/hr]]*(1+TblProd[[#This Row],[Bonus Lumber/hr]])-TblProd[[#This Row],[Lumber rot]],0)</f>
        <v>922</v>
      </c>
      <c r="W82" s="69" t="n">
        <f aca="false">ROUND(TblProd[[#This Row],[Raw Mana/hr]]*(1+TblProd[[#This Row],[Bonus Mana/hr]])-TblProd[[#This Row],[Mana drain]],0)</f>
        <v>-6763</v>
      </c>
      <c r="X82" s="69" t="n">
        <f aca="false">ROUNDDOWN(TblProd[[#This Row],[Raw Ore/hr]]*(1+TblProd[[#This Row],[Bonux Ore/hr]]),0)</f>
        <v>0</v>
      </c>
      <c r="Y82" s="69" t="n">
        <f aca="false">ROUNDDOWN(TblProd[[#This Row],[Raw Gems/hr]]*(1+TblProd[[#This Row],[Bonus Gems/hr]]),0)</f>
        <v>0</v>
      </c>
      <c r="Z82" s="148" t="n">
        <f aca="false">OFFSET(TblConstr[[#This Row],[Tot Doc]],1,0)*dock_boats_hr * (1 + tech_4_1*TblTech[[#This Row],[4-1]])</f>
        <v>1.2</v>
      </c>
      <c r="AA82" s="146"/>
      <c r="AB82" s="69" t="n">
        <f aca="false">TblPop[[#This Row],[Peasants]]*tax*TblPop[[#This Row],[Employment]] + (Construction!AZ83+Construction!BX83)*(alch_plat+(Magic!AM82&gt;0)*alchemist_flame_bonus)</f>
        <v>41594.6</v>
      </c>
      <c r="AC82" s="69" t="n">
        <f aca="false">TblConstr[[#This Row],[Tot Farm]]*farm_food + TblConstr[[#This Row],[Tot Doc]]*dock_food</f>
        <v>3280</v>
      </c>
      <c r="AD82" s="69" t="n">
        <f aca="false">TblConstr[[#This Row],[Tot Ly]]*ly_lumber + TblConstr[[#This Row],[Tot Hav]]*fh_lumber</f>
        <v>1250</v>
      </c>
      <c r="AE82" s="69" t="n">
        <f aca="false">OFFSET(TblConstr[[#This Row],[Tot Tow]],1,0)*(tower_mana + tech_4_5*TblTech[[#This Row],[4-5]]) + OFFSET(TblConstr[[#This Row],[Tot WG]],1,0)*wg_mana_prod</f>
        <v>725</v>
      </c>
      <c r="AF82" s="69" t="n">
        <f aca="false">OFFSET(TblConstr[[#This Row],[Tot OM]],1,0)*om_ore+IF(race="Dwarf",ROUNDDOWN(TblMili[[#This Row],[Unit 2]]*0.4,0),)</f>
        <v>0</v>
      </c>
      <c r="AG82" s="69" t="n">
        <f aca="false">OFFSET(TblConstr[[#This Row],[Tot DM]],1,0)*dm_gems</f>
        <v>0</v>
      </c>
      <c r="AH82" s="132"/>
      <c r="AI82" s="149" t="n">
        <f aca="false">MIN(race_platinum_bonus + IF(TblMagic[[#This Row],[Active Alch Frost]]&gt;0,alch_frost_bonus,IF(Magic!AD82&gt;0,midas_bonus)) + TblImps[[#This Row],[Science]] - TblProd[[#This Row],[Guard]]*(0.02 + tech_5_7*TblTech[[#This Row],[5-7]]) + tech_1_5*TblTech[[#This Row],[1-5]] + tech_4_4*TblTech[[#This Row],[4-4]], 0.5)</f>
        <v>0.1</v>
      </c>
      <c r="AJ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2" s="149" t="n">
        <f aca="false">race_lumber_bonus+ IF(TblMagic[[#This Row],[Active Gaia''s Blessing]]&gt;0,gaias_blessing_lumber)+ tech_1_3*TblTech[[#This Row],[1-3]] + tech_1_6*TblTech[[#This Row],[1-6]] + tech_3_3*TblTech[[#This Row],[3-3]]</f>
        <v>-0.1</v>
      </c>
      <c r="AL82" s="149" t="n">
        <f aca="false">race_mana_bonus+ 0 + TblImps[[#This Row],[Towers]] + tech_1_2*TblTech[[#This Row],[1-2]] + tech_3_4*TblTech[[#This Row],[3-4]]</f>
        <v>0</v>
      </c>
      <c r="AM82" s="149" t="n">
        <f aca="false">race_ore_bonus + IF(TblMagic[[#This Row],[Active Miner''s Sight]]&gt;0,miners_sight_bonus,IF(TblMagic[[#This Row],[Active Mining Strength]]&gt;0,mining_strength_bonus)) +  tech_1_6*TblTech[[#This Row],[1-6]]</f>
        <v>0</v>
      </c>
      <c r="AN82" s="149" t="n">
        <f aca="false">race_gem_bonus+ tech_3_2*TblTech[[#This Row],[3-2]] + tech_4_3*TblTech[[#This Row],[4-3]] + tech_6_2*TblTech[[#This Row],[6-2]]</f>
        <v>0.15</v>
      </c>
      <c r="AO82" s="132"/>
      <c r="AP82" s="69" t="n">
        <f aca="false">TblProd[[#This Row],[Food]]*food_decay * (1 + tech_2_1*TblTech[[#This Row],[2-1]] + tech_2_8*TblTech[[#This Row],[2-8]])</f>
        <v>4182.26</v>
      </c>
      <c r="AQ82" s="69" t="n">
        <f aca="false">(1+race_food_consumption)*TblPop[[#This Row],[Total]]*food_per_person*(1+tech_1_10*TblTech[[#This Row],[1-10]]+tech_7_5*TblTech[[#This Row],[7-5]])</f>
        <v>3234.75</v>
      </c>
      <c r="AR82" s="69" t="n">
        <f aca="false">TblProd[[#This Row],[Lumber]]*lumber_rot * (1 + tech_2_1*TblTech[[#This Row],[2-1]] + tech_2_8*TblTech[[#This Row],[2-8]] + tech_5_2*TblTech[[#This Row],[5-2]])</f>
        <v>202.7</v>
      </c>
      <c r="AS82" s="69" t="n">
        <f aca="false">TblProd[[#This Row],[Mana]]*mana_drain * (1 + tech_2_1*TblTech[[#This Row],[2-1]] + tech_2_8*TblTech[[#This Row],[2-8]])</f>
        <v>7488.16</v>
      </c>
      <c r="AT82" s="146"/>
      <c r="AU82" s="69" t="n">
        <f aca="false">TblExplore[[#This Row],[Platinum (2)]]+TblConstr[[#This Row],[Total Plat Cost]]+TblMili[[#This Row],[Plat Cost]]+TblRezone[[#This Row],[Platinum cost]]+TblImps[[#This Row],[P1]]-TblProd[[#This Row],[Bank Plat]]</f>
        <v>0</v>
      </c>
      <c r="AV82" s="69" t="n">
        <f aca="false">TblConstr[[#This Row],[Total Lum Cost]]+TblImps[[#This Row],[L1]]-TblProd[[#This Row],[Bank Lumber]] + Military!$CL$25*TblMili[[#This Row],[Sec. rec. Cost]]</f>
        <v>0</v>
      </c>
      <c r="AW82" s="69" t="n">
        <f aca="false">TblMagic[[#This Row],[Mana cost]] + Military!$CL$26*TblMili[[#This Row],[Sec. rec. Cost]]</f>
        <v>0</v>
      </c>
      <c r="AX82" s="69" t="n">
        <f aca="false">Military!$CL$24*TblMili[[#This Row],[Sec. rec. Cost]]+TblImps[[#This Row],[O1]]-TblProd[[#This Row],[Bank Ore]]</f>
        <v>0</v>
      </c>
      <c r="AY82" s="69" t="n">
        <f aca="false">TblImps[[#This Row],[G1]]-TblProd[[#This Row],[Bank Gems]]</f>
        <v>0</v>
      </c>
      <c r="AZ82" s="132"/>
      <c r="BA82" s="33" t="n">
        <f aca="false">IF(TblProd[[#This Row],[Set Guard]]&lt;&gt;"",TblProd[[#This Row],[Set Guard]],OFFSET(TblProd[[#This Row],[Guard]],-1,0))</f>
        <v>0</v>
      </c>
      <c r="BB82" s="145"/>
      <c r="BC82" s="151" t="n">
        <f aca="false">TblProd[[#This Row],[Hour]]</f>
        <v>7</v>
      </c>
      <c r="BD82" s="152" t="n">
        <f aca="false">-TblProd[[#This Row],[Bank Lumber]] / 2 + -TblProd[[#This Row],[Bank Gems]] * 2 + -TblProd[[#This Row],[Bank Ore]] / 2</f>
        <v>0</v>
      </c>
      <c r="BE82" s="152"/>
      <c r="BF82" s="152"/>
      <c r="BG82" s="152"/>
      <c r="BH82" s="153" t="n">
        <f aca="false">TblProd[[#This Row],[Time]]</f>
        <v>45433</v>
      </c>
      <c r="BI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J82" s="69" t="n">
        <f aca="false">TblProd[[#This Row],[Platinum]]</f>
        <v>241816</v>
      </c>
      <c r="BK82" s="69" t="n">
        <f aca="false">TblProd[[#This Row],[Food]]</f>
        <v>418226</v>
      </c>
      <c r="BL82" s="69" t="n">
        <f aca="false">TblProd[[#This Row],[Lumber]]</f>
        <v>20270</v>
      </c>
      <c r="BM82" s="69" t="n">
        <f aca="false">TblProd[[#This Row],[Mana]]</f>
        <v>374408</v>
      </c>
      <c r="BN82" s="69" t="n">
        <f aca="false">TblProd[[#This Row],[Ore]]</f>
        <v>-357</v>
      </c>
    </row>
    <row r="83" customFormat="false" ht="12.75" hidden="false" customHeight="false" outlineLevel="0" collapsed="false">
      <c r="A83" s="128" t="n">
        <v>8</v>
      </c>
      <c r="B83" s="144" t="n">
        <f aca="false">TblImps[[#This Row],[Time]]</f>
        <v>45433.0416666667</v>
      </c>
      <c r="C83" s="145"/>
      <c r="D83" s="146"/>
      <c r="E83" s="69" t="n">
        <f aca="false">TblConstr[[#This Row],[Land]]</f>
        <v>700</v>
      </c>
      <c r="F83" s="69" t="n">
        <f aca="false">TblPop[[#This Row],[Peasants]]</f>
        <v>9403</v>
      </c>
      <c r="G83" s="69"/>
      <c r="H83" s="69" t="e">
        <f aca="false">TblMili[[#This Row],[Networth (2)]]</f>
        <v>#VALUE!</v>
      </c>
      <c r="I83" s="69" t="n">
        <f aca="false">OFFSET(TblProd[[#This Row],[Platinum]],-1,0)+OFFSET(TblProd[[#This Row],[Plat/hr]],-1,0) - TblProd[[#This Row],[Expenses Platinum]] + IF(TblProd[[#This Row],[Plat Bonus]],TblPop[[#This Row],[Peasants]]*4) + SUM(TblConstr[[#This Row],[Dest Hom]:[Dest Doc]])*TblConstr[[#This Row],[CPA Platinum -DB]]*tech_3_3_2*TblTech[[#This Row],[3-3]]</f>
        <v>287570</v>
      </c>
      <c r="J83" s="69" t="n">
        <f aca="false">OFFSET(TblProd[[#This Row],[Food]],-1,0)+OFFSET(TblProd[[#This Row],[Food/hr]],-1,0)+ROUNDUP((TblConstr[[#This Row],[Farms]]*80+TblConstr[[#This Row],[Docks]]*35)*(1+OFFSET(TblProd[[#This Row],[Bonus Food/hr]],-1,0)),0)</f>
        <v>414171</v>
      </c>
      <c r="K83" s="69" t="n">
        <f aca="false">OFFSET(TblProd[[#This Row],[Lumber]],-1,0)+OFFSET(TblProd[[#This Row],[Lumber/hr]],-1,0) - TblProd[[#This Row],[Expenses Lumber]] + SUM(TblConstr[[#This Row],[Dest Hom]:[Dest Doc]])*TblConstr[[#This Row],[CPA Lumber -DB]]*tech_3_3_2*TblTech[[#This Row],[3-3]]</f>
        <v>21192</v>
      </c>
      <c r="L83" s="69" t="n">
        <f aca="false">OFFSET(TblProd[[#This Row],[Mana]],-1,0)+OFFSET(TblProd[[#This Row],[Mana/hr]],-1,0)- TblProd[[#This Row],[Expenses Mana]]</f>
        <v>367645</v>
      </c>
      <c r="M83" s="69" t="n">
        <f aca="false">OFFSET(TblProd[[#This Row],[Ore]],-1,0)+OFFSET(TblProd[[#This Row],[Ore/hr]],-1,0) -TblProd[[#This Row],[Expenses Ore]]</f>
        <v>-357</v>
      </c>
      <c r="N83" s="69" t="n">
        <f aca="false">OFFSET(TblProd[[#This Row],[Gems]],-1,0)+OFFSET(TblProd[[#This Row],[Gems/hr]],-1,0) - TblProd[[#This Row],[Expenses Gems]]</f>
        <v>-1000</v>
      </c>
      <c r="O83" s="69" t="n">
        <f aca="false">OFFSET(TblProd[[#This Row],[Boats]],-1,0)+OFFSET(TblProd[[#This Row],[Boats/hr]],-1,0)</f>
        <v>36.65</v>
      </c>
      <c r="P83" s="69" t="n">
        <f aca="false">OFFSET(TblProd[[#This Row],[Prestige]],-1,0)</f>
        <v>250</v>
      </c>
      <c r="Q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3" s="69" t="n">
        <f aca="false">MAX(3750,_xlfn.CEILING.MATH(TblProd[[#This Row],[Land]]*2.5+OFFSET(TblTech[[#This Row],[Sum of tech]],-1,0)*150))</f>
        <v>3750</v>
      </c>
      <c r="S83" s="132"/>
      <c r="T83" s="69" t="n">
        <f aca="false">ROUNDDOWN(TblProd[[#This Row],[Raw Plat/hr]]*(1+TblProd[[#This Row],[Bonus Plat/hr]]),0)</f>
        <v>45471</v>
      </c>
      <c r="U83" s="69" t="n">
        <f aca="false">ROUND(TblProd[[#This Row],[Raw Food/hr]]*(1+TblProd[[#This Row],[Bonus Food/hr]])-TblProd[[#This Row],[Food decay]]-TblProd[[#This Row],[Food eaten]],0)</f>
        <v>-4014</v>
      </c>
      <c r="V83" s="69" t="n">
        <f aca="false">ROUND(TblProd[[#This Row],[Raw Lumber/hr]]*(1+TblProd[[#This Row],[Bonus Lumber/hr]])-TblProd[[#This Row],[Lumber rot]],0)</f>
        <v>913</v>
      </c>
      <c r="W83" s="69" t="n">
        <f aca="false">ROUND(TblProd[[#This Row],[Raw Mana/hr]]*(1+TblProd[[#This Row],[Bonus Mana/hr]])-TblProd[[#This Row],[Mana drain]],0)</f>
        <v>-6628</v>
      </c>
      <c r="X83" s="69" t="n">
        <f aca="false">ROUNDDOWN(TblProd[[#This Row],[Raw Ore/hr]]*(1+TblProd[[#This Row],[Bonux Ore/hr]]),0)</f>
        <v>0</v>
      </c>
      <c r="Y83" s="69" t="n">
        <f aca="false">ROUNDDOWN(TblProd[[#This Row],[Raw Gems/hr]]*(1+TblProd[[#This Row],[Bonus Gems/hr]]),0)</f>
        <v>0</v>
      </c>
      <c r="Z83" s="148" t="n">
        <f aca="false">OFFSET(TblConstr[[#This Row],[Tot Doc]],1,0)*dock_boats_hr * (1 + tech_4_1*TblTech[[#This Row],[4-1]])</f>
        <v>1.2</v>
      </c>
      <c r="AA83" s="146"/>
      <c r="AB83" s="69" t="n">
        <f aca="false">TblPop[[#This Row],[Peasants]]*tax*TblPop[[#This Row],[Employment]] + (Construction!AZ84+Construction!BX84)*(alch_plat+(Magic!AM83&gt;0)*alchemist_flame_bonus)</f>
        <v>41338.1</v>
      </c>
      <c r="AC83" s="69" t="n">
        <f aca="false">TblConstr[[#This Row],[Tot Farm]]*farm_food + TblConstr[[#This Row],[Tot Doc]]*dock_food</f>
        <v>3280</v>
      </c>
      <c r="AD83" s="69" t="n">
        <f aca="false">TblConstr[[#This Row],[Tot Ly]]*ly_lumber + TblConstr[[#This Row],[Tot Hav]]*fh_lumber</f>
        <v>1250</v>
      </c>
      <c r="AE83" s="69" t="n">
        <f aca="false">OFFSET(TblConstr[[#This Row],[Tot Tow]],1,0)*(tower_mana + tech_4_5*TblTech[[#This Row],[4-5]]) + OFFSET(TblConstr[[#This Row],[Tot WG]],1,0)*wg_mana_prod</f>
        <v>725</v>
      </c>
      <c r="AF83" s="69" t="n">
        <f aca="false">OFFSET(TblConstr[[#This Row],[Tot OM]],1,0)*om_ore+IF(race="Dwarf",ROUNDDOWN(TblMili[[#This Row],[Unit 2]]*0.4,0),)</f>
        <v>0</v>
      </c>
      <c r="AG83" s="69" t="n">
        <f aca="false">OFFSET(TblConstr[[#This Row],[Tot DM]],1,0)*dm_gems</f>
        <v>0</v>
      </c>
      <c r="AH83" s="132"/>
      <c r="AI83" s="149" t="n">
        <f aca="false">MIN(race_platinum_bonus + IF(TblMagic[[#This Row],[Active Alch Frost]]&gt;0,alch_frost_bonus,IF(Magic!AD83&gt;0,midas_bonus)) + TblImps[[#This Row],[Science]] - TblProd[[#This Row],[Guard]]*(0.02 + tech_5_7*TblTech[[#This Row],[5-7]]) + tech_1_5*TblTech[[#This Row],[1-5]] + tech_4_4*TblTech[[#This Row],[4-4]], 0.5)</f>
        <v>0.1</v>
      </c>
      <c r="AJ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3" s="149" t="n">
        <f aca="false">race_lumber_bonus+ IF(TblMagic[[#This Row],[Active Gaia''s Blessing]]&gt;0,gaias_blessing_lumber)+ tech_1_3*TblTech[[#This Row],[1-3]] + tech_1_6*TblTech[[#This Row],[1-6]] + tech_3_3*TblTech[[#This Row],[3-3]]</f>
        <v>-0.1</v>
      </c>
      <c r="AL83" s="149" t="n">
        <f aca="false">race_mana_bonus+ 0 + TblImps[[#This Row],[Towers]] + tech_1_2*TblTech[[#This Row],[1-2]] + tech_3_4*TblTech[[#This Row],[3-4]]</f>
        <v>0</v>
      </c>
      <c r="AM83" s="149" t="n">
        <f aca="false">race_ore_bonus + IF(TblMagic[[#This Row],[Active Miner''s Sight]]&gt;0,miners_sight_bonus,IF(TblMagic[[#This Row],[Active Mining Strength]]&gt;0,mining_strength_bonus)) +  tech_1_6*TblTech[[#This Row],[1-6]]</f>
        <v>0</v>
      </c>
      <c r="AN83" s="149" t="n">
        <f aca="false">race_gem_bonus+ tech_3_2*TblTech[[#This Row],[3-2]] + tech_4_3*TblTech[[#This Row],[4-3]] + tech_6_2*TblTech[[#This Row],[6-2]]</f>
        <v>0.15</v>
      </c>
      <c r="AO83" s="132"/>
      <c r="AP83" s="69" t="n">
        <f aca="false">TblProd[[#This Row],[Food]]*food_decay * (1 + tech_2_1*TblTech[[#This Row],[2-1]] + tech_2_8*TblTech[[#This Row],[2-8]])</f>
        <v>4141.71</v>
      </c>
      <c r="AQ83" s="69" t="n">
        <f aca="false">(1+race_food_consumption)*TblPop[[#This Row],[Total]]*food_per_person*(1+tech_1_10*TblTech[[#This Row],[1-10]]+tech_7_5*TblTech[[#This Row],[7-5]])</f>
        <v>3234.75</v>
      </c>
      <c r="AR83" s="69" t="n">
        <f aca="false">TblProd[[#This Row],[Lumber]]*lumber_rot * (1 + tech_2_1*TblTech[[#This Row],[2-1]] + tech_2_8*TblTech[[#This Row],[2-8]] + tech_5_2*TblTech[[#This Row],[5-2]])</f>
        <v>211.92</v>
      </c>
      <c r="AS83" s="69" t="n">
        <f aca="false">TblProd[[#This Row],[Mana]]*mana_drain * (1 + tech_2_1*TblTech[[#This Row],[2-1]] + tech_2_8*TblTech[[#This Row],[2-8]])</f>
        <v>7352.9</v>
      </c>
      <c r="AT83" s="146"/>
      <c r="AU83" s="69" t="n">
        <f aca="false">TblExplore[[#This Row],[Platinum (2)]]+TblConstr[[#This Row],[Total Plat Cost]]+TblMili[[#This Row],[Plat Cost]]+TblRezone[[#This Row],[Platinum cost]]+TblImps[[#This Row],[P1]]-TblProd[[#This Row],[Bank Plat]]</f>
        <v>0</v>
      </c>
      <c r="AV83" s="69" t="n">
        <f aca="false">TblConstr[[#This Row],[Total Lum Cost]]+TblImps[[#This Row],[L1]]-TblProd[[#This Row],[Bank Lumber]] + Military!$CL$25*TblMili[[#This Row],[Sec. rec. Cost]]</f>
        <v>0</v>
      </c>
      <c r="AW83" s="69" t="n">
        <f aca="false">TblMagic[[#This Row],[Mana cost]] + Military!$CL$26*TblMili[[#This Row],[Sec. rec. Cost]]</f>
        <v>0</v>
      </c>
      <c r="AX83" s="69" t="n">
        <f aca="false">Military!$CL$24*TblMili[[#This Row],[Sec. rec. Cost]]+TblImps[[#This Row],[O1]]-TblProd[[#This Row],[Bank Ore]]</f>
        <v>0</v>
      </c>
      <c r="AY83" s="69" t="n">
        <f aca="false">TblImps[[#This Row],[G1]]-TblProd[[#This Row],[Bank Gems]]</f>
        <v>0</v>
      </c>
      <c r="AZ83" s="132"/>
      <c r="BA83" s="33" t="n">
        <f aca="false">IF(TblProd[[#This Row],[Set Guard]]&lt;&gt;"",TblProd[[#This Row],[Set Guard]],OFFSET(TblProd[[#This Row],[Guard]],-1,0))</f>
        <v>0</v>
      </c>
      <c r="BB83" s="145"/>
      <c r="BC83" s="151" t="n">
        <f aca="false">TblProd[[#This Row],[Hour]]</f>
        <v>8</v>
      </c>
      <c r="BD83" s="152" t="n">
        <f aca="false">-TblProd[[#This Row],[Bank Lumber]] / 2 + -TblProd[[#This Row],[Bank Gems]] * 2 + -TblProd[[#This Row],[Bank Ore]] / 2</f>
        <v>0</v>
      </c>
      <c r="BE83" s="152"/>
      <c r="BF83" s="152"/>
      <c r="BG83" s="152"/>
      <c r="BH83" s="153" t="n">
        <f aca="false">TblProd[[#This Row],[Time]]</f>
        <v>45433.0416666667</v>
      </c>
      <c r="BI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J83" s="69" t="n">
        <f aca="false">TblProd[[#This Row],[Platinum]]</f>
        <v>287570</v>
      </c>
      <c r="BK83" s="69" t="n">
        <f aca="false">TblProd[[#This Row],[Food]]</f>
        <v>414171</v>
      </c>
      <c r="BL83" s="69" t="n">
        <f aca="false">TblProd[[#This Row],[Lumber]]</f>
        <v>21192</v>
      </c>
      <c r="BM83" s="69" t="n">
        <f aca="false">TblProd[[#This Row],[Mana]]</f>
        <v>367645</v>
      </c>
      <c r="BN83" s="69" t="n">
        <f aca="false">TblProd[[#This Row],[Ore]]</f>
        <v>-357</v>
      </c>
    </row>
    <row r="84" customFormat="false" ht="12.75" hidden="false" customHeight="false" outlineLevel="0" collapsed="false">
      <c r="A84" s="128" t="n">
        <v>9</v>
      </c>
      <c r="B84" s="144" t="n">
        <f aca="false">TblImps[[#This Row],[Time]]</f>
        <v>45433.0833333333</v>
      </c>
      <c r="C84" s="145"/>
      <c r="D84" s="146"/>
      <c r="E84" s="69" t="n">
        <f aca="false">TblConstr[[#This Row],[Land]]</f>
        <v>700</v>
      </c>
      <c r="F84" s="69" t="n">
        <f aca="false">TblPop[[#This Row],[Peasants]]</f>
        <v>9309</v>
      </c>
      <c r="G84" s="69"/>
      <c r="H84" s="69" t="e">
        <f aca="false">TblMili[[#This Row],[Networth (2)]]</f>
        <v>#VALUE!</v>
      </c>
      <c r="I84" s="69" t="n">
        <f aca="false">OFFSET(TblProd[[#This Row],[Platinum]],-1,0)+OFFSET(TblProd[[#This Row],[Plat/hr]],-1,0) - TblProd[[#This Row],[Expenses Platinum]] + IF(TblProd[[#This Row],[Plat Bonus]],TblPop[[#This Row],[Peasants]]*4) + SUM(TblConstr[[#This Row],[Dest Hom]:[Dest Doc]])*TblConstr[[#This Row],[CPA Platinum -DB]]*tech_3_3_2*TblTech[[#This Row],[3-3]]</f>
        <v>333041</v>
      </c>
      <c r="J84" s="69" t="n">
        <f aca="false">OFFSET(TblProd[[#This Row],[Food]],-1,0)+OFFSET(TblProd[[#This Row],[Food/hr]],-1,0)+ROUNDUP((TblConstr[[#This Row],[Farms]]*80+TblConstr[[#This Row],[Docks]]*35)*(1+OFFSET(TblProd[[#This Row],[Bonus Food/hr]],-1,0)),0)</f>
        <v>410157</v>
      </c>
      <c r="K84" s="69" t="n">
        <f aca="false">OFFSET(TblProd[[#This Row],[Lumber]],-1,0)+OFFSET(TblProd[[#This Row],[Lumber/hr]],-1,0) - TblProd[[#This Row],[Expenses Lumber]] + SUM(TblConstr[[#This Row],[Dest Hom]:[Dest Doc]])*TblConstr[[#This Row],[CPA Lumber -DB]]*tech_3_3_2*TblTech[[#This Row],[3-3]]</f>
        <v>22105</v>
      </c>
      <c r="L84" s="69" t="n">
        <f aca="false">OFFSET(TblProd[[#This Row],[Mana]],-1,0)+OFFSET(TblProd[[#This Row],[Mana/hr]],-1,0)- TblProd[[#This Row],[Expenses Mana]]</f>
        <v>361017</v>
      </c>
      <c r="M84" s="69" t="n">
        <f aca="false">OFFSET(TblProd[[#This Row],[Ore]],-1,0)+OFFSET(TblProd[[#This Row],[Ore/hr]],-1,0) -TblProd[[#This Row],[Expenses Ore]]</f>
        <v>-357</v>
      </c>
      <c r="N84" s="69" t="n">
        <f aca="false">OFFSET(TblProd[[#This Row],[Gems]],-1,0)+OFFSET(TblProd[[#This Row],[Gems/hr]],-1,0) - TblProd[[#This Row],[Expenses Gems]]</f>
        <v>-1000</v>
      </c>
      <c r="O84" s="69" t="n">
        <f aca="false">OFFSET(TblProd[[#This Row],[Boats]],-1,0)+OFFSET(TblProd[[#This Row],[Boats/hr]],-1,0)</f>
        <v>37.85</v>
      </c>
      <c r="P84" s="69" t="n">
        <f aca="false">OFFSET(TblProd[[#This Row],[Prestige]],-1,0)</f>
        <v>250</v>
      </c>
      <c r="Q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4" s="69" t="n">
        <f aca="false">MAX(3750,_xlfn.CEILING.MATH(TblProd[[#This Row],[Land]]*2.5+OFFSET(TblTech[[#This Row],[Sum of tech]],-1,0)*150))</f>
        <v>3750</v>
      </c>
      <c r="S84" s="132"/>
      <c r="T84" s="69" t="n">
        <f aca="false">ROUNDDOWN(TblProd[[#This Row],[Raw Plat/hr]]*(1+TblProd[[#This Row],[Bonus Plat/hr]]),0)</f>
        <v>45192</v>
      </c>
      <c r="U84" s="69" t="n">
        <f aca="false">ROUND(TblProd[[#This Row],[Raw Food/hr]]*(1+TblProd[[#This Row],[Bonus Food/hr]])-TblProd[[#This Row],[Food decay]]-TblProd[[#This Row],[Food eaten]],0)</f>
        <v>-3974</v>
      </c>
      <c r="V84" s="69" t="n">
        <f aca="false">ROUND(TblProd[[#This Row],[Raw Lumber/hr]]*(1+TblProd[[#This Row],[Bonus Lumber/hr]])-TblProd[[#This Row],[Lumber rot]],0)</f>
        <v>904</v>
      </c>
      <c r="W84" s="69" t="n">
        <f aca="false">ROUND(TblProd[[#This Row],[Raw Mana/hr]]*(1+TblProd[[#This Row],[Bonus Mana/hr]])-TblProd[[#This Row],[Mana drain]],0)</f>
        <v>-6495</v>
      </c>
      <c r="X84" s="69" t="n">
        <f aca="false">ROUNDDOWN(TblProd[[#This Row],[Raw Ore/hr]]*(1+TblProd[[#This Row],[Bonux Ore/hr]]),0)</f>
        <v>0</v>
      </c>
      <c r="Y84" s="69" t="n">
        <f aca="false">ROUNDDOWN(TblProd[[#This Row],[Raw Gems/hr]]*(1+TblProd[[#This Row],[Bonus Gems/hr]]),0)</f>
        <v>0</v>
      </c>
      <c r="Z84" s="148" t="n">
        <f aca="false">OFFSET(TblConstr[[#This Row],[Tot Doc]],1,0)*dock_boats_hr * (1 + tech_4_1*TblTech[[#This Row],[4-1]])</f>
        <v>1.2</v>
      </c>
      <c r="AA84" s="146"/>
      <c r="AB84" s="69" t="n">
        <f aca="false">TblPop[[#This Row],[Peasants]]*tax*TblPop[[#This Row],[Employment]] + (Construction!AZ85+Construction!BX85)*(alch_plat+(Magic!AM84&gt;0)*alchemist_flame_bonus)</f>
        <v>41084.3</v>
      </c>
      <c r="AC84" s="69" t="n">
        <f aca="false">TblConstr[[#This Row],[Tot Farm]]*farm_food + TblConstr[[#This Row],[Tot Doc]]*dock_food</f>
        <v>3280</v>
      </c>
      <c r="AD84" s="69" t="n">
        <f aca="false">TblConstr[[#This Row],[Tot Ly]]*ly_lumber + TblConstr[[#This Row],[Tot Hav]]*fh_lumber</f>
        <v>1250</v>
      </c>
      <c r="AE84" s="69" t="n">
        <f aca="false">OFFSET(TblConstr[[#This Row],[Tot Tow]],1,0)*(tower_mana + tech_4_5*TblTech[[#This Row],[4-5]]) + OFFSET(TblConstr[[#This Row],[Tot WG]],1,0)*wg_mana_prod</f>
        <v>725</v>
      </c>
      <c r="AF84" s="69" t="n">
        <f aca="false">OFFSET(TblConstr[[#This Row],[Tot OM]],1,0)*om_ore+IF(race="Dwarf",ROUNDDOWN(TblMili[[#This Row],[Unit 2]]*0.4,0),)</f>
        <v>0</v>
      </c>
      <c r="AG84" s="69" t="n">
        <f aca="false">OFFSET(TblConstr[[#This Row],[Tot DM]],1,0)*dm_gems</f>
        <v>0</v>
      </c>
      <c r="AH84" s="132"/>
      <c r="AI84" s="149" t="n">
        <f aca="false">MIN(race_platinum_bonus + IF(TblMagic[[#This Row],[Active Alch Frost]]&gt;0,alch_frost_bonus,IF(Magic!AD84&gt;0,midas_bonus)) + TblImps[[#This Row],[Science]] - TblProd[[#This Row],[Guard]]*(0.02 + tech_5_7*TblTech[[#This Row],[5-7]]) + tech_1_5*TblTech[[#This Row],[1-5]] + tech_4_4*TblTech[[#This Row],[4-4]], 0.5)</f>
        <v>0.1</v>
      </c>
      <c r="AJ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4" s="149" t="n">
        <f aca="false">race_lumber_bonus+ IF(TblMagic[[#This Row],[Active Gaia''s Blessing]]&gt;0,gaias_blessing_lumber)+ tech_1_3*TblTech[[#This Row],[1-3]] + tech_1_6*TblTech[[#This Row],[1-6]] + tech_3_3*TblTech[[#This Row],[3-3]]</f>
        <v>-0.1</v>
      </c>
      <c r="AL84" s="149" t="n">
        <f aca="false">race_mana_bonus+ 0 + TblImps[[#This Row],[Towers]] + tech_1_2*TblTech[[#This Row],[1-2]] + tech_3_4*TblTech[[#This Row],[3-4]]</f>
        <v>0</v>
      </c>
      <c r="AM84" s="149" t="n">
        <f aca="false">race_ore_bonus + IF(TblMagic[[#This Row],[Active Miner''s Sight]]&gt;0,miners_sight_bonus,IF(TblMagic[[#This Row],[Active Mining Strength]]&gt;0,mining_strength_bonus)) +  tech_1_6*TblTech[[#This Row],[1-6]]</f>
        <v>0</v>
      </c>
      <c r="AN84" s="149" t="n">
        <f aca="false">race_gem_bonus+ tech_3_2*TblTech[[#This Row],[3-2]] + tech_4_3*TblTech[[#This Row],[4-3]] + tech_6_2*TblTech[[#This Row],[6-2]]</f>
        <v>0.15</v>
      </c>
      <c r="AO84" s="132"/>
      <c r="AP84" s="69" t="n">
        <f aca="false">TblProd[[#This Row],[Food]]*food_decay * (1 + tech_2_1*TblTech[[#This Row],[2-1]] + tech_2_8*TblTech[[#This Row],[2-8]])</f>
        <v>4101.57</v>
      </c>
      <c r="AQ84" s="69" t="n">
        <f aca="false">(1+race_food_consumption)*TblPop[[#This Row],[Total]]*food_per_person*(1+tech_1_10*TblTech[[#This Row],[1-10]]+tech_7_5*TblTech[[#This Row],[7-5]])</f>
        <v>3234.75</v>
      </c>
      <c r="AR84" s="69" t="n">
        <f aca="false">TblProd[[#This Row],[Lumber]]*lumber_rot * (1 + tech_2_1*TblTech[[#This Row],[2-1]] + tech_2_8*TblTech[[#This Row],[2-8]] + tech_5_2*TblTech[[#This Row],[5-2]])</f>
        <v>221.05</v>
      </c>
      <c r="AS84" s="69" t="n">
        <f aca="false">TblProd[[#This Row],[Mana]]*mana_drain * (1 + tech_2_1*TblTech[[#This Row],[2-1]] + tech_2_8*TblTech[[#This Row],[2-8]])</f>
        <v>7220.34</v>
      </c>
      <c r="AT84" s="146"/>
      <c r="AU84" s="69" t="n">
        <f aca="false">TblExplore[[#This Row],[Platinum (2)]]+TblConstr[[#This Row],[Total Plat Cost]]+TblMili[[#This Row],[Plat Cost]]+TblRezone[[#This Row],[Platinum cost]]+TblImps[[#This Row],[P1]]-TblProd[[#This Row],[Bank Plat]]</f>
        <v>0</v>
      </c>
      <c r="AV84" s="69" t="n">
        <f aca="false">TblConstr[[#This Row],[Total Lum Cost]]+TblImps[[#This Row],[L1]]-TblProd[[#This Row],[Bank Lumber]] + Military!$CL$25*TblMili[[#This Row],[Sec. rec. Cost]]</f>
        <v>0</v>
      </c>
      <c r="AW84" s="69" t="n">
        <f aca="false">TblMagic[[#This Row],[Mana cost]] + Military!$CL$26*TblMili[[#This Row],[Sec. rec. Cost]]</f>
        <v>0</v>
      </c>
      <c r="AX84" s="69" t="n">
        <f aca="false">Military!$CL$24*TblMili[[#This Row],[Sec. rec. Cost]]+TblImps[[#This Row],[O1]]-TblProd[[#This Row],[Bank Ore]]</f>
        <v>0</v>
      </c>
      <c r="AY84" s="69" t="n">
        <f aca="false">TblImps[[#This Row],[G1]]-TblProd[[#This Row],[Bank Gems]]</f>
        <v>0</v>
      </c>
      <c r="AZ84" s="132"/>
      <c r="BA84" s="33" t="n">
        <f aca="false">IF(TblProd[[#This Row],[Set Guard]]&lt;&gt;"",TblProd[[#This Row],[Set Guard]],OFFSET(TblProd[[#This Row],[Guard]],-1,0))</f>
        <v>0</v>
      </c>
      <c r="BB84" s="145"/>
      <c r="BC84" s="151" t="n">
        <f aca="false">TblProd[[#This Row],[Hour]]</f>
        <v>9</v>
      </c>
      <c r="BD84" s="152" t="n">
        <f aca="false">-TblProd[[#This Row],[Bank Lumber]] / 2 + -TblProd[[#This Row],[Bank Gems]] * 2 + -TblProd[[#This Row],[Bank Ore]] / 2</f>
        <v>0</v>
      </c>
      <c r="BE84" s="152"/>
      <c r="BF84" s="152"/>
      <c r="BG84" s="152"/>
      <c r="BH84" s="153" t="n">
        <f aca="false">TblProd[[#This Row],[Time]]</f>
        <v>45433.0833333333</v>
      </c>
      <c r="BI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J84" s="69" t="n">
        <f aca="false">TblProd[[#This Row],[Platinum]]</f>
        <v>333041</v>
      </c>
      <c r="BK84" s="69" t="n">
        <f aca="false">TblProd[[#This Row],[Food]]</f>
        <v>410157</v>
      </c>
      <c r="BL84" s="69" t="n">
        <f aca="false">TblProd[[#This Row],[Lumber]]</f>
        <v>22105</v>
      </c>
      <c r="BM84" s="69" t="n">
        <f aca="false">TblProd[[#This Row],[Mana]]</f>
        <v>361017</v>
      </c>
      <c r="BN84" s="69" t="n">
        <f aca="false">TblProd[[#This Row],[Ore]]</f>
        <v>-357</v>
      </c>
    </row>
    <row r="85" customFormat="false" ht="12.75" hidden="false" customHeight="false" outlineLevel="0" collapsed="false">
      <c r="A85" s="128" t="n">
        <v>10</v>
      </c>
      <c r="B85" s="144" t="n">
        <f aca="false">TblImps[[#This Row],[Time]]</f>
        <v>45433.125</v>
      </c>
      <c r="C85" s="145"/>
      <c r="D85" s="146"/>
      <c r="E85" s="69" t="n">
        <f aca="false">TblConstr[[#This Row],[Land]]</f>
        <v>700</v>
      </c>
      <c r="F85" s="69" t="n">
        <f aca="false">TblPop[[#This Row],[Peasants]]</f>
        <v>9216</v>
      </c>
      <c r="G85" s="69"/>
      <c r="H85" s="69" t="e">
        <f aca="false">TblMili[[#This Row],[Networth (2)]]</f>
        <v>#VALUE!</v>
      </c>
      <c r="I85" s="69" t="n">
        <f aca="false">OFFSET(TblProd[[#This Row],[Platinum]],-1,0)+OFFSET(TblProd[[#This Row],[Plat/hr]],-1,0) - TblProd[[#This Row],[Expenses Platinum]] + IF(TblProd[[#This Row],[Plat Bonus]],TblPop[[#This Row],[Peasants]]*4) + SUM(TblConstr[[#This Row],[Dest Hom]:[Dest Doc]])*TblConstr[[#This Row],[CPA Platinum -DB]]*tech_3_3_2*TblTech[[#This Row],[3-3]]</f>
        <v>378233</v>
      </c>
      <c r="J85" s="69" t="n">
        <f aca="false">OFFSET(TblProd[[#This Row],[Food]],-1,0)+OFFSET(TblProd[[#This Row],[Food/hr]],-1,0)+ROUNDUP((TblConstr[[#This Row],[Farms]]*80+TblConstr[[#This Row],[Docks]]*35)*(1+OFFSET(TblProd[[#This Row],[Bonus Food/hr]],-1,0)),0)</f>
        <v>406183</v>
      </c>
      <c r="K85" s="69" t="n">
        <f aca="false">OFFSET(TblProd[[#This Row],[Lumber]],-1,0)+OFFSET(TblProd[[#This Row],[Lumber/hr]],-1,0) - TblProd[[#This Row],[Expenses Lumber]] + SUM(TblConstr[[#This Row],[Dest Hom]:[Dest Doc]])*TblConstr[[#This Row],[CPA Lumber -DB]]*tech_3_3_2*TblTech[[#This Row],[3-3]]</f>
        <v>23009</v>
      </c>
      <c r="L85" s="69" t="n">
        <f aca="false">OFFSET(TblProd[[#This Row],[Mana]],-1,0)+OFFSET(TblProd[[#This Row],[Mana/hr]],-1,0)- TblProd[[#This Row],[Expenses Mana]]</f>
        <v>354522</v>
      </c>
      <c r="M85" s="69" t="n">
        <f aca="false">OFFSET(TblProd[[#This Row],[Ore]],-1,0)+OFFSET(TblProd[[#This Row],[Ore/hr]],-1,0) -TblProd[[#This Row],[Expenses Ore]]</f>
        <v>-357</v>
      </c>
      <c r="N85" s="69" t="n">
        <f aca="false">OFFSET(TblProd[[#This Row],[Gems]],-1,0)+OFFSET(TblProd[[#This Row],[Gems/hr]],-1,0) - TblProd[[#This Row],[Expenses Gems]]</f>
        <v>-1000</v>
      </c>
      <c r="O85" s="69" t="n">
        <f aca="false">OFFSET(TblProd[[#This Row],[Boats]],-1,0)+OFFSET(TblProd[[#This Row],[Boats/hr]],-1,0)</f>
        <v>39.05</v>
      </c>
      <c r="P85" s="69" t="n">
        <f aca="false">OFFSET(TblProd[[#This Row],[Prestige]],-1,0)</f>
        <v>250</v>
      </c>
      <c r="Q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5" s="69" t="n">
        <f aca="false">MAX(3750,_xlfn.CEILING.MATH(TblProd[[#This Row],[Land]]*2.5+OFFSET(TblTech[[#This Row],[Sum of tech]],-1,0)*150))</f>
        <v>3750</v>
      </c>
      <c r="S85" s="132"/>
      <c r="T85" s="69" t="n">
        <f aca="false">ROUNDDOWN(TblProd[[#This Row],[Raw Plat/hr]]*(1+TblProd[[#This Row],[Bonus Plat/hr]]),0)</f>
        <v>44916</v>
      </c>
      <c r="U85" s="69" t="n">
        <f aca="false">ROUND(TblProd[[#This Row],[Raw Food/hr]]*(1+TblProd[[#This Row],[Bonus Food/hr]])-TblProd[[#This Row],[Food decay]]-TblProd[[#This Row],[Food eaten]],0)</f>
        <v>-3935</v>
      </c>
      <c r="V85" s="69" t="n">
        <f aca="false">ROUND(TblProd[[#This Row],[Raw Lumber/hr]]*(1+TblProd[[#This Row],[Bonus Lumber/hr]])-TblProd[[#This Row],[Lumber rot]],0)</f>
        <v>895</v>
      </c>
      <c r="W85" s="69" t="n">
        <f aca="false">ROUND(TblProd[[#This Row],[Raw Mana/hr]]*(1+TblProd[[#This Row],[Bonus Mana/hr]])-TblProd[[#This Row],[Mana drain]],0)</f>
        <v>-6365</v>
      </c>
      <c r="X85" s="69" t="n">
        <f aca="false">ROUNDDOWN(TblProd[[#This Row],[Raw Ore/hr]]*(1+TblProd[[#This Row],[Bonux Ore/hr]]),0)</f>
        <v>0</v>
      </c>
      <c r="Y85" s="69" t="n">
        <f aca="false">ROUNDDOWN(TblProd[[#This Row],[Raw Gems/hr]]*(1+TblProd[[#This Row],[Bonus Gems/hr]]),0)</f>
        <v>0</v>
      </c>
      <c r="Z85" s="148" t="n">
        <f aca="false">OFFSET(TblConstr[[#This Row],[Tot Doc]],1,0)*dock_boats_hr * (1 + tech_4_1*TblTech[[#This Row],[4-1]])</f>
        <v>1.2</v>
      </c>
      <c r="AA85" s="146"/>
      <c r="AB85" s="69" t="n">
        <f aca="false">TblPop[[#This Row],[Peasants]]*tax*TblPop[[#This Row],[Employment]] + (Construction!AZ86+Construction!BX86)*(alch_plat+(Magic!AM85&gt;0)*alchemist_flame_bonus)</f>
        <v>40833.2</v>
      </c>
      <c r="AC85" s="69" t="n">
        <f aca="false">TblConstr[[#This Row],[Tot Farm]]*farm_food + TblConstr[[#This Row],[Tot Doc]]*dock_food</f>
        <v>3280</v>
      </c>
      <c r="AD85" s="69" t="n">
        <f aca="false">TblConstr[[#This Row],[Tot Ly]]*ly_lumber + TblConstr[[#This Row],[Tot Hav]]*fh_lumber</f>
        <v>1250</v>
      </c>
      <c r="AE85" s="69" t="n">
        <f aca="false">OFFSET(TblConstr[[#This Row],[Tot Tow]],1,0)*(tower_mana + tech_4_5*TblTech[[#This Row],[4-5]]) + OFFSET(TblConstr[[#This Row],[Tot WG]],1,0)*wg_mana_prod</f>
        <v>725</v>
      </c>
      <c r="AF85" s="69" t="n">
        <f aca="false">OFFSET(TblConstr[[#This Row],[Tot OM]],1,0)*om_ore+IF(race="Dwarf",ROUNDDOWN(TblMili[[#This Row],[Unit 2]]*0.4,0),)</f>
        <v>0</v>
      </c>
      <c r="AG85" s="69" t="n">
        <f aca="false">OFFSET(TblConstr[[#This Row],[Tot DM]],1,0)*dm_gems</f>
        <v>0</v>
      </c>
      <c r="AH85" s="132"/>
      <c r="AI85" s="149" t="n">
        <f aca="false">MIN(race_platinum_bonus + IF(TblMagic[[#This Row],[Active Alch Frost]]&gt;0,alch_frost_bonus,IF(Magic!AD85&gt;0,midas_bonus)) + TblImps[[#This Row],[Science]] - TblProd[[#This Row],[Guard]]*(0.02 + tech_5_7*TblTech[[#This Row],[5-7]]) + tech_1_5*TblTech[[#This Row],[1-5]] + tech_4_4*TblTech[[#This Row],[4-4]], 0.5)</f>
        <v>0.1</v>
      </c>
      <c r="AJ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5" s="149" t="n">
        <f aca="false">race_lumber_bonus+ IF(TblMagic[[#This Row],[Active Gaia''s Blessing]]&gt;0,gaias_blessing_lumber)+ tech_1_3*TblTech[[#This Row],[1-3]] + tech_1_6*TblTech[[#This Row],[1-6]] + tech_3_3*TblTech[[#This Row],[3-3]]</f>
        <v>-0.1</v>
      </c>
      <c r="AL85" s="149" t="n">
        <f aca="false">race_mana_bonus+ 0 + TblImps[[#This Row],[Towers]] + tech_1_2*TblTech[[#This Row],[1-2]] + tech_3_4*TblTech[[#This Row],[3-4]]</f>
        <v>0</v>
      </c>
      <c r="AM85" s="149" t="n">
        <f aca="false">race_ore_bonus + IF(TblMagic[[#This Row],[Active Miner''s Sight]]&gt;0,miners_sight_bonus,IF(TblMagic[[#This Row],[Active Mining Strength]]&gt;0,mining_strength_bonus)) +  tech_1_6*TblTech[[#This Row],[1-6]]</f>
        <v>0</v>
      </c>
      <c r="AN85" s="149" t="n">
        <f aca="false">race_gem_bonus+ tech_3_2*TblTech[[#This Row],[3-2]] + tech_4_3*TblTech[[#This Row],[4-3]] + tech_6_2*TblTech[[#This Row],[6-2]]</f>
        <v>0.15</v>
      </c>
      <c r="AO85" s="132"/>
      <c r="AP85" s="69" t="n">
        <f aca="false">TblProd[[#This Row],[Food]]*food_decay * (1 + tech_2_1*TblTech[[#This Row],[2-1]] + tech_2_8*TblTech[[#This Row],[2-8]])</f>
        <v>4061.83</v>
      </c>
      <c r="AQ85" s="69" t="n">
        <f aca="false">(1+race_food_consumption)*TblPop[[#This Row],[Total]]*food_per_person*(1+tech_1_10*TblTech[[#This Row],[1-10]]+tech_7_5*TblTech[[#This Row],[7-5]])</f>
        <v>3234.75</v>
      </c>
      <c r="AR85" s="69" t="n">
        <f aca="false">TblProd[[#This Row],[Lumber]]*lumber_rot * (1 + tech_2_1*TblTech[[#This Row],[2-1]] + tech_2_8*TblTech[[#This Row],[2-8]] + tech_5_2*TblTech[[#This Row],[5-2]])</f>
        <v>230.09</v>
      </c>
      <c r="AS85" s="69" t="n">
        <f aca="false">TblProd[[#This Row],[Mana]]*mana_drain * (1 + tech_2_1*TblTech[[#This Row],[2-1]] + tech_2_8*TblTech[[#This Row],[2-8]])</f>
        <v>7090.44</v>
      </c>
      <c r="AT85" s="146"/>
      <c r="AU85" s="69" t="n">
        <f aca="false">TblExplore[[#This Row],[Platinum (2)]]+TblConstr[[#This Row],[Total Plat Cost]]+TblMili[[#This Row],[Plat Cost]]+TblRezone[[#This Row],[Platinum cost]]+TblImps[[#This Row],[P1]]-TblProd[[#This Row],[Bank Plat]]</f>
        <v>0</v>
      </c>
      <c r="AV85" s="69" t="n">
        <f aca="false">TblConstr[[#This Row],[Total Lum Cost]]+TblImps[[#This Row],[L1]]-TblProd[[#This Row],[Bank Lumber]] + Military!$CL$25*TblMili[[#This Row],[Sec. rec. Cost]]</f>
        <v>0</v>
      </c>
      <c r="AW85" s="69" t="n">
        <f aca="false">TblMagic[[#This Row],[Mana cost]] + Military!$CL$26*TblMili[[#This Row],[Sec. rec. Cost]]</f>
        <v>0</v>
      </c>
      <c r="AX85" s="69" t="n">
        <f aca="false">Military!$CL$24*TblMili[[#This Row],[Sec. rec. Cost]]+TblImps[[#This Row],[O1]]-TblProd[[#This Row],[Bank Ore]]</f>
        <v>0</v>
      </c>
      <c r="AY85" s="69" t="n">
        <f aca="false">TblImps[[#This Row],[G1]]-TblProd[[#This Row],[Bank Gems]]</f>
        <v>0</v>
      </c>
      <c r="AZ85" s="132"/>
      <c r="BA85" s="33" t="n">
        <f aca="false">IF(TblProd[[#This Row],[Set Guard]]&lt;&gt;"",TblProd[[#This Row],[Set Guard]],OFFSET(TblProd[[#This Row],[Guard]],-1,0))</f>
        <v>0</v>
      </c>
      <c r="BB85" s="145"/>
      <c r="BC85" s="151" t="n">
        <f aca="false">TblProd[[#This Row],[Hour]]</f>
        <v>10</v>
      </c>
      <c r="BD85" s="152" t="n">
        <f aca="false">-TblProd[[#This Row],[Bank Lumber]] / 2 + -TblProd[[#This Row],[Bank Gems]] * 2 + -TblProd[[#This Row],[Bank Ore]] / 2</f>
        <v>0</v>
      </c>
      <c r="BE85" s="152"/>
      <c r="BF85" s="152"/>
      <c r="BG85" s="152"/>
      <c r="BH85" s="153" t="n">
        <f aca="false">TblProd[[#This Row],[Time]]</f>
        <v>45433.125</v>
      </c>
      <c r="BI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J85" s="69" t="n">
        <f aca="false">TblProd[[#This Row],[Platinum]]</f>
        <v>378233</v>
      </c>
      <c r="BK85" s="69" t="n">
        <f aca="false">TblProd[[#This Row],[Food]]</f>
        <v>406183</v>
      </c>
      <c r="BL85" s="69" t="n">
        <f aca="false">TblProd[[#This Row],[Lumber]]</f>
        <v>23009</v>
      </c>
      <c r="BM85" s="69" t="n">
        <f aca="false">TblProd[[#This Row],[Mana]]</f>
        <v>354522</v>
      </c>
      <c r="BN85" s="69" t="n">
        <f aca="false">TblProd[[#This Row],[Ore]]</f>
        <v>-357</v>
      </c>
    </row>
    <row r="86" customFormat="false" ht="12.75" hidden="false" customHeight="false" outlineLevel="0" collapsed="false">
      <c r="A86" s="128" t="n">
        <v>11</v>
      </c>
      <c r="B86" s="144" t="n">
        <f aca="false">TblImps[[#This Row],[Time]]</f>
        <v>45433.1666666667</v>
      </c>
      <c r="C86" s="145"/>
      <c r="D86" s="146"/>
      <c r="E86" s="69" t="n">
        <f aca="false">TblConstr[[#This Row],[Land]]</f>
        <v>700</v>
      </c>
      <c r="F86" s="69" t="n">
        <f aca="false">TblPop[[#This Row],[Peasants]]</f>
        <v>9124</v>
      </c>
      <c r="G86" s="69"/>
      <c r="H86" s="69" t="e">
        <f aca="false">TblMili[[#This Row],[Networth (2)]]</f>
        <v>#VALUE!</v>
      </c>
      <c r="I86" s="69" t="n">
        <f aca="false">OFFSET(TblProd[[#This Row],[Platinum]],-1,0)+OFFSET(TblProd[[#This Row],[Plat/hr]],-1,0) - TblProd[[#This Row],[Expenses Platinum]] + IF(TblProd[[#This Row],[Plat Bonus]],TblPop[[#This Row],[Peasants]]*4) + SUM(TblConstr[[#This Row],[Dest Hom]:[Dest Doc]])*TblConstr[[#This Row],[CPA Platinum -DB]]*tech_3_3_2*TblTech[[#This Row],[3-3]]</f>
        <v>423149</v>
      </c>
      <c r="J86" s="69" t="n">
        <f aca="false">OFFSET(TblProd[[#This Row],[Food]],-1,0)+OFFSET(TblProd[[#This Row],[Food/hr]],-1,0)+ROUNDUP((TblConstr[[#This Row],[Farms]]*80+TblConstr[[#This Row],[Docks]]*35)*(1+OFFSET(TblProd[[#This Row],[Bonus Food/hr]],-1,0)),0)</f>
        <v>402248</v>
      </c>
      <c r="K86" s="69" t="n">
        <f aca="false">OFFSET(TblProd[[#This Row],[Lumber]],-1,0)+OFFSET(TblProd[[#This Row],[Lumber/hr]],-1,0) - TblProd[[#This Row],[Expenses Lumber]] + SUM(TblConstr[[#This Row],[Dest Hom]:[Dest Doc]])*TblConstr[[#This Row],[CPA Lumber -DB]]*tech_3_3_2*TblTech[[#This Row],[3-3]]</f>
        <v>23904</v>
      </c>
      <c r="L86" s="69" t="n">
        <f aca="false">OFFSET(TblProd[[#This Row],[Mana]],-1,0)+OFFSET(TblProd[[#This Row],[Mana/hr]],-1,0)- TblProd[[#This Row],[Expenses Mana]]</f>
        <v>348157</v>
      </c>
      <c r="M86" s="69" t="n">
        <f aca="false">OFFSET(TblProd[[#This Row],[Ore]],-1,0)+OFFSET(TblProd[[#This Row],[Ore/hr]],-1,0) -TblProd[[#This Row],[Expenses Ore]]</f>
        <v>-357</v>
      </c>
      <c r="N86" s="69" t="n">
        <f aca="false">OFFSET(TblProd[[#This Row],[Gems]],-1,0)+OFFSET(TblProd[[#This Row],[Gems/hr]],-1,0) - TblProd[[#This Row],[Expenses Gems]]</f>
        <v>-1000</v>
      </c>
      <c r="O86" s="69" t="n">
        <f aca="false">OFFSET(TblProd[[#This Row],[Boats]],-1,0)+OFFSET(TblProd[[#This Row],[Boats/hr]],-1,0)</f>
        <v>40.25</v>
      </c>
      <c r="P86" s="69" t="n">
        <f aca="false">OFFSET(TblProd[[#This Row],[Prestige]],-1,0)</f>
        <v>250</v>
      </c>
      <c r="Q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6" s="69" t="n">
        <f aca="false">MAX(3750,_xlfn.CEILING.MATH(TblProd[[#This Row],[Land]]*2.5+OFFSET(TblTech[[#This Row],[Sum of tech]],-1,0)*150))</f>
        <v>3750</v>
      </c>
      <c r="S86" s="132"/>
      <c r="T86" s="69" t="n">
        <f aca="false">ROUNDDOWN(TblProd[[#This Row],[Raw Plat/hr]]*(1+TblProd[[#This Row],[Bonus Plat/hr]]),0)</f>
        <v>44643</v>
      </c>
      <c r="U86" s="69" t="n">
        <f aca="false">ROUND(TblProd[[#This Row],[Raw Food/hr]]*(1+TblProd[[#This Row],[Bonus Food/hr]])-TblProd[[#This Row],[Food decay]]-TblProd[[#This Row],[Food eaten]],0)</f>
        <v>-3895</v>
      </c>
      <c r="V86" s="69" t="n">
        <f aca="false">ROUND(TblProd[[#This Row],[Raw Lumber/hr]]*(1+TblProd[[#This Row],[Bonus Lumber/hr]])-TblProd[[#This Row],[Lumber rot]],0)</f>
        <v>886</v>
      </c>
      <c r="W86" s="69" t="n">
        <f aca="false">ROUND(TblProd[[#This Row],[Raw Mana/hr]]*(1+TblProd[[#This Row],[Bonus Mana/hr]])-TblProd[[#This Row],[Mana drain]],0)</f>
        <v>-6238</v>
      </c>
      <c r="X86" s="69" t="n">
        <f aca="false">ROUNDDOWN(TblProd[[#This Row],[Raw Ore/hr]]*(1+TblProd[[#This Row],[Bonux Ore/hr]]),0)</f>
        <v>0</v>
      </c>
      <c r="Y86" s="69" t="n">
        <f aca="false">ROUNDDOWN(TblProd[[#This Row],[Raw Gems/hr]]*(1+TblProd[[#This Row],[Bonus Gems/hr]]),0)</f>
        <v>0</v>
      </c>
      <c r="Z86" s="148" t="n">
        <f aca="false">OFFSET(TblConstr[[#This Row],[Tot Doc]],1,0)*dock_boats_hr * (1 + tech_4_1*TblTech[[#This Row],[4-1]])</f>
        <v>1.2</v>
      </c>
      <c r="AA86" s="146"/>
      <c r="AB86" s="69" t="n">
        <f aca="false">TblPop[[#This Row],[Peasants]]*tax*TblPop[[#This Row],[Employment]] + (Construction!AZ87+Construction!BX87)*(alch_plat+(Magic!AM86&gt;0)*alchemist_flame_bonus)</f>
        <v>40584.8</v>
      </c>
      <c r="AC86" s="69" t="n">
        <f aca="false">TblConstr[[#This Row],[Tot Farm]]*farm_food + TblConstr[[#This Row],[Tot Doc]]*dock_food</f>
        <v>3280</v>
      </c>
      <c r="AD86" s="69" t="n">
        <f aca="false">TblConstr[[#This Row],[Tot Ly]]*ly_lumber + TblConstr[[#This Row],[Tot Hav]]*fh_lumber</f>
        <v>1250</v>
      </c>
      <c r="AE86" s="69" t="n">
        <f aca="false">OFFSET(TblConstr[[#This Row],[Tot Tow]],1,0)*(tower_mana + tech_4_5*TblTech[[#This Row],[4-5]]) + OFFSET(TblConstr[[#This Row],[Tot WG]],1,0)*wg_mana_prod</f>
        <v>725</v>
      </c>
      <c r="AF86" s="69" t="n">
        <f aca="false">OFFSET(TblConstr[[#This Row],[Tot OM]],1,0)*om_ore+IF(race="Dwarf",ROUNDDOWN(TblMili[[#This Row],[Unit 2]]*0.4,0),)</f>
        <v>0</v>
      </c>
      <c r="AG86" s="69" t="n">
        <f aca="false">OFFSET(TblConstr[[#This Row],[Tot DM]],1,0)*dm_gems</f>
        <v>0</v>
      </c>
      <c r="AH86" s="132"/>
      <c r="AI86" s="149" t="n">
        <f aca="false">MIN(race_platinum_bonus + IF(TblMagic[[#This Row],[Active Alch Frost]]&gt;0,alch_frost_bonus,IF(Magic!AD86&gt;0,midas_bonus)) + TblImps[[#This Row],[Science]] - TblProd[[#This Row],[Guard]]*(0.02 + tech_5_7*TblTech[[#This Row],[5-7]]) + tech_1_5*TblTech[[#This Row],[1-5]] + tech_4_4*TblTech[[#This Row],[4-4]], 0.5)</f>
        <v>0.1</v>
      </c>
      <c r="AJ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6" s="149" t="n">
        <f aca="false">race_lumber_bonus+ IF(TblMagic[[#This Row],[Active Gaia''s Blessing]]&gt;0,gaias_blessing_lumber)+ tech_1_3*TblTech[[#This Row],[1-3]] + tech_1_6*TblTech[[#This Row],[1-6]] + tech_3_3*TblTech[[#This Row],[3-3]]</f>
        <v>-0.1</v>
      </c>
      <c r="AL86" s="149" t="n">
        <f aca="false">race_mana_bonus+ 0 + TblImps[[#This Row],[Towers]] + tech_1_2*TblTech[[#This Row],[1-2]] + tech_3_4*TblTech[[#This Row],[3-4]]</f>
        <v>0</v>
      </c>
      <c r="AM86" s="149" t="n">
        <f aca="false">race_ore_bonus + IF(TblMagic[[#This Row],[Active Miner''s Sight]]&gt;0,miners_sight_bonus,IF(TblMagic[[#This Row],[Active Mining Strength]]&gt;0,mining_strength_bonus)) +  tech_1_6*TblTech[[#This Row],[1-6]]</f>
        <v>0</v>
      </c>
      <c r="AN86" s="149" t="n">
        <f aca="false">race_gem_bonus+ tech_3_2*TblTech[[#This Row],[3-2]] + tech_4_3*TblTech[[#This Row],[4-3]] + tech_6_2*TblTech[[#This Row],[6-2]]</f>
        <v>0.15</v>
      </c>
      <c r="AO86" s="132"/>
      <c r="AP86" s="69" t="n">
        <f aca="false">TblProd[[#This Row],[Food]]*food_decay * (1 + tech_2_1*TblTech[[#This Row],[2-1]] + tech_2_8*TblTech[[#This Row],[2-8]])</f>
        <v>4022.48</v>
      </c>
      <c r="AQ86" s="69" t="n">
        <f aca="false">(1+race_food_consumption)*TblPop[[#This Row],[Total]]*food_per_person*(1+tech_1_10*TblTech[[#This Row],[1-10]]+tech_7_5*TblTech[[#This Row],[7-5]])</f>
        <v>3234.75</v>
      </c>
      <c r="AR86" s="69" t="n">
        <f aca="false">TblProd[[#This Row],[Lumber]]*lumber_rot * (1 + tech_2_1*TblTech[[#This Row],[2-1]] + tech_2_8*TblTech[[#This Row],[2-8]] + tech_5_2*TblTech[[#This Row],[5-2]])</f>
        <v>239.04</v>
      </c>
      <c r="AS86" s="69" t="n">
        <f aca="false">TblProd[[#This Row],[Mana]]*mana_drain * (1 + tech_2_1*TblTech[[#This Row],[2-1]] + tech_2_8*TblTech[[#This Row],[2-8]])</f>
        <v>6963.14</v>
      </c>
      <c r="AT86" s="146"/>
      <c r="AU86" s="69" t="n">
        <f aca="false">TblExplore[[#This Row],[Platinum (2)]]+TblConstr[[#This Row],[Total Plat Cost]]+TblMili[[#This Row],[Plat Cost]]+TblRezone[[#This Row],[Platinum cost]]+TblImps[[#This Row],[P1]]-TblProd[[#This Row],[Bank Plat]]</f>
        <v>0</v>
      </c>
      <c r="AV86" s="69" t="n">
        <f aca="false">TblConstr[[#This Row],[Total Lum Cost]]+TblImps[[#This Row],[L1]]-TblProd[[#This Row],[Bank Lumber]] + Military!$CL$25*TblMili[[#This Row],[Sec. rec. Cost]]</f>
        <v>0</v>
      </c>
      <c r="AW86" s="69" t="n">
        <f aca="false">TblMagic[[#This Row],[Mana cost]] + Military!$CL$26*TblMili[[#This Row],[Sec. rec. Cost]]</f>
        <v>0</v>
      </c>
      <c r="AX86" s="69" t="n">
        <f aca="false">Military!$CL$24*TblMili[[#This Row],[Sec. rec. Cost]]+TblImps[[#This Row],[O1]]-TblProd[[#This Row],[Bank Ore]]</f>
        <v>0</v>
      </c>
      <c r="AY86" s="69" t="n">
        <f aca="false">TblImps[[#This Row],[G1]]-TblProd[[#This Row],[Bank Gems]]</f>
        <v>0</v>
      </c>
      <c r="AZ86" s="132"/>
      <c r="BA86" s="33" t="n">
        <f aca="false">IF(TblProd[[#This Row],[Set Guard]]&lt;&gt;"",TblProd[[#This Row],[Set Guard]],OFFSET(TblProd[[#This Row],[Guard]],-1,0))</f>
        <v>0</v>
      </c>
      <c r="BB86" s="145"/>
      <c r="BC86" s="151" t="n">
        <f aca="false">TblProd[[#This Row],[Hour]]</f>
        <v>11</v>
      </c>
      <c r="BD86" s="152" t="n">
        <f aca="false">-TblProd[[#This Row],[Bank Lumber]] / 2 + -TblProd[[#This Row],[Bank Gems]] * 2 + -TblProd[[#This Row],[Bank Ore]] / 2</f>
        <v>0</v>
      </c>
      <c r="BE86" s="152"/>
      <c r="BF86" s="152"/>
      <c r="BG86" s="152"/>
      <c r="BH86" s="153" t="n">
        <f aca="false">TblProd[[#This Row],[Time]]</f>
        <v>45433.1666666667</v>
      </c>
      <c r="BI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J86" s="69" t="n">
        <f aca="false">TblProd[[#This Row],[Platinum]]</f>
        <v>423149</v>
      </c>
      <c r="BK86" s="69" t="n">
        <f aca="false">TblProd[[#This Row],[Food]]</f>
        <v>402248</v>
      </c>
      <c r="BL86" s="69" t="n">
        <f aca="false">TblProd[[#This Row],[Lumber]]</f>
        <v>23904</v>
      </c>
      <c r="BM86" s="69" t="n">
        <f aca="false">TblProd[[#This Row],[Mana]]</f>
        <v>348157</v>
      </c>
      <c r="BN86" s="69" t="n">
        <f aca="false">TblProd[[#This Row],[Ore]]</f>
        <v>-357</v>
      </c>
    </row>
    <row r="87" customFormat="false" ht="12.75" hidden="false" customHeight="false" outlineLevel="0" collapsed="false">
      <c r="A87" s="128" t="n">
        <v>12</v>
      </c>
      <c r="B87" s="144" t="n">
        <f aca="false">TblImps[[#This Row],[Time]]</f>
        <v>45433.2083333333</v>
      </c>
      <c r="C87" s="145"/>
      <c r="D87" s="146"/>
      <c r="E87" s="69" t="n">
        <f aca="false">TblConstr[[#This Row],[Land]]</f>
        <v>700</v>
      </c>
      <c r="F87" s="69" t="n">
        <f aca="false">TblPop[[#This Row],[Peasants]]</f>
        <v>9033</v>
      </c>
      <c r="G87" s="69"/>
      <c r="H87" s="69" t="e">
        <f aca="false">TblMili[[#This Row],[Networth (2)]]</f>
        <v>#VALUE!</v>
      </c>
      <c r="I87" s="69" t="n">
        <f aca="false">OFFSET(TblProd[[#This Row],[Platinum]],-1,0)+OFFSET(TblProd[[#This Row],[Plat/hr]],-1,0) - TblProd[[#This Row],[Expenses Platinum]] + IF(TblProd[[#This Row],[Plat Bonus]],TblPop[[#This Row],[Peasants]]*4) + SUM(TblConstr[[#This Row],[Dest Hom]:[Dest Doc]])*TblConstr[[#This Row],[CPA Platinum -DB]]*tech_3_3_2*TblTech[[#This Row],[3-3]]</f>
        <v>467792</v>
      </c>
      <c r="J87" s="69" t="n">
        <f aca="false">OFFSET(TblProd[[#This Row],[Food]],-1,0)+OFFSET(TblProd[[#This Row],[Food/hr]],-1,0)+ROUNDUP((TblConstr[[#This Row],[Farms]]*80+TblConstr[[#This Row],[Docks]]*35)*(1+OFFSET(TblProd[[#This Row],[Bonus Food/hr]],-1,0)),0)</f>
        <v>398353</v>
      </c>
      <c r="K87" s="69" t="n">
        <f aca="false">OFFSET(TblProd[[#This Row],[Lumber]],-1,0)+OFFSET(TblProd[[#This Row],[Lumber/hr]],-1,0) - TblProd[[#This Row],[Expenses Lumber]] + SUM(TblConstr[[#This Row],[Dest Hom]:[Dest Doc]])*TblConstr[[#This Row],[CPA Lumber -DB]]*tech_3_3_2*TblTech[[#This Row],[3-3]]</f>
        <v>24790</v>
      </c>
      <c r="L87" s="69" t="n">
        <f aca="false">OFFSET(TblProd[[#This Row],[Mana]],-1,0)+OFFSET(TblProd[[#This Row],[Mana/hr]],-1,0)- TblProd[[#This Row],[Expenses Mana]]</f>
        <v>341919</v>
      </c>
      <c r="M87" s="69" t="n">
        <f aca="false">OFFSET(TblProd[[#This Row],[Ore]],-1,0)+OFFSET(TblProd[[#This Row],[Ore/hr]],-1,0) -TblProd[[#This Row],[Expenses Ore]]</f>
        <v>-357</v>
      </c>
      <c r="N87" s="69" t="n">
        <f aca="false">OFFSET(TblProd[[#This Row],[Gems]],-1,0)+OFFSET(TblProd[[#This Row],[Gems/hr]],-1,0) - TblProd[[#This Row],[Expenses Gems]]</f>
        <v>-1000</v>
      </c>
      <c r="O87" s="69" t="n">
        <f aca="false">OFFSET(TblProd[[#This Row],[Boats]],-1,0)+OFFSET(TblProd[[#This Row],[Boats/hr]],-1,0)</f>
        <v>41.45</v>
      </c>
      <c r="P87" s="69" t="n">
        <f aca="false">OFFSET(TblProd[[#This Row],[Prestige]],-1,0)</f>
        <v>250</v>
      </c>
      <c r="Q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7" s="69" t="n">
        <f aca="false">MAX(3750,_xlfn.CEILING.MATH(TblProd[[#This Row],[Land]]*2.5+OFFSET(TblTech[[#This Row],[Sum of tech]],-1,0)*150))</f>
        <v>3750</v>
      </c>
      <c r="S87" s="132"/>
      <c r="T87" s="69" t="n">
        <f aca="false">ROUNDDOWN(TblProd[[#This Row],[Raw Plat/hr]]*(1+TblProd[[#This Row],[Bonus Plat/hr]]),0)</f>
        <v>44373</v>
      </c>
      <c r="U87" s="69" t="n">
        <f aca="false">ROUND(TblProd[[#This Row],[Raw Food/hr]]*(1+TblProd[[#This Row],[Bonus Food/hr]])-TblProd[[#This Row],[Food decay]]-TblProd[[#This Row],[Food eaten]],0)</f>
        <v>-3856</v>
      </c>
      <c r="V87" s="69" t="n">
        <f aca="false">ROUND(TblProd[[#This Row],[Raw Lumber/hr]]*(1+TblProd[[#This Row],[Bonus Lumber/hr]])-TblProd[[#This Row],[Lumber rot]],0)</f>
        <v>877</v>
      </c>
      <c r="W87" s="69" t="n">
        <f aca="false">ROUND(TblProd[[#This Row],[Raw Mana/hr]]*(1+TblProd[[#This Row],[Bonus Mana/hr]])-TblProd[[#This Row],[Mana drain]],0)</f>
        <v>-6113</v>
      </c>
      <c r="X87" s="69" t="n">
        <f aca="false">ROUNDDOWN(TblProd[[#This Row],[Raw Ore/hr]]*(1+TblProd[[#This Row],[Bonux Ore/hr]]),0)</f>
        <v>0</v>
      </c>
      <c r="Y87" s="69" t="n">
        <f aca="false">ROUNDDOWN(TblProd[[#This Row],[Raw Gems/hr]]*(1+TblProd[[#This Row],[Bonus Gems/hr]]),0)</f>
        <v>0</v>
      </c>
      <c r="Z87" s="148" t="n">
        <f aca="false">OFFSET(TblConstr[[#This Row],[Tot Doc]],1,0)*dock_boats_hr * (1 + tech_4_1*TblTech[[#This Row],[4-1]])</f>
        <v>1.2</v>
      </c>
      <c r="AA87" s="146"/>
      <c r="AB87" s="69" t="n">
        <f aca="false">TblPop[[#This Row],[Peasants]]*tax*TblPop[[#This Row],[Employment]] + (Construction!AZ88+Construction!BX88)*(alch_plat+(Magic!AM87&gt;0)*alchemist_flame_bonus)</f>
        <v>40339.1</v>
      </c>
      <c r="AC87" s="69" t="n">
        <f aca="false">TblConstr[[#This Row],[Tot Farm]]*farm_food + TblConstr[[#This Row],[Tot Doc]]*dock_food</f>
        <v>3280</v>
      </c>
      <c r="AD87" s="69" t="n">
        <f aca="false">TblConstr[[#This Row],[Tot Ly]]*ly_lumber + TblConstr[[#This Row],[Tot Hav]]*fh_lumber</f>
        <v>1250</v>
      </c>
      <c r="AE87" s="69" t="n">
        <f aca="false">OFFSET(TblConstr[[#This Row],[Tot Tow]],1,0)*(tower_mana + tech_4_5*TblTech[[#This Row],[4-5]]) + OFFSET(TblConstr[[#This Row],[Tot WG]],1,0)*wg_mana_prod</f>
        <v>725</v>
      </c>
      <c r="AF87" s="69" t="n">
        <f aca="false">OFFSET(TblConstr[[#This Row],[Tot OM]],1,0)*om_ore+IF(race="Dwarf",ROUNDDOWN(TblMili[[#This Row],[Unit 2]]*0.4,0),)</f>
        <v>0</v>
      </c>
      <c r="AG87" s="69" t="n">
        <f aca="false">OFFSET(TblConstr[[#This Row],[Tot DM]],1,0)*dm_gems</f>
        <v>0</v>
      </c>
      <c r="AH87" s="132"/>
      <c r="AI87" s="149" t="n">
        <f aca="false">MIN(race_platinum_bonus + IF(TblMagic[[#This Row],[Active Alch Frost]]&gt;0,alch_frost_bonus,IF(Magic!AD87&gt;0,midas_bonus)) + TblImps[[#This Row],[Science]] - TblProd[[#This Row],[Guard]]*(0.02 + tech_5_7*TblTech[[#This Row],[5-7]]) + tech_1_5*TblTech[[#This Row],[1-5]] + tech_4_4*TblTech[[#This Row],[4-4]], 0.5)</f>
        <v>0.1</v>
      </c>
      <c r="AJ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7" s="149" t="n">
        <f aca="false">race_lumber_bonus+ IF(TblMagic[[#This Row],[Active Gaia''s Blessing]]&gt;0,gaias_blessing_lumber)+ tech_1_3*TblTech[[#This Row],[1-3]] + tech_1_6*TblTech[[#This Row],[1-6]] + tech_3_3*TblTech[[#This Row],[3-3]]</f>
        <v>-0.1</v>
      </c>
      <c r="AL87" s="149" t="n">
        <f aca="false">race_mana_bonus+ 0 + TblImps[[#This Row],[Towers]] + tech_1_2*TblTech[[#This Row],[1-2]] + tech_3_4*TblTech[[#This Row],[3-4]]</f>
        <v>0</v>
      </c>
      <c r="AM87" s="149" t="n">
        <f aca="false">race_ore_bonus + IF(TblMagic[[#This Row],[Active Miner''s Sight]]&gt;0,miners_sight_bonus,IF(TblMagic[[#This Row],[Active Mining Strength]]&gt;0,mining_strength_bonus)) +  tech_1_6*TblTech[[#This Row],[1-6]]</f>
        <v>0</v>
      </c>
      <c r="AN87" s="149" t="n">
        <f aca="false">race_gem_bonus+ tech_3_2*TblTech[[#This Row],[3-2]] + tech_4_3*TblTech[[#This Row],[4-3]] + tech_6_2*TblTech[[#This Row],[6-2]]</f>
        <v>0.15</v>
      </c>
      <c r="AO87" s="132"/>
      <c r="AP87" s="69" t="n">
        <f aca="false">TblProd[[#This Row],[Food]]*food_decay * (1 + tech_2_1*TblTech[[#This Row],[2-1]] + tech_2_8*TblTech[[#This Row],[2-8]])</f>
        <v>3983.53</v>
      </c>
      <c r="AQ87" s="69" t="n">
        <f aca="false">(1+race_food_consumption)*TblPop[[#This Row],[Total]]*food_per_person*(1+tech_1_10*TblTech[[#This Row],[1-10]]+tech_7_5*TblTech[[#This Row],[7-5]])</f>
        <v>3234.75</v>
      </c>
      <c r="AR87" s="69" t="n">
        <f aca="false">TblProd[[#This Row],[Lumber]]*lumber_rot * (1 + tech_2_1*TblTech[[#This Row],[2-1]] + tech_2_8*TblTech[[#This Row],[2-8]] + tech_5_2*TblTech[[#This Row],[5-2]])</f>
        <v>247.9</v>
      </c>
      <c r="AS87" s="69" t="n">
        <f aca="false">TblProd[[#This Row],[Mana]]*mana_drain * (1 + tech_2_1*TblTech[[#This Row],[2-1]] + tech_2_8*TblTech[[#This Row],[2-8]])</f>
        <v>6838.38</v>
      </c>
      <c r="AT87" s="146"/>
      <c r="AU87" s="69" t="n">
        <f aca="false">TblExplore[[#This Row],[Platinum (2)]]+TblConstr[[#This Row],[Total Plat Cost]]+TblMili[[#This Row],[Plat Cost]]+TblRezone[[#This Row],[Platinum cost]]+TblImps[[#This Row],[P1]]-TblProd[[#This Row],[Bank Plat]]</f>
        <v>0</v>
      </c>
      <c r="AV87" s="69" t="n">
        <f aca="false">TblConstr[[#This Row],[Total Lum Cost]]+TblImps[[#This Row],[L1]]-TblProd[[#This Row],[Bank Lumber]] + Military!$CL$25*TblMili[[#This Row],[Sec. rec. Cost]]</f>
        <v>0</v>
      </c>
      <c r="AW87" s="69" t="n">
        <f aca="false">TblMagic[[#This Row],[Mana cost]] + Military!$CL$26*TblMili[[#This Row],[Sec. rec. Cost]]</f>
        <v>0</v>
      </c>
      <c r="AX87" s="69" t="n">
        <f aca="false">Military!$CL$24*TblMili[[#This Row],[Sec. rec. Cost]]+TblImps[[#This Row],[O1]]-TblProd[[#This Row],[Bank Ore]]</f>
        <v>0</v>
      </c>
      <c r="AY87" s="69" t="n">
        <f aca="false">TblImps[[#This Row],[G1]]-TblProd[[#This Row],[Bank Gems]]</f>
        <v>0</v>
      </c>
      <c r="AZ87" s="132"/>
      <c r="BA87" s="33" t="n">
        <f aca="false">IF(TblProd[[#This Row],[Set Guard]]&lt;&gt;"",TblProd[[#This Row],[Set Guard]],OFFSET(TblProd[[#This Row],[Guard]],-1,0))</f>
        <v>0</v>
      </c>
      <c r="BB87" s="145"/>
      <c r="BC87" s="151" t="n">
        <f aca="false">TblProd[[#This Row],[Hour]]</f>
        <v>12</v>
      </c>
      <c r="BD87" s="152" t="n">
        <f aca="false">-TblProd[[#This Row],[Bank Lumber]] / 2 + -TblProd[[#This Row],[Bank Gems]] * 2 + -TblProd[[#This Row],[Bank Ore]] / 2</f>
        <v>0</v>
      </c>
      <c r="BE87" s="152"/>
      <c r="BF87" s="152"/>
      <c r="BG87" s="152"/>
      <c r="BH87" s="153" t="n">
        <f aca="false">TblProd[[#This Row],[Time]]</f>
        <v>45433.2083333333</v>
      </c>
      <c r="BI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J87" s="69" t="n">
        <f aca="false">TblProd[[#This Row],[Platinum]]</f>
        <v>467792</v>
      </c>
      <c r="BK87" s="69" t="n">
        <f aca="false">TblProd[[#This Row],[Food]]</f>
        <v>398353</v>
      </c>
      <c r="BL87" s="69" t="n">
        <f aca="false">TblProd[[#This Row],[Lumber]]</f>
        <v>24790</v>
      </c>
      <c r="BM87" s="69" t="n">
        <f aca="false">TblProd[[#This Row],[Mana]]</f>
        <v>341919</v>
      </c>
      <c r="BN87" s="69" t="n">
        <f aca="false">TblProd[[#This Row],[Ore]]</f>
        <v>-357</v>
      </c>
    </row>
    <row r="88" customFormat="false" ht="12.75" hidden="false" customHeight="false" outlineLevel="0" collapsed="false">
      <c r="A88" s="128" t="n">
        <v>13</v>
      </c>
      <c r="B88" s="144" t="n">
        <f aca="false">TblImps[[#This Row],[Time]]</f>
        <v>45433.25</v>
      </c>
      <c r="C88" s="145"/>
      <c r="D88" s="146"/>
      <c r="E88" s="69" t="n">
        <f aca="false">TblConstr[[#This Row],[Land]]</f>
        <v>700</v>
      </c>
      <c r="F88" s="69" t="n">
        <f aca="false">TblPop[[#This Row],[Peasants]]</f>
        <v>8943</v>
      </c>
      <c r="G88" s="69"/>
      <c r="H88" s="69" t="e">
        <f aca="false">TblMili[[#This Row],[Networth (2)]]</f>
        <v>#VALUE!</v>
      </c>
      <c r="I88" s="69" t="n">
        <f aca="false">OFFSET(TblProd[[#This Row],[Platinum]],-1,0)+OFFSET(TblProd[[#This Row],[Plat/hr]],-1,0) - TblProd[[#This Row],[Expenses Platinum]] + IF(TblProd[[#This Row],[Plat Bonus]],TblPop[[#This Row],[Peasants]]*4) + SUM(TblConstr[[#This Row],[Dest Hom]:[Dest Doc]])*TblConstr[[#This Row],[CPA Platinum -DB]]*tech_3_3_2*TblTech[[#This Row],[3-3]]</f>
        <v>512165</v>
      </c>
      <c r="J88" s="69" t="n">
        <f aca="false">OFFSET(TblProd[[#This Row],[Food]],-1,0)+OFFSET(TblProd[[#This Row],[Food/hr]],-1,0)+ROUNDUP((TblConstr[[#This Row],[Farms]]*80+TblConstr[[#This Row],[Docks]]*35)*(1+OFFSET(TblProd[[#This Row],[Bonus Food/hr]],-1,0)),0)</f>
        <v>394497</v>
      </c>
      <c r="K88" s="69" t="n">
        <f aca="false">OFFSET(TblProd[[#This Row],[Lumber]],-1,0)+OFFSET(TblProd[[#This Row],[Lumber/hr]],-1,0) - TblProd[[#This Row],[Expenses Lumber]] + SUM(TblConstr[[#This Row],[Dest Hom]:[Dest Doc]])*TblConstr[[#This Row],[CPA Lumber -DB]]*tech_3_3_2*TblTech[[#This Row],[3-3]]</f>
        <v>25667</v>
      </c>
      <c r="L88" s="69" t="n">
        <f aca="false">OFFSET(TblProd[[#This Row],[Mana]],-1,0)+OFFSET(TblProd[[#This Row],[Mana/hr]],-1,0)- TblProd[[#This Row],[Expenses Mana]]</f>
        <v>328806</v>
      </c>
      <c r="M88" s="69" t="n">
        <f aca="false">OFFSET(TblProd[[#This Row],[Ore]],-1,0)+OFFSET(TblProd[[#This Row],[Ore/hr]],-1,0) -TblProd[[#This Row],[Expenses Ore]]</f>
        <v>-357</v>
      </c>
      <c r="N88" s="69" t="n">
        <f aca="false">OFFSET(TblProd[[#This Row],[Gems]],-1,0)+OFFSET(TblProd[[#This Row],[Gems/hr]],-1,0) - TblProd[[#This Row],[Expenses Gems]]</f>
        <v>-1000</v>
      </c>
      <c r="O88" s="69" t="n">
        <f aca="false">OFFSET(TblProd[[#This Row],[Boats]],-1,0)+OFFSET(TblProd[[#This Row],[Boats/hr]],-1,0)</f>
        <v>42.65</v>
      </c>
      <c r="P88" s="69" t="n">
        <f aca="false">OFFSET(TblProd[[#This Row],[Prestige]],-1,0)</f>
        <v>250</v>
      </c>
      <c r="Q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8" s="69" t="n">
        <f aca="false">MAX(3750,_xlfn.CEILING.MATH(TblProd[[#This Row],[Land]]*2.5+OFFSET(TblTech[[#This Row],[Sum of tech]],-1,0)*150))</f>
        <v>3750</v>
      </c>
      <c r="S88" s="132"/>
      <c r="T88" s="69" t="n">
        <f aca="false">ROUNDDOWN(TblProd[[#This Row],[Raw Plat/hr]]*(1+TblProd[[#This Row],[Bonus Plat/hr]]),0)</f>
        <v>44105</v>
      </c>
      <c r="U88" s="69" t="n">
        <f aca="false">ROUND(TblProd[[#This Row],[Raw Food/hr]]*(1+TblProd[[#This Row],[Bonus Food/hr]])-TblProd[[#This Row],[Food decay]]-TblProd[[#This Row],[Food eaten]],0)</f>
        <v>-3818</v>
      </c>
      <c r="V88" s="69" t="n">
        <f aca="false">ROUND(TblProd[[#This Row],[Raw Lumber/hr]]*(1+TblProd[[#This Row],[Bonus Lumber/hr]])-TblProd[[#This Row],[Lumber rot]],0)</f>
        <v>868</v>
      </c>
      <c r="W88" s="69" t="n">
        <f aca="false">ROUND(TblProd[[#This Row],[Raw Mana/hr]]*(1+TblProd[[#This Row],[Bonus Mana/hr]])-TblProd[[#This Row],[Mana drain]],0)</f>
        <v>-5851</v>
      </c>
      <c r="X88" s="69" t="n">
        <f aca="false">ROUNDDOWN(TblProd[[#This Row],[Raw Ore/hr]]*(1+TblProd[[#This Row],[Bonux Ore/hr]]),0)</f>
        <v>0</v>
      </c>
      <c r="Y88" s="69" t="n">
        <f aca="false">ROUNDDOWN(TblProd[[#This Row],[Raw Gems/hr]]*(1+TblProd[[#This Row],[Bonus Gems/hr]]),0)</f>
        <v>0</v>
      </c>
      <c r="Z88" s="148" t="n">
        <f aca="false">OFFSET(TblConstr[[#This Row],[Tot Doc]],1,0)*dock_boats_hr * (1 + tech_4_1*TblTech[[#This Row],[4-1]])</f>
        <v>1.2</v>
      </c>
      <c r="AA88" s="146"/>
      <c r="AB88" s="69" t="n">
        <f aca="false">TblPop[[#This Row],[Peasants]]*tax*TblPop[[#This Row],[Employment]] + (Construction!AZ89+Construction!BX89)*(alch_plat+(Magic!AM88&gt;0)*alchemist_flame_bonus)</f>
        <v>40096.1</v>
      </c>
      <c r="AC88" s="69" t="n">
        <f aca="false">TblConstr[[#This Row],[Tot Farm]]*farm_food + TblConstr[[#This Row],[Tot Doc]]*dock_food</f>
        <v>3280</v>
      </c>
      <c r="AD88" s="69" t="n">
        <f aca="false">TblConstr[[#This Row],[Tot Ly]]*ly_lumber + TblConstr[[#This Row],[Tot Hav]]*fh_lumber</f>
        <v>1250</v>
      </c>
      <c r="AE88" s="69" t="n">
        <f aca="false">OFFSET(TblConstr[[#This Row],[Tot Tow]],1,0)*(tower_mana + tech_4_5*TblTech[[#This Row],[4-5]]) + OFFSET(TblConstr[[#This Row],[Tot WG]],1,0)*wg_mana_prod</f>
        <v>725</v>
      </c>
      <c r="AF88" s="69" t="n">
        <f aca="false">OFFSET(TblConstr[[#This Row],[Tot OM]],1,0)*om_ore+IF(race="Dwarf",ROUNDDOWN(TblMili[[#This Row],[Unit 2]]*0.4,0),)</f>
        <v>0</v>
      </c>
      <c r="AG88" s="69" t="n">
        <f aca="false">OFFSET(TblConstr[[#This Row],[Tot DM]],1,0)*dm_gems</f>
        <v>0</v>
      </c>
      <c r="AH88" s="132"/>
      <c r="AI88" s="149" t="n">
        <f aca="false">MIN(race_platinum_bonus + IF(TblMagic[[#This Row],[Active Alch Frost]]&gt;0,alch_frost_bonus,IF(Magic!AD88&gt;0,midas_bonus)) + TblImps[[#This Row],[Science]] - TblProd[[#This Row],[Guard]]*(0.02 + tech_5_7*TblTech[[#This Row],[5-7]]) + tech_1_5*TblTech[[#This Row],[1-5]] + tech_4_4*TblTech[[#This Row],[4-4]], 0.5)</f>
        <v>0.1</v>
      </c>
      <c r="AJ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8" s="149" t="n">
        <f aca="false">race_lumber_bonus+ IF(TblMagic[[#This Row],[Active Gaia''s Blessing]]&gt;0,gaias_blessing_lumber)+ tech_1_3*TblTech[[#This Row],[1-3]] + tech_1_6*TblTech[[#This Row],[1-6]] + tech_3_3*TblTech[[#This Row],[3-3]]</f>
        <v>-0.1</v>
      </c>
      <c r="AL88" s="149" t="n">
        <f aca="false">race_mana_bonus+ 0 + TblImps[[#This Row],[Towers]] + tech_1_2*TblTech[[#This Row],[1-2]] + tech_3_4*TblTech[[#This Row],[3-4]]</f>
        <v>0</v>
      </c>
      <c r="AM88" s="149" t="n">
        <f aca="false">race_ore_bonus + IF(TblMagic[[#This Row],[Active Miner''s Sight]]&gt;0,miners_sight_bonus,IF(TblMagic[[#This Row],[Active Mining Strength]]&gt;0,mining_strength_bonus)) +  tech_1_6*TblTech[[#This Row],[1-6]]</f>
        <v>0</v>
      </c>
      <c r="AN88" s="149" t="n">
        <f aca="false">race_gem_bonus+ tech_3_2*TblTech[[#This Row],[3-2]] + tech_4_3*TblTech[[#This Row],[4-3]] + tech_6_2*TblTech[[#This Row],[6-2]]</f>
        <v>0.15</v>
      </c>
      <c r="AO88" s="132"/>
      <c r="AP88" s="69" t="n">
        <f aca="false">TblProd[[#This Row],[Food]]*food_decay * (1 + tech_2_1*TblTech[[#This Row],[2-1]] + tech_2_8*TblTech[[#This Row],[2-8]])</f>
        <v>3944.97</v>
      </c>
      <c r="AQ88" s="69" t="n">
        <f aca="false">(1+race_food_consumption)*TblPop[[#This Row],[Total]]*food_per_person*(1+tech_1_10*TblTech[[#This Row],[1-10]]+tech_7_5*TblTech[[#This Row],[7-5]])</f>
        <v>3234.75</v>
      </c>
      <c r="AR88" s="69" t="n">
        <f aca="false">TblProd[[#This Row],[Lumber]]*lumber_rot * (1 + tech_2_1*TblTech[[#This Row],[2-1]] + tech_2_8*TblTech[[#This Row],[2-8]] + tech_5_2*TblTech[[#This Row],[5-2]])</f>
        <v>256.67</v>
      </c>
      <c r="AS88" s="69" t="n">
        <f aca="false">TblProd[[#This Row],[Mana]]*mana_drain * (1 + tech_2_1*TblTech[[#This Row],[2-1]] + tech_2_8*TblTech[[#This Row],[2-8]])</f>
        <v>6576.12</v>
      </c>
      <c r="AT88" s="146"/>
      <c r="AU88" s="69" t="n">
        <f aca="false">TblExplore[[#This Row],[Platinum (2)]]+TblConstr[[#This Row],[Total Plat Cost]]+TblMili[[#This Row],[Plat Cost]]+TblRezone[[#This Row],[Platinum cost]]+TblImps[[#This Row],[P1]]-TblProd[[#This Row],[Bank Plat]]</f>
        <v>0</v>
      </c>
      <c r="AV88" s="69" t="n">
        <f aca="false">TblConstr[[#This Row],[Total Lum Cost]]+TblImps[[#This Row],[L1]]-TblProd[[#This Row],[Bank Lumber]] + Military!$CL$25*TblMili[[#This Row],[Sec. rec. Cost]]</f>
        <v>0</v>
      </c>
      <c r="AW88" s="69" t="n">
        <f aca="false">TblMagic[[#This Row],[Mana cost]] + Military!$CL$26*TblMili[[#This Row],[Sec. rec. Cost]]</f>
        <v>7000</v>
      </c>
      <c r="AX88" s="69" t="n">
        <f aca="false">Military!$CL$24*TblMili[[#This Row],[Sec. rec. Cost]]+TblImps[[#This Row],[O1]]-TblProd[[#This Row],[Bank Ore]]</f>
        <v>0</v>
      </c>
      <c r="AY88" s="69" t="n">
        <f aca="false">TblImps[[#This Row],[G1]]-TblProd[[#This Row],[Bank Gems]]</f>
        <v>0</v>
      </c>
      <c r="AZ88" s="132"/>
      <c r="BA88" s="33" t="n">
        <f aca="false">IF(TblProd[[#This Row],[Set Guard]]&lt;&gt;"",TblProd[[#This Row],[Set Guard]],OFFSET(TblProd[[#This Row],[Guard]],-1,0))</f>
        <v>0</v>
      </c>
      <c r="BB88" s="145"/>
      <c r="BC88" s="151" t="n">
        <f aca="false">TblProd[[#This Row],[Hour]]</f>
        <v>13</v>
      </c>
      <c r="BD88" s="152" t="n">
        <f aca="false">-TblProd[[#This Row],[Bank Lumber]] / 2 + -TblProd[[#This Row],[Bank Gems]] * 2 + -TblProd[[#This Row],[Bank Ore]] / 2</f>
        <v>0</v>
      </c>
      <c r="BE88" s="152"/>
      <c r="BF88" s="152"/>
      <c r="BG88" s="152"/>
      <c r="BH88" s="153" t="n">
        <f aca="false">TblProd[[#This Row],[Time]]</f>
        <v>45433.25</v>
      </c>
      <c r="BI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J88" s="69" t="n">
        <f aca="false">TblProd[[#This Row],[Platinum]]</f>
        <v>512165</v>
      </c>
      <c r="BK88" s="69" t="n">
        <f aca="false">TblProd[[#This Row],[Food]]</f>
        <v>394497</v>
      </c>
      <c r="BL88" s="69" t="n">
        <f aca="false">TblProd[[#This Row],[Lumber]]</f>
        <v>25667</v>
      </c>
      <c r="BM88" s="69" t="n">
        <f aca="false">TblProd[[#This Row],[Mana]]</f>
        <v>328806</v>
      </c>
      <c r="BN88" s="69" t="n">
        <f aca="false">TblProd[[#This Row],[Ore]]</f>
        <v>-357</v>
      </c>
    </row>
    <row r="89" customFormat="false" ht="12.75" hidden="false" customHeight="false" outlineLevel="0" collapsed="false">
      <c r="A89" s="128" t="n">
        <v>14</v>
      </c>
      <c r="B89" s="144" t="n">
        <f aca="false">TblImps[[#This Row],[Time]]</f>
        <v>45433.2916666667</v>
      </c>
      <c r="C89" s="145"/>
      <c r="D89" s="146"/>
      <c r="E89" s="69" t="n">
        <f aca="false">TblConstr[[#This Row],[Land]]</f>
        <v>700</v>
      </c>
      <c r="F89" s="69" t="n">
        <f aca="false">TblPop[[#This Row],[Peasants]]</f>
        <v>8854</v>
      </c>
      <c r="G89" s="69"/>
      <c r="H89" s="69" t="e">
        <f aca="false">TblMili[[#This Row],[Networth (2)]]</f>
        <v>#VALUE!</v>
      </c>
      <c r="I89" s="69" t="n">
        <f aca="false">OFFSET(TblProd[[#This Row],[Platinum]],-1,0)+OFFSET(TblProd[[#This Row],[Plat/hr]],-1,0) - TblProd[[#This Row],[Expenses Platinum]] + IF(TblProd[[#This Row],[Plat Bonus]],TblPop[[#This Row],[Peasants]]*4) + SUM(TblConstr[[#This Row],[Dest Hom]:[Dest Doc]])*TblConstr[[#This Row],[CPA Platinum -DB]]*tech_3_3_2*TblTech[[#This Row],[3-3]]</f>
        <v>556270</v>
      </c>
      <c r="J89" s="69" t="n">
        <f aca="false">OFFSET(TblProd[[#This Row],[Food]],-1,0)+OFFSET(TblProd[[#This Row],[Food/hr]],-1,0)+ROUNDUP((TblConstr[[#This Row],[Farms]]*80+TblConstr[[#This Row],[Docks]]*35)*(1+OFFSET(TblProd[[#This Row],[Bonus Food/hr]],-1,0)),0)</f>
        <v>390679</v>
      </c>
      <c r="K89" s="69" t="n">
        <f aca="false">OFFSET(TblProd[[#This Row],[Lumber]],-1,0)+OFFSET(TblProd[[#This Row],[Lumber/hr]],-1,0) - TblProd[[#This Row],[Expenses Lumber]] + SUM(TblConstr[[#This Row],[Dest Hom]:[Dest Doc]])*TblConstr[[#This Row],[CPA Lumber -DB]]*tech_3_3_2*TblTech[[#This Row],[3-3]]</f>
        <v>26535</v>
      </c>
      <c r="L89" s="69" t="n">
        <f aca="false">OFFSET(TblProd[[#This Row],[Mana]],-1,0)+OFFSET(TblProd[[#This Row],[Mana/hr]],-1,0)- TblProd[[#This Row],[Expenses Mana]]</f>
        <v>322955</v>
      </c>
      <c r="M89" s="69" t="n">
        <f aca="false">OFFSET(TblProd[[#This Row],[Ore]],-1,0)+OFFSET(TblProd[[#This Row],[Ore/hr]],-1,0) -TblProd[[#This Row],[Expenses Ore]]</f>
        <v>-357</v>
      </c>
      <c r="N89" s="69" t="n">
        <f aca="false">OFFSET(TblProd[[#This Row],[Gems]],-1,0)+OFFSET(TblProd[[#This Row],[Gems/hr]],-1,0) - TblProd[[#This Row],[Expenses Gems]]</f>
        <v>-1000</v>
      </c>
      <c r="O89" s="69" t="n">
        <f aca="false">OFFSET(TblProd[[#This Row],[Boats]],-1,0)+OFFSET(TblProd[[#This Row],[Boats/hr]],-1,0)</f>
        <v>43.85</v>
      </c>
      <c r="P89" s="69" t="n">
        <f aca="false">OFFSET(TblProd[[#This Row],[Prestige]],-1,0)</f>
        <v>250</v>
      </c>
      <c r="Q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9" s="69" t="n">
        <f aca="false">MAX(3750,_xlfn.CEILING.MATH(TblProd[[#This Row],[Land]]*2.5+OFFSET(TblTech[[#This Row],[Sum of tech]],-1,0)*150))</f>
        <v>3750</v>
      </c>
      <c r="S89" s="132"/>
      <c r="T89" s="69" t="n">
        <f aca="false">ROUNDDOWN(TblProd[[#This Row],[Raw Plat/hr]]*(1+TblProd[[#This Row],[Bonus Plat/hr]]),0)</f>
        <v>43841</v>
      </c>
      <c r="U89" s="69" t="n">
        <f aca="false">ROUND(TblProd[[#This Row],[Raw Food/hr]]*(1+TblProd[[#This Row],[Bonus Food/hr]])-TblProd[[#This Row],[Food decay]]-TblProd[[#This Row],[Food eaten]],0)</f>
        <v>-3780</v>
      </c>
      <c r="V89" s="69" t="n">
        <f aca="false">ROUND(TblProd[[#This Row],[Raw Lumber/hr]]*(1+TblProd[[#This Row],[Bonus Lumber/hr]])-TblProd[[#This Row],[Lumber rot]],0)</f>
        <v>860</v>
      </c>
      <c r="W89" s="69" t="n">
        <f aca="false">ROUND(TblProd[[#This Row],[Raw Mana/hr]]*(1+TblProd[[#This Row],[Bonus Mana/hr]])-TblProd[[#This Row],[Mana drain]],0)</f>
        <v>-5734</v>
      </c>
      <c r="X89" s="69" t="n">
        <f aca="false">ROUNDDOWN(TblProd[[#This Row],[Raw Ore/hr]]*(1+TblProd[[#This Row],[Bonux Ore/hr]]),0)</f>
        <v>0</v>
      </c>
      <c r="Y89" s="69" t="n">
        <f aca="false">ROUNDDOWN(TblProd[[#This Row],[Raw Gems/hr]]*(1+TblProd[[#This Row],[Bonus Gems/hr]]),0)</f>
        <v>0</v>
      </c>
      <c r="Z89" s="148" t="n">
        <f aca="false">OFFSET(TblConstr[[#This Row],[Tot Doc]],1,0)*dock_boats_hr * (1 + tech_4_1*TblTech[[#This Row],[4-1]])</f>
        <v>1.2</v>
      </c>
      <c r="AA89" s="146"/>
      <c r="AB89" s="69" t="n">
        <f aca="false">TblPop[[#This Row],[Peasants]]*tax*TblPop[[#This Row],[Employment]] + (Construction!AZ90+Construction!BX90)*(alch_plat+(Magic!AM89&gt;0)*alchemist_flame_bonus)</f>
        <v>39855.8</v>
      </c>
      <c r="AC89" s="69" t="n">
        <f aca="false">TblConstr[[#This Row],[Tot Farm]]*farm_food + TblConstr[[#This Row],[Tot Doc]]*dock_food</f>
        <v>3280</v>
      </c>
      <c r="AD89" s="69" t="n">
        <f aca="false">TblConstr[[#This Row],[Tot Ly]]*ly_lumber + TblConstr[[#This Row],[Tot Hav]]*fh_lumber</f>
        <v>1250</v>
      </c>
      <c r="AE89" s="69" t="n">
        <f aca="false">OFFSET(TblConstr[[#This Row],[Tot Tow]],1,0)*(tower_mana + tech_4_5*TblTech[[#This Row],[4-5]]) + OFFSET(TblConstr[[#This Row],[Tot WG]],1,0)*wg_mana_prod</f>
        <v>725</v>
      </c>
      <c r="AF89" s="69" t="n">
        <f aca="false">OFFSET(TblConstr[[#This Row],[Tot OM]],1,0)*om_ore+IF(race="Dwarf",ROUNDDOWN(TblMili[[#This Row],[Unit 2]]*0.4,0),)</f>
        <v>0</v>
      </c>
      <c r="AG89" s="69" t="n">
        <f aca="false">OFFSET(TblConstr[[#This Row],[Tot DM]],1,0)*dm_gems</f>
        <v>0</v>
      </c>
      <c r="AH89" s="132"/>
      <c r="AI89" s="149" t="n">
        <f aca="false">MIN(race_platinum_bonus + IF(TblMagic[[#This Row],[Active Alch Frost]]&gt;0,alch_frost_bonus,IF(Magic!AD89&gt;0,midas_bonus)) + TblImps[[#This Row],[Science]] - TblProd[[#This Row],[Guard]]*(0.02 + tech_5_7*TblTech[[#This Row],[5-7]]) + tech_1_5*TblTech[[#This Row],[1-5]] + tech_4_4*TblTech[[#This Row],[4-4]], 0.5)</f>
        <v>0.1</v>
      </c>
      <c r="AJ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9" s="149" t="n">
        <f aca="false">race_lumber_bonus+ IF(TblMagic[[#This Row],[Active Gaia''s Blessing]]&gt;0,gaias_blessing_lumber)+ tech_1_3*TblTech[[#This Row],[1-3]] + tech_1_6*TblTech[[#This Row],[1-6]] + tech_3_3*TblTech[[#This Row],[3-3]]</f>
        <v>-0.1</v>
      </c>
      <c r="AL89" s="149" t="n">
        <f aca="false">race_mana_bonus+ 0 + TblImps[[#This Row],[Towers]] + tech_1_2*TblTech[[#This Row],[1-2]] + tech_3_4*TblTech[[#This Row],[3-4]]</f>
        <v>0</v>
      </c>
      <c r="AM89" s="149" t="n">
        <f aca="false">race_ore_bonus + IF(TblMagic[[#This Row],[Active Miner''s Sight]]&gt;0,miners_sight_bonus,IF(TblMagic[[#This Row],[Active Mining Strength]]&gt;0,mining_strength_bonus)) +  tech_1_6*TblTech[[#This Row],[1-6]]</f>
        <v>0</v>
      </c>
      <c r="AN89" s="149" t="n">
        <f aca="false">race_gem_bonus+ tech_3_2*TblTech[[#This Row],[3-2]] + tech_4_3*TblTech[[#This Row],[4-3]] + tech_6_2*TblTech[[#This Row],[6-2]]</f>
        <v>0.15</v>
      </c>
      <c r="AO89" s="132"/>
      <c r="AP89" s="69" t="n">
        <f aca="false">TblProd[[#This Row],[Food]]*food_decay * (1 + tech_2_1*TblTech[[#This Row],[2-1]] + tech_2_8*TblTech[[#This Row],[2-8]])</f>
        <v>3906.79</v>
      </c>
      <c r="AQ89" s="69" t="n">
        <f aca="false">(1+race_food_consumption)*TblPop[[#This Row],[Total]]*food_per_person*(1+tech_1_10*TblTech[[#This Row],[1-10]]+tech_7_5*TblTech[[#This Row],[7-5]])</f>
        <v>3234.75</v>
      </c>
      <c r="AR89" s="69" t="n">
        <f aca="false">TblProd[[#This Row],[Lumber]]*lumber_rot * (1 + tech_2_1*TblTech[[#This Row],[2-1]] + tech_2_8*TblTech[[#This Row],[2-8]] + tech_5_2*TblTech[[#This Row],[5-2]])</f>
        <v>265.35</v>
      </c>
      <c r="AS89" s="69" t="n">
        <f aca="false">TblProd[[#This Row],[Mana]]*mana_drain * (1 + tech_2_1*TblTech[[#This Row],[2-1]] + tech_2_8*TblTech[[#This Row],[2-8]])</f>
        <v>6459.1</v>
      </c>
      <c r="AT89" s="146"/>
      <c r="AU89" s="69" t="n">
        <f aca="false">TblExplore[[#This Row],[Platinum (2)]]+TblConstr[[#This Row],[Total Plat Cost]]+TblMili[[#This Row],[Plat Cost]]+TblRezone[[#This Row],[Platinum cost]]+TblImps[[#This Row],[P1]]-TblProd[[#This Row],[Bank Plat]]</f>
        <v>0</v>
      </c>
      <c r="AV89" s="69" t="n">
        <f aca="false">TblConstr[[#This Row],[Total Lum Cost]]+TblImps[[#This Row],[L1]]-TblProd[[#This Row],[Bank Lumber]] + Military!$CL$25*TblMili[[#This Row],[Sec. rec. Cost]]</f>
        <v>0</v>
      </c>
      <c r="AW89" s="69" t="n">
        <f aca="false">TblMagic[[#This Row],[Mana cost]] + Military!$CL$26*TblMili[[#This Row],[Sec. rec. Cost]]</f>
        <v>0</v>
      </c>
      <c r="AX89" s="69" t="n">
        <f aca="false">Military!$CL$24*TblMili[[#This Row],[Sec. rec. Cost]]+TblImps[[#This Row],[O1]]-TblProd[[#This Row],[Bank Ore]]</f>
        <v>0</v>
      </c>
      <c r="AY89" s="69" t="n">
        <f aca="false">TblImps[[#This Row],[G1]]-TblProd[[#This Row],[Bank Gems]]</f>
        <v>0</v>
      </c>
      <c r="AZ89" s="132"/>
      <c r="BA89" s="33" t="n">
        <f aca="false">IF(TblProd[[#This Row],[Set Guard]]&lt;&gt;"",TblProd[[#This Row],[Set Guard]],OFFSET(TblProd[[#This Row],[Guard]],-1,0))</f>
        <v>0</v>
      </c>
      <c r="BB89" s="145"/>
      <c r="BC89" s="151" t="n">
        <f aca="false">TblProd[[#This Row],[Hour]]</f>
        <v>14</v>
      </c>
      <c r="BD89" s="152" t="n">
        <f aca="false">-TblProd[[#This Row],[Bank Lumber]] / 2 + -TblProd[[#This Row],[Bank Gems]] * 2 + -TblProd[[#This Row],[Bank Ore]] / 2</f>
        <v>0</v>
      </c>
      <c r="BE89" s="152"/>
      <c r="BF89" s="152"/>
      <c r="BG89" s="152"/>
      <c r="BH89" s="153" t="n">
        <f aca="false">TblProd[[#This Row],[Time]]</f>
        <v>45433.2916666667</v>
      </c>
      <c r="BI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J89" s="69" t="n">
        <f aca="false">TblProd[[#This Row],[Platinum]]</f>
        <v>556270</v>
      </c>
      <c r="BK89" s="69" t="n">
        <f aca="false">TblProd[[#This Row],[Food]]</f>
        <v>390679</v>
      </c>
      <c r="BL89" s="69" t="n">
        <f aca="false">TblProd[[#This Row],[Lumber]]</f>
        <v>26535</v>
      </c>
      <c r="BM89" s="69" t="n">
        <f aca="false">TblProd[[#This Row],[Mana]]</f>
        <v>322955</v>
      </c>
      <c r="BN89" s="69" t="n">
        <f aca="false">TblProd[[#This Row],[Ore]]</f>
        <v>-357</v>
      </c>
    </row>
    <row r="90" customFormat="false" ht="12.75" hidden="false" customHeight="false" outlineLevel="0" collapsed="false">
      <c r="A90" s="128" t="n">
        <v>15</v>
      </c>
      <c r="B90" s="144" t="n">
        <f aca="false">TblImps[[#This Row],[Time]]</f>
        <v>45433.3333333333</v>
      </c>
      <c r="C90" s="145"/>
      <c r="D90" s="146"/>
      <c r="E90" s="69" t="n">
        <f aca="false">TblConstr[[#This Row],[Land]]</f>
        <v>700</v>
      </c>
      <c r="F90" s="69" t="n">
        <f aca="false">TblPop[[#This Row],[Peasants]]</f>
        <v>8765</v>
      </c>
      <c r="G90" s="69"/>
      <c r="H90" s="69" t="e">
        <f aca="false">TblMili[[#This Row],[Networth (2)]]</f>
        <v>#VALUE!</v>
      </c>
      <c r="I90" s="69" t="n">
        <f aca="false">OFFSET(TblProd[[#This Row],[Platinum]],-1,0)+OFFSET(TblProd[[#This Row],[Plat/hr]],-1,0) - TblProd[[#This Row],[Expenses Platinum]] + IF(TblProd[[#This Row],[Plat Bonus]],TblPop[[#This Row],[Peasants]]*4) + SUM(TblConstr[[#This Row],[Dest Hom]:[Dest Doc]])*TblConstr[[#This Row],[CPA Platinum -DB]]*tech_3_3_2*TblTech[[#This Row],[3-3]]</f>
        <v>600111</v>
      </c>
      <c r="J90" s="69" t="n">
        <f aca="false">OFFSET(TblProd[[#This Row],[Food]],-1,0)+OFFSET(TblProd[[#This Row],[Food/hr]],-1,0)+ROUNDUP((TblConstr[[#This Row],[Farms]]*80+TblConstr[[#This Row],[Docks]]*35)*(1+OFFSET(TblProd[[#This Row],[Bonus Food/hr]],-1,0)),0)</f>
        <v>386899</v>
      </c>
      <c r="K90" s="69" t="n">
        <f aca="false">OFFSET(TblProd[[#This Row],[Lumber]],-1,0)+OFFSET(TblProd[[#This Row],[Lumber/hr]],-1,0) - TblProd[[#This Row],[Expenses Lumber]] + SUM(TblConstr[[#This Row],[Dest Hom]:[Dest Doc]])*TblConstr[[#This Row],[CPA Lumber -DB]]*tech_3_3_2*TblTech[[#This Row],[3-3]]</f>
        <v>27395</v>
      </c>
      <c r="L90" s="69" t="n">
        <f aca="false">OFFSET(TblProd[[#This Row],[Mana]],-1,0)+OFFSET(TblProd[[#This Row],[Mana/hr]],-1,0)- TblProd[[#This Row],[Expenses Mana]]</f>
        <v>317221</v>
      </c>
      <c r="M90" s="69" t="n">
        <f aca="false">OFFSET(TblProd[[#This Row],[Ore]],-1,0)+OFFSET(TblProd[[#This Row],[Ore/hr]],-1,0) -TblProd[[#This Row],[Expenses Ore]]</f>
        <v>-357</v>
      </c>
      <c r="N90" s="69" t="n">
        <f aca="false">OFFSET(TblProd[[#This Row],[Gems]],-1,0)+OFFSET(TblProd[[#This Row],[Gems/hr]],-1,0) - TblProd[[#This Row],[Expenses Gems]]</f>
        <v>-1000</v>
      </c>
      <c r="O90" s="69" t="n">
        <f aca="false">OFFSET(TblProd[[#This Row],[Boats]],-1,0)+OFFSET(TblProd[[#This Row],[Boats/hr]],-1,0)</f>
        <v>45.05</v>
      </c>
      <c r="P90" s="69" t="n">
        <f aca="false">OFFSET(TblProd[[#This Row],[Prestige]],-1,0)</f>
        <v>250</v>
      </c>
      <c r="Q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0" s="69" t="n">
        <f aca="false">MAX(3750,_xlfn.CEILING.MATH(TblProd[[#This Row],[Land]]*2.5+OFFSET(TblTech[[#This Row],[Sum of tech]],-1,0)*150))</f>
        <v>3750</v>
      </c>
      <c r="S90" s="132"/>
      <c r="T90" s="69" t="n">
        <f aca="false">ROUNDDOWN(TblProd[[#This Row],[Raw Plat/hr]]*(1+TblProd[[#This Row],[Bonus Plat/hr]]),0)</f>
        <v>43577</v>
      </c>
      <c r="U90" s="69" t="n">
        <f aca="false">ROUND(TblProd[[#This Row],[Raw Food/hr]]*(1+TblProd[[#This Row],[Bonus Food/hr]])-TblProd[[#This Row],[Food decay]]-TblProd[[#This Row],[Food eaten]],0)</f>
        <v>-3742</v>
      </c>
      <c r="V90" s="69" t="n">
        <f aca="false">ROUND(TblProd[[#This Row],[Raw Lumber/hr]]*(1+TblProd[[#This Row],[Bonus Lumber/hr]])-TblProd[[#This Row],[Lumber rot]],0)</f>
        <v>851</v>
      </c>
      <c r="W90" s="69" t="n">
        <f aca="false">ROUND(TblProd[[#This Row],[Raw Mana/hr]]*(1+TblProd[[#This Row],[Bonus Mana/hr]])-TblProd[[#This Row],[Mana drain]],0)</f>
        <v>-5619</v>
      </c>
      <c r="X90" s="69" t="n">
        <f aca="false">ROUNDDOWN(TblProd[[#This Row],[Raw Ore/hr]]*(1+TblProd[[#This Row],[Bonux Ore/hr]]),0)</f>
        <v>0</v>
      </c>
      <c r="Y90" s="69" t="n">
        <f aca="false">ROUNDDOWN(TblProd[[#This Row],[Raw Gems/hr]]*(1+TblProd[[#This Row],[Bonus Gems/hr]]),0)</f>
        <v>0</v>
      </c>
      <c r="Z90" s="148" t="n">
        <f aca="false">OFFSET(TblConstr[[#This Row],[Tot Doc]],1,0)*dock_boats_hr * (1 + tech_4_1*TblTech[[#This Row],[4-1]])</f>
        <v>1.2</v>
      </c>
      <c r="AA90" s="146"/>
      <c r="AB90" s="69" t="n">
        <f aca="false">TblPop[[#This Row],[Peasants]]*tax*TblPop[[#This Row],[Employment]] + (Construction!AZ91+Construction!BX91)*(alch_plat+(Magic!AM90&gt;0)*alchemist_flame_bonus)</f>
        <v>39615.5</v>
      </c>
      <c r="AC90" s="69" t="n">
        <f aca="false">TblConstr[[#This Row],[Tot Farm]]*farm_food + TblConstr[[#This Row],[Tot Doc]]*dock_food</f>
        <v>3280</v>
      </c>
      <c r="AD90" s="69" t="n">
        <f aca="false">TblConstr[[#This Row],[Tot Ly]]*ly_lumber + TblConstr[[#This Row],[Tot Hav]]*fh_lumber</f>
        <v>1250</v>
      </c>
      <c r="AE90" s="69" t="n">
        <f aca="false">OFFSET(TblConstr[[#This Row],[Tot Tow]],1,0)*(tower_mana + tech_4_5*TblTech[[#This Row],[4-5]]) + OFFSET(TblConstr[[#This Row],[Tot WG]],1,0)*wg_mana_prod</f>
        <v>725</v>
      </c>
      <c r="AF90" s="69" t="n">
        <f aca="false">OFFSET(TblConstr[[#This Row],[Tot OM]],1,0)*om_ore+IF(race="Dwarf",ROUNDDOWN(TblMili[[#This Row],[Unit 2]]*0.4,0),)</f>
        <v>0</v>
      </c>
      <c r="AG90" s="69" t="n">
        <f aca="false">OFFSET(TblConstr[[#This Row],[Tot DM]],1,0)*dm_gems</f>
        <v>0</v>
      </c>
      <c r="AH90" s="132"/>
      <c r="AI90" s="149" t="n">
        <f aca="false">MIN(race_platinum_bonus + IF(TblMagic[[#This Row],[Active Alch Frost]]&gt;0,alch_frost_bonus,IF(Magic!AD90&gt;0,midas_bonus)) + TblImps[[#This Row],[Science]] - TblProd[[#This Row],[Guard]]*(0.02 + tech_5_7*TblTech[[#This Row],[5-7]]) + tech_1_5*TblTech[[#This Row],[1-5]] + tech_4_4*TblTech[[#This Row],[4-4]], 0.5)</f>
        <v>0.1</v>
      </c>
      <c r="AJ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0" s="149" t="n">
        <f aca="false">race_lumber_bonus+ IF(TblMagic[[#This Row],[Active Gaia''s Blessing]]&gt;0,gaias_blessing_lumber)+ tech_1_3*TblTech[[#This Row],[1-3]] + tech_1_6*TblTech[[#This Row],[1-6]] + tech_3_3*TblTech[[#This Row],[3-3]]</f>
        <v>-0.1</v>
      </c>
      <c r="AL90" s="149" t="n">
        <f aca="false">race_mana_bonus+ 0 + TblImps[[#This Row],[Towers]] + tech_1_2*TblTech[[#This Row],[1-2]] + tech_3_4*TblTech[[#This Row],[3-4]]</f>
        <v>0</v>
      </c>
      <c r="AM90" s="149" t="n">
        <f aca="false">race_ore_bonus + IF(TblMagic[[#This Row],[Active Miner''s Sight]]&gt;0,miners_sight_bonus,IF(TblMagic[[#This Row],[Active Mining Strength]]&gt;0,mining_strength_bonus)) +  tech_1_6*TblTech[[#This Row],[1-6]]</f>
        <v>0</v>
      </c>
      <c r="AN90" s="149" t="n">
        <f aca="false">race_gem_bonus+ tech_3_2*TblTech[[#This Row],[3-2]] + tech_4_3*TblTech[[#This Row],[4-3]] + tech_6_2*TblTech[[#This Row],[6-2]]</f>
        <v>0.15</v>
      </c>
      <c r="AO90" s="132"/>
      <c r="AP90" s="69" t="n">
        <f aca="false">TblProd[[#This Row],[Food]]*food_decay * (1 + tech_2_1*TblTech[[#This Row],[2-1]] + tech_2_8*TblTech[[#This Row],[2-8]])</f>
        <v>3868.99</v>
      </c>
      <c r="AQ90" s="69" t="n">
        <f aca="false">(1+race_food_consumption)*TblPop[[#This Row],[Total]]*food_per_person*(1+tech_1_10*TblTech[[#This Row],[1-10]]+tech_7_5*TblTech[[#This Row],[7-5]])</f>
        <v>3234.75</v>
      </c>
      <c r="AR90" s="69" t="n">
        <f aca="false">TblProd[[#This Row],[Lumber]]*lumber_rot * (1 + tech_2_1*TblTech[[#This Row],[2-1]] + tech_2_8*TblTech[[#This Row],[2-8]] + tech_5_2*TblTech[[#This Row],[5-2]])</f>
        <v>273.95</v>
      </c>
      <c r="AS90" s="69" t="n">
        <f aca="false">TblProd[[#This Row],[Mana]]*mana_drain * (1 + tech_2_1*TblTech[[#This Row],[2-1]] + tech_2_8*TblTech[[#This Row],[2-8]])</f>
        <v>6344.42</v>
      </c>
      <c r="AT90" s="146"/>
      <c r="AU90" s="69" t="n">
        <f aca="false">TblExplore[[#This Row],[Platinum (2)]]+TblConstr[[#This Row],[Total Plat Cost]]+TblMili[[#This Row],[Plat Cost]]+TblRezone[[#This Row],[Platinum cost]]+TblImps[[#This Row],[P1]]-TblProd[[#This Row],[Bank Plat]]</f>
        <v>0</v>
      </c>
      <c r="AV90" s="69" t="n">
        <f aca="false">TblConstr[[#This Row],[Total Lum Cost]]+TblImps[[#This Row],[L1]]-TblProd[[#This Row],[Bank Lumber]] + Military!$CL$25*TblMili[[#This Row],[Sec. rec. Cost]]</f>
        <v>0</v>
      </c>
      <c r="AW90" s="69" t="n">
        <f aca="false">TblMagic[[#This Row],[Mana cost]] + Military!$CL$26*TblMili[[#This Row],[Sec. rec. Cost]]</f>
        <v>0</v>
      </c>
      <c r="AX90" s="69" t="n">
        <f aca="false">Military!$CL$24*TblMili[[#This Row],[Sec. rec. Cost]]+TblImps[[#This Row],[O1]]-TblProd[[#This Row],[Bank Ore]]</f>
        <v>0</v>
      </c>
      <c r="AY90" s="69" t="n">
        <f aca="false">TblImps[[#This Row],[G1]]-TblProd[[#This Row],[Bank Gems]]</f>
        <v>0</v>
      </c>
      <c r="AZ90" s="132"/>
      <c r="BA90" s="33" t="n">
        <f aca="false">IF(TblProd[[#This Row],[Set Guard]]&lt;&gt;"",TblProd[[#This Row],[Set Guard]],OFFSET(TblProd[[#This Row],[Guard]],-1,0))</f>
        <v>0</v>
      </c>
      <c r="BB90" s="145"/>
      <c r="BC90" s="151" t="n">
        <f aca="false">TblProd[[#This Row],[Hour]]</f>
        <v>15</v>
      </c>
      <c r="BD90" s="152" t="n">
        <f aca="false">-TblProd[[#This Row],[Bank Lumber]] / 2 + -TblProd[[#This Row],[Bank Gems]] * 2 + -TblProd[[#This Row],[Bank Ore]] / 2</f>
        <v>0</v>
      </c>
      <c r="BE90" s="152"/>
      <c r="BF90" s="152"/>
      <c r="BG90" s="152"/>
      <c r="BH90" s="153" t="n">
        <f aca="false">TblProd[[#This Row],[Time]]</f>
        <v>45433.3333333333</v>
      </c>
      <c r="BI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J90" s="69" t="n">
        <f aca="false">TblProd[[#This Row],[Platinum]]</f>
        <v>600111</v>
      </c>
      <c r="BK90" s="69" t="n">
        <f aca="false">TblProd[[#This Row],[Food]]</f>
        <v>386899</v>
      </c>
      <c r="BL90" s="69" t="n">
        <f aca="false">TblProd[[#This Row],[Lumber]]</f>
        <v>27395</v>
      </c>
      <c r="BM90" s="69" t="n">
        <f aca="false">TblProd[[#This Row],[Mana]]</f>
        <v>317221</v>
      </c>
      <c r="BN90" s="69" t="n">
        <f aca="false">TblProd[[#This Row],[Ore]]</f>
        <v>-357</v>
      </c>
    </row>
    <row r="91" customFormat="false" ht="12.75" hidden="false" customHeight="false" outlineLevel="0" collapsed="false">
      <c r="A91" s="128" t="n">
        <v>16</v>
      </c>
      <c r="B91" s="144" t="n">
        <f aca="false">TblImps[[#This Row],[Time]]</f>
        <v>45433.375</v>
      </c>
      <c r="C91" s="145"/>
      <c r="D91" s="146"/>
      <c r="E91" s="69" t="n">
        <f aca="false">TblConstr[[#This Row],[Land]]</f>
        <v>700</v>
      </c>
      <c r="F91" s="69" t="n">
        <f aca="false">TblPop[[#This Row],[Peasants]]</f>
        <v>8677</v>
      </c>
      <c r="G91" s="69"/>
      <c r="H91" s="69" t="e">
        <f aca="false">TblMili[[#This Row],[Networth (2)]]</f>
        <v>#VALUE!</v>
      </c>
      <c r="I91" s="69" t="n">
        <f aca="false">OFFSET(TblProd[[#This Row],[Platinum]],-1,0)+OFFSET(TblProd[[#This Row],[Plat/hr]],-1,0) - TblProd[[#This Row],[Expenses Platinum]] + IF(TblProd[[#This Row],[Plat Bonus]],TblPop[[#This Row],[Peasants]]*4) + SUM(TblConstr[[#This Row],[Dest Hom]:[Dest Doc]])*TblConstr[[#This Row],[CPA Platinum -DB]]*tech_3_3_2*TblTech[[#This Row],[3-3]]</f>
        <v>643688</v>
      </c>
      <c r="J91" s="69" t="n">
        <f aca="false">OFFSET(TblProd[[#This Row],[Food]],-1,0)+OFFSET(TblProd[[#This Row],[Food/hr]],-1,0)+ROUNDUP((TblConstr[[#This Row],[Farms]]*80+TblConstr[[#This Row],[Docks]]*35)*(1+OFFSET(TblProd[[#This Row],[Bonus Food/hr]],-1,0)),0)</f>
        <v>383157</v>
      </c>
      <c r="K91" s="69" t="n">
        <f aca="false">OFFSET(TblProd[[#This Row],[Lumber]],-1,0)+OFFSET(TblProd[[#This Row],[Lumber/hr]],-1,0) - TblProd[[#This Row],[Expenses Lumber]] + SUM(TblConstr[[#This Row],[Dest Hom]:[Dest Doc]])*TblConstr[[#This Row],[CPA Lumber -DB]]*tech_3_3_2*TblTech[[#This Row],[3-3]]</f>
        <v>28246</v>
      </c>
      <c r="L91" s="69" t="n">
        <f aca="false">OFFSET(TblProd[[#This Row],[Mana]],-1,0)+OFFSET(TblProd[[#This Row],[Mana/hr]],-1,0)- TblProd[[#This Row],[Expenses Mana]]</f>
        <v>311602</v>
      </c>
      <c r="M91" s="69" t="n">
        <f aca="false">OFFSET(TblProd[[#This Row],[Ore]],-1,0)+OFFSET(TblProd[[#This Row],[Ore/hr]],-1,0) -TblProd[[#This Row],[Expenses Ore]]</f>
        <v>-357</v>
      </c>
      <c r="N91" s="69" t="n">
        <f aca="false">OFFSET(TblProd[[#This Row],[Gems]],-1,0)+OFFSET(TblProd[[#This Row],[Gems/hr]],-1,0) - TblProd[[#This Row],[Expenses Gems]]</f>
        <v>-1000</v>
      </c>
      <c r="O91" s="69" t="n">
        <f aca="false">OFFSET(TblProd[[#This Row],[Boats]],-1,0)+OFFSET(TblProd[[#This Row],[Boats/hr]],-1,0)</f>
        <v>46.25</v>
      </c>
      <c r="P91" s="69" t="n">
        <f aca="false">OFFSET(TblProd[[#This Row],[Prestige]],-1,0)</f>
        <v>250</v>
      </c>
      <c r="Q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1" s="69" t="n">
        <f aca="false">MAX(3750,_xlfn.CEILING.MATH(TblProd[[#This Row],[Land]]*2.5+OFFSET(TblTech[[#This Row],[Sum of tech]],-1,0)*150))</f>
        <v>3750</v>
      </c>
      <c r="S91" s="132"/>
      <c r="T91" s="69" t="n">
        <f aca="false">ROUNDDOWN(TblProd[[#This Row],[Raw Plat/hr]]*(1+TblProd[[#This Row],[Bonus Plat/hr]]),0)</f>
        <v>43315</v>
      </c>
      <c r="U91" s="69" t="n">
        <f aca="false">ROUND(TblProd[[#This Row],[Raw Food/hr]]*(1+TblProd[[#This Row],[Bonus Food/hr]])-TblProd[[#This Row],[Food decay]]-TblProd[[#This Row],[Food eaten]],0)</f>
        <v>-3704</v>
      </c>
      <c r="V91" s="69" t="n">
        <f aca="false">ROUND(TblProd[[#This Row],[Raw Lumber/hr]]*(1+TblProd[[#This Row],[Bonus Lumber/hr]])-TblProd[[#This Row],[Lumber rot]],0)</f>
        <v>843</v>
      </c>
      <c r="W91" s="69" t="n">
        <f aca="false">ROUND(TblProd[[#This Row],[Raw Mana/hr]]*(1+TblProd[[#This Row],[Bonus Mana/hr]])-TblProd[[#This Row],[Mana drain]],0)</f>
        <v>-5507</v>
      </c>
      <c r="X91" s="69" t="n">
        <f aca="false">ROUNDDOWN(TblProd[[#This Row],[Raw Ore/hr]]*(1+TblProd[[#This Row],[Bonux Ore/hr]]),0)</f>
        <v>0</v>
      </c>
      <c r="Y91" s="69" t="n">
        <f aca="false">ROUNDDOWN(TblProd[[#This Row],[Raw Gems/hr]]*(1+TblProd[[#This Row],[Bonus Gems/hr]]),0)</f>
        <v>0</v>
      </c>
      <c r="Z91" s="148" t="n">
        <f aca="false">OFFSET(TblConstr[[#This Row],[Tot Doc]],1,0)*dock_boats_hr * (1 + tech_4_1*TblTech[[#This Row],[4-1]])</f>
        <v>1.2</v>
      </c>
      <c r="AA91" s="146"/>
      <c r="AB91" s="69" t="n">
        <f aca="false">TblPop[[#This Row],[Peasants]]*tax*TblPop[[#This Row],[Employment]] + (Construction!AZ92+Construction!BX92)*(alch_plat+(Magic!AM91&gt;0)*alchemist_flame_bonus)</f>
        <v>39377.9</v>
      </c>
      <c r="AC91" s="69" t="n">
        <f aca="false">TblConstr[[#This Row],[Tot Farm]]*farm_food + TblConstr[[#This Row],[Tot Doc]]*dock_food</f>
        <v>3280</v>
      </c>
      <c r="AD91" s="69" t="n">
        <f aca="false">TblConstr[[#This Row],[Tot Ly]]*ly_lumber + TblConstr[[#This Row],[Tot Hav]]*fh_lumber</f>
        <v>1250</v>
      </c>
      <c r="AE91" s="69" t="n">
        <f aca="false">OFFSET(TblConstr[[#This Row],[Tot Tow]],1,0)*(tower_mana + tech_4_5*TblTech[[#This Row],[4-5]]) + OFFSET(TblConstr[[#This Row],[Tot WG]],1,0)*wg_mana_prod</f>
        <v>725</v>
      </c>
      <c r="AF91" s="69" t="n">
        <f aca="false">OFFSET(TblConstr[[#This Row],[Tot OM]],1,0)*om_ore+IF(race="Dwarf",ROUNDDOWN(TblMili[[#This Row],[Unit 2]]*0.4,0),)</f>
        <v>0</v>
      </c>
      <c r="AG91" s="69" t="n">
        <f aca="false">OFFSET(TblConstr[[#This Row],[Tot DM]],1,0)*dm_gems</f>
        <v>0</v>
      </c>
      <c r="AH91" s="132"/>
      <c r="AI91" s="149" t="n">
        <f aca="false">MIN(race_platinum_bonus + IF(TblMagic[[#This Row],[Active Alch Frost]]&gt;0,alch_frost_bonus,IF(Magic!AD91&gt;0,midas_bonus)) + TblImps[[#This Row],[Science]] - TblProd[[#This Row],[Guard]]*(0.02 + tech_5_7*TblTech[[#This Row],[5-7]]) + tech_1_5*TblTech[[#This Row],[1-5]] + tech_4_4*TblTech[[#This Row],[4-4]], 0.5)</f>
        <v>0.1</v>
      </c>
      <c r="AJ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1" s="149" t="n">
        <f aca="false">race_lumber_bonus+ IF(TblMagic[[#This Row],[Active Gaia''s Blessing]]&gt;0,gaias_blessing_lumber)+ tech_1_3*TblTech[[#This Row],[1-3]] + tech_1_6*TblTech[[#This Row],[1-6]] + tech_3_3*TblTech[[#This Row],[3-3]]</f>
        <v>-0.1</v>
      </c>
      <c r="AL91" s="149" t="n">
        <f aca="false">race_mana_bonus+ 0 + TblImps[[#This Row],[Towers]] + tech_1_2*TblTech[[#This Row],[1-2]] + tech_3_4*TblTech[[#This Row],[3-4]]</f>
        <v>0</v>
      </c>
      <c r="AM91" s="149" t="n">
        <f aca="false">race_ore_bonus + IF(TblMagic[[#This Row],[Active Miner''s Sight]]&gt;0,miners_sight_bonus,IF(TblMagic[[#This Row],[Active Mining Strength]]&gt;0,mining_strength_bonus)) +  tech_1_6*TblTech[[#This Row],[1-6]]</f>
        <v>0</v>
      </c>
      <c r="AN91" s="149" t="n">
        <f aca="false">race_gem_bonus+ tech_3_2*TblTech[[#This Row],[3-2]] + tech_4_3*TblTech[[#This Row],[4-3]] + tech_6_2*TblTech[[#This Row],[6-2]]</f>
        <v>0.15</v>
      </c>
      <c r="AO91" s="132"/>
      <c r="AP91" s="69" t="n">
        <f aca="false">TblProd[[#This Row],[Food]]*food_decay * (1 + tech_2_1*TblTech[[#This Row],[2-1]] + tech_2_8*TblTech[[#This Row],[2-8]])</f>
        <v>3831.57</v>
      </c>
      <c r="AQ91" s="69" t="n">
        <f aca="false">(1+race_food_consumption)*TblPop[[#This Row],[Total]]*food_per_person*(1+tech_1_10*TblTech[[#This Row],[1-10]]+tech_7_5*TblTech[[#This Row],[7-5]])</f>
        <v>3234.75</v>
      </c>
      <c r="AR91" s="69" t="n">
        <f aca="false">TblProd[[#This Row],[Lumber]]*lumber_rot * (1 + tech_2_1*TblTech[[#This Row],[2-1]] + tech_2_8*TblTech[[#This Row],[2-8]] + tech_5_2*TblTech[[#This Row],[5-2]])</f>
        <v>282.46</v>
      </c>
      <c r="AS91" s="69" t="n">
        <f aca="false">TblProd[[#This Row],[Mana]]*mana_drain * (1 + tech_2_1*TblTech[[#This Row],[2-1]] + tech_2_8*TblTech[[#This Row],[2-8]])</f>
        <v>6232.04</v>
      </c>
      <c r="AT91" s="146"/>
      <c r="AU91" s="69" t="n">
        <f aca="false">TblExplore[[#This Row],[Platinum (2)]]+TblConstr[[#This Row],[Total Plat Cost]]+TblMili[[#This Row],[Plat Cost]]+TblRezone[[#This Row],[Platinum cost]]+TblImps[[#This Row],[P1]]-TblProd[[#This Row],[Bank Plat]]</f>
        <v>0</v>
      </c>
      <c r="AV91" s="69" t="n">
        <f aca="false">TblConstr[[#This Row],[Total Lum Cost]]+TblImps[[#This Row],[L1]]-TblProd[[#This Row],[Bank Lumber]] + Military!$CL$25*TblMili[[#This Row],[Sec. rec. Cost]]</f>
        <v>0</v>
      </c>
      <c r="AW91" s="69" t="n">
        <f aca="false">TblMagic[[#This Row],[Mana cost]] + Military!$CL$26*TblMili[[#This Row],[Sec. rec. Cost]]</f>
        <v>0</v>
      </c>
      <c r="AX91" s="69" t="n">
        <f aca="false">Military!$CL$24*TblMili[[#This Row],[Sec. rec. Cost]]+TblImps[[#This Row],[O1]]-TblProd[[#This Row],[Bank Ore]]</f>
        <v>0</v>
      </c>
      <c r="AY91" s="69" t="n">
        <f aca="false">TblImps[[#This Row],[G1]]-TblProd[[#This Row],[Bank Gems]]</f>
        <v>0</v>
      </c>
      <c r="AZ91" s="132"/>
      <c r="BA91" s="33" t="n">
        <f aca="false">IF(TblProd[[#This Row],[Set Guard]]&lt;&gt;"",TblProd[[#This Row],[Set Guard]],OFFSET(TblProd[[#This Row],[Guard]],-1,0))</f>
        <v>0</v>
      </c>
      <c r="BB91" s="145"/>
      <c r="BC91" s="151" t="n">
        <f aca="false">TblProd[[#This Row],[Hour]]</f>
        <v>16</v>
      </c>
      <c r="BD91" s="152" t="n">
        <f aca="false">-TblProd[[#This Row],[Bank Lumber]] / 2 + -TblProd[[#This Row],[Bank Gems]] * 2 + -TblProd[[#This Row],[Bank Ore]] / 2</f>
        <v>0</v>
      </c>
      <c r="BE91" s="152"/>
      <c r="BF91" s="152"/>
      <c r="BG91" s="152"/>
      <c r="BH91" s="153" t="n">
        <f aca="false">TblProd[[#This Row],[Time]]</f>
        <v>45433.375</v>
      </c>
      <c r="BI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J91" s="69" t="n">
        <f aca="false">TblProd[[#This Row],[Platinum]]</f>
        <v>643688</v>
      </c>
      <c r="BK91" s="69" t="n">
        <f aca="false">TblProd[[#This Row],[Food]]</f>
        <v>383157</v>
      </c>
      <c r="BL91" s="69" t="n">
        <f aca="false">TblProd[[#This Row],[Lumber]]</f>
        <v>28246</v>
      </c>
      <c r="BM91" s="69" t="n">
        <f aca="false">TblProd[[#This Row],[Mana]]</f>
        <v>311602</v>
      </c>
      <c r="BN91" s="69" t="n">
        <f aca="false">TblProd[[#This Row],[Ore]]</f>
        <v>-357</v>
      </c>
    </row>
    <row r="92" customFormat="false" ht="12.75" hidden="false" customHeight="false" outlineLevel="0" collapsed="false">
      <c r="A92" s="128" t="n">
        <v>17</v>
      </c>
      <c r="B92" s="144" t="n">
        <f aca="false">TblImps[[#This Row],[Time]]</f>
        <v>45433.4166666667</v>
      </c>
      <c r="C92" s="145"/>
      <c r="D92" s="146"/>
      <c r="E92" s="69" t="n">
        <f aca="false">TblConstr[[#This Row],[Land]]</f>
        <v>700</v>
      </c>
      <c r="F92" s="69" t="n">
        <f aca="false">TblPop[[#This Row],[Peasants]]</f>
        <v>8590</v>
      </c>
      <c r="G92" s="69"/>
      <c r="H92" s="69" t="e">
        <f aca="false">TblMili[[#This Row],[Networth (2)]]</f>
        <v>#VALUE!</v>
      </c>
      <c r="I92" s="69" t="n">
        <f aca="false">OFFSET(TblProd[[#This Row],[Platinum]],-1,0)+OFFSET(TblProd[[#This Row],[Plat/hr]],-1,0) - TblProd[[#This Row],[Expenses Platinum]] + IF(TblProd[[#This Row],[Plat Bonus]],TblPop[[#This Row],[Peasants]]*4) + SUM(TblConstr[[#This Row],[Dest Hom]:[Dest Doc]])*TblConstr[[#This Row],[CPA Platinum -DB]]*tech_3_3_2*TblTech[[#This Row],[3-3]]</f>
        <v>687003</v>
      </c>
      <c r="J92" s="69" t="n">
        <f aca="false">OFFSET(TblProd[[#This Row],[Food]],-1,0)+OFFSET(TblProd[[#This Row],[Food/hr]],-1,0)+ROUNDUP((TblConstr[[#This Row],[Farms]]*80+TblConstr[[#This Row],[Docks]]*35)*(1+OFFSET(TblProd[[#This Row],[Bonus Food/hr]],-1,0)),0)</f>
        <v>379453</v>
      </c>
      <c r="K92" s="69" t="n">
        <f aca="false">OFFSET(TblProd[[#This Row],[Lumber]],-1,0)+OFFSET(TblProd[[#This Row],[Lumber/hr]],-1,0) - TblProd[[#This Row],[Expenses Lumber]] + SUM(TblConstr[[#This Row],[Dest Hom]:[Dest Doc]])*TblConstr[[#This Row],[CPA Lumber -DB]]*tech_3_3_2*TblTech[[#This Row],[3-3]]</f>
        <v>29089</v>
      </c>
      <c r="L92" s="69" t="n">
        <f aca="false">OFFSET(TblProd[[#This Row],[Mana]],-1,0)+OFFSET(TblProd[[#This Row],[Mana/hr]],-1,0)- TblProd[[#This Row],[Expenses Mana]]</f>
        <v>306095</v>
      </c>
      <c r="M92" s="69" t="n">
        <f aca="false">OFFSET(TblProd[[#This Row],[Ore]],-1,0)+OFFSET(TblProd[[#This Row],[Ore/hr]],-1,0) -TblProd[[#This Row],[Expenses Ore]]</f>
        <v>-357</v>
      </c>
      <c r="N92" s="69" t="n">
        <f aca="false">OFFSET(TblProd[[#This Row],[Gems]],-1,0)+OFFSET(TblProd[[#This Row],[Gems/hr]],-1,0) - TblProd[[#This Row],[Expenses Gems]]</f>
        <v>-1000</v>
      </c>
      <c r="O92" s="69" t="n">
        <f aca="false">OFFSET(TblProd[[#This Row],[Boats]],-1,0)+OFFSET(TblProd[[#This Row],[Boats/hr]],-1,0)</f>
        <v>47.45</v>
      </c>
      <c r="P92" s="69" t="n">
        <f aca="false">OFFSET(TblProd[[#This Row],[Prestige]],-1,0)</f>
        <v>250</v>
      </c>
      <c r="Q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2" s="69" t="n">
        <f aca="false">MAX(3750,_xlfn.CEILING.MATH(TblProd[[#This Row],[Land]]*2.5+OFFSET(TblTech[[#This Row],[Sum of tech]],-1,0)*150))</f>
        <v>3750</v>
      </c>
      <c r="S92" s="132"/>
      <c r="T92" s="69" t="n">
        <f aca="false">ROUNDDOWN(TblProd[[#This Row],[Raw Plat/hr]]*(1+TblProd[[#This Row],[Bonus Plat/hr]]),0)</f>
        <v>43057</v>
      </c>
      <c r="U92" s="69" t="n">
        <f aca="false">ROUND(TblProd[[#This Row],[Raw Food/hr]]*(1+TblProd[[#This Row],[Bonus Food/hr]])-TblProd[[#This Row],[Food decay]]-TblProd[[#This Row],[Food eaten]],0)</f>
        <v>-3667</v>
      </c>
      <c r="V92" s="69" t="n">
        <f aca="false">ROUND(TblProd[[#This Row],[Raw Lumber/hr]]*(1+TblProd[[#This Row],[Bonus Lumber/hr]])-TblProd[[#This Row],[Lumber rot]],0)</f>
        <v>834</v>
      </c>
      <c r="W92" s="69" t="n">
        <f aca="false">ROUND(TblProd[[#This Row],[Raw Mana/hr]]*(1+TblProd[[#This Row],[Bonus Mana/hr]])-TblProd[[#This Row],[Mana drain]],0)</f>
        <v>-5397</v>
      </c>
      <c r="X92" s="69" t="n">
        <f aca="false">ROUNDDOWN(TblProd[[#This Row],[Raw Ore/hr]]*(1+TblProd[[#This Row],[Bonux Ore/hr]]),0)</f>
        <v>0</v>
      </c>
      <c r="Y92" s="69" t="n">
        <f aca="false">ROUNDDOWN(TblProd[[#This Row],[Raw Gems/hr]]*(1+TblProd[[#This Row],[Bonus Gems/hr]]),0)</f>
        <v>0</v>
      </c>
      <c r="Z92" s="148" t="n">
        <f aca="false">OFFSET(TblConstr[[#This Row],[Tot Doc]],1,0)*dock_boats_hr * (1 + tech_4_1*TblTech[[#This Row],[4-1]])</f>
        <v>1.2</v>
      </c>
      <c r="AA92" s="146"/>
      <c r="AB92" s="69" t="n">
        <f aca="false">TblPop[[#This Row],[Peasants]]*tax*TblPop[[#This Row],[Employment]] + (Construction!AZ93+Construction!BX93)*(alch_plat+(Magic!AM92&gt;0)*alchemist_flame_bonus)</f>
        <v>39143</v>
      </c>
      <c r="AC92" s="69" t="n">
        <f aca="false">TblConstr[[#This Row],[Tot Farm]]*farm_food + TblConstr[[#This Row],[Tot Doc]]*dock_food</f>
        <v>3280</v>
      </c>
      <c r="AD92" s="69" t="n">
        <f aca="false">TblConstr[[#This Row],[Tot Ly]]*ly_lumber + TblConstr[[#This Row],[Tot Hav]]*fh_lumber</f>
        <v>1250</v>
      </c>
      <c r="AE92" s="69" t="n">
        <f aca="false">OFFSET(TblConstr[[#This Row],[Tot Tow]],1,0)*(tower_mana + tech_4_5*TblTech[[#This Row],[4-5]]) + OFFSET(TblConstr[[#This Row],[Tot WG]],1,0)*wg_mana_prod</f>
        <v>725</v>
      </c>
      <c r="AF92" s="69" t="n">
        <f aca="false">OFFSET(TblConstr[[#This Row],[Tot OM]],1,0)*om_ore+IF(race="Dwarf",ROUNDDOWN(TblMili[[#This Row],[Unit 2]]*0.4,0),)</f>
        <v>0</v>
      </c>
      <c r="AG92" s="69" t="n">
        <f aca="false">OFFSET(TblConstr[[#This Row],[Tot DM]],1,0)*dm_gems</f>
        <v>0</v>
      </c>
      <c r="AH92" s="132"/>
      <c r="AI92" s="149" t="n">
        <f aca="false">MIN(race_platinum_bonus + IF(TblMagic[[#This Row],[Active Alch Frost]]&gt;0,alch_frost_bonus,IF(Magic!AD92&gt;0,midas_bonus)) + TblImps[[#This Row],[Science]] - TblProd[[#This Row],[Guard]]*(0.02 + tech_5_7*TblTech[[#This Row],[5-7]]) + tech_1_5*TblTech[[#This Row],[1-5]] + tech_4_4*TblTech[[#This Row],[4-4]], 0.5)</f>
        <v>0.1</v>
      </c>
      <c r="AJ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2" s="149" t="n">
        <f aca="false">race_lumber_bonus+ IF(TblMagic[[#This Row],[Active Gaia''s Blessing]]&gt;0,gaias_blessing_lumber)+ tech_1_3*TblTech[[#This Row],[1-3]] + tech_1_6*TblTech[[#This Row],[1-6]] + tech_3_3*TblTech[[#This Row],[3-3]]</f>
        <v>-0.1</v>
      </c>
      <c r="AL92" s="149" t="n">
        <f aca="false">race_mana_bonus+ 0 + TblImps[[#This Row],[Towers]] + tech_1_2*TblTech[[#This Row],[1-2]] + tech_3_4*TblTech[[#This Row],[3-4]]</f>
        <v>0</v>
      </c>
      <c r="AM92" s="149" t="n">
        <f aca="false">race_ore_bonus + IF(TblMagic[[#This Row],[Active Miner''s Sight]]&gt;0,miners_sight_bonus,IF(TblMagic[[#This Row],[Active Mining Strength]]&gt;0,mining_strength_bonus)) +  tech_1_6*TblTech[[#This Row],[1-6]]</f>
        <v>0</v>
      </c>
      <c r="AN92" s="149" t="n">
        <f aca="false">race_gem_bonus+ tech_3_2*TblTech[[#This Row],[3-2]] + tech_4_3*TblTech[[#This Row],[4-3]] + tech_6_2*TblTech[[#This Row],[6-2]]</f>
        <v>0.15</v>
      </c>
      <c r="AO92" s="132"/>
      <c r="AP92" s="69" t="n">
        <f aca="false">TblProd[[#This Row],[Food]]*food_decay * (1 + tech_2_1*TblTech[[#This Row],[2-1]] + tech_2_8*TblTech[[#This Row],[2-8]])</f>
        <v>3794.53</v>
      </c>
      <c r="AQ92" s="69" t="n">
        <f aca="false">(1+race_food_consumption)*TblPop[[#This Row],[Total]]*food_per_person*(1+tech_1_10*TblTech[[#This Row],[1-10]]+tech_7_5*TblTech[[#This Row],[7-5]])</f>
        <v>3234.75</v>
      </c>
      <c r="AR92" s="69" t="n">
        <f aca="false">TblProd[[#This Row],[Lumber]]*lumber_rot * (1 + tech_2_1*TblTech[[#This Row],[2-1]] + tech_2_8*TblTech[[#This Row],[2-8]] + tech_5_2*TblTech[[#This Row],[5-2]])</f>
        <v>290.89</v>
      </c>
      <c r="AS92" s="69" t="n">
        <f aca="false">TblProd[[#This Row],[Mana]]*mana_drain * (1 + tech_2_1*TblTech[[#This Row],[2-1]] + tech_2_8*TblTech[[#This Row],[2-8]])</f>
        <v>6121.9</v>
      </c>
      <c r="AT92" s="146"/>
      <c r="AU92" s="69" t="n">
        <f aca="false">TblExplore[[#This Row],[Platinum (2)]]+TblConstr[[#This Row],[Total Plat Cost]]+TblMili[[#This Row],[Plat Cost]]+TblRezone[[#This Row],[Platinum cost]]+TblImps[[#This Row],[P1]]-TblProd[[#This Row],[Bank Plat]]</f>
        <v>0</v>
      </c>
      <c r="AV92" s="69" t="n">
        <f aca="false">TblConstr[[#This Row],[Total Lum Cost]]+TblImps[[#This Row],[L1]]-TblProd[[#This Row],[Bank Lumber]] + Military!$CL$25*TblMili[[#This Row],[Sec. rec. Cost]]</f>
        <v>0</v>
      </c>
      <c r="AW92" s="69" t="n">
        <f aca="false">TblMagic[[#This Row],[Mana cost]] + Military!$CL$26*TblMili[[#This Row],[Sec. rec. Cost]]</f>
        <v>0</v>
      </c>
      <c r="AX92" s="69" t="n">
        <f aca="false">Military!$CL$24*TblMili[[#This Row],[Sec. rec. Cost]]+TblImps[[#This Row],[O1]]-TblProd[[#This Row],[Bank Ore]]</f>
        <v>0</v>
      </c>
      <c r="AY92" s="69" t="n">
        <f aca="false">TblImps[[#This Row],[G1]]-TblProd[[#This Row],[Bank Gems]]</f>
        <v>0</v>
      </c>
      <c r="AZ92" s="132"/>
      <c r="BA92" s="33" t="n">
        <f aca="false">IF(TblProd[[#This Row],[Set Guard]]&lt;&gt;"",TblProd[[#This Row],[Set Guard]],OFFSET(TblProd[[#This Row],[Guard]],-1,0))</f>
        <v>0</v>
      </c>
      <c r="BB92" s="145"/>
      <c r="BC92" s="151" t="n">
        <f aca="false">TblProd[[#This Row],[Hour]]</f>
        <v>17</v>
      </c>
      <c r="BD92" s="152" t="n">
        <f aca="false">-TblProd[[#This Row],[Bank Lumber]] / 2 + -TblProd[[#This Row],[Bank Gems]] * 2 + -TblProd[[#This Row],[Bank Ore]] / 2</f>
        <v>0</v>
      </c>
      <c r="BE92" s="152"/>
      <c r="BF92" s="152"/>
      <c r="BG92" s="152"/>
      <c r="BH92" s="153" t="n">
        <f aca="false">TblProd[[#This Row],[Time]]</f>
        <v>45433.4166666667</v>
      </c>
      <c r="BI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J92" s="69" t="n">
        <f aca="false">TblProd[[#This Row],[Platinum]]</f>
        <v>687003</v>
      </c>
      <c r="BK92" s="69" t="n">
        <f aca="false">TblProd[[#This Row],[Food]]</f>
        <v>379453</v>
      </c>
      <c r="BL92" s="69" t="n">
        <f aca="false">TblProd[[#This Row],[Lumber]]</f>
        <v>29089</v>
      </c>
      <c r="BM92" s="69" t="n">
        <f aca="false">TblProd[[#This Row],[Mana]]</f>
        <v>306095</v>
      </c>
      <c r="BN92" s="69" t="n">
        <f aca="false">TblProd[[#This Row],[Ore]]</f>
        <v>-357</v>
      </c>
    </row>
    <row r="93" customFormat="false" ht="12.75" hidden="false" customHeight="false" outlineLevel="0" collapsed="false">
      <c r="A93" s="128" t="n">
        <v>18</v>
      </c>
      <c r="B93" s="144" t="n">
        <f aca="false">TblImps[[#This Row],[Time]]</f>
        <v>45433.4583333333</v>
      </c>
      <c r="C93" s="145"/>
      <c r="D93" s="146"/>
      <c r="E93" s="69" t="n">
        <f aca="false">TblConstr[[#This Row],[Land]]</f>
        <v>700</v>
      </c>
      <c r="F93" s="69" t="n">
        <f aca="false">TblPop[[#This Row],[Peasants]]</f>
        <v>8504</v>
      </c>
      <c r="G93" s="69"/>
      <c r="H93" s="69" t="e">
        <f aca="false">TblMili[[#This Row],[Networth (2)]]</f>
        <v>#VALUE!</v>
      </c>
      <c r="I93" s="69" t="n">
        <f aca="false">OFFSET(TblProd[[#This Row],[Platinum]],-1,0)+OFFSET(TblProd[[#This Row],[Plat/hr]],-1,0) - TblProd[[#This Row],[Expenses Platinum]] + IF(TblProd[[#This Row],[Plat Bonus]],TblPop[[#This Row],[Peasants]]*4) + SUM(TblConstr[[#This Row],[Dest Hom]:[Dest Doc]])*TblConstr[[#This Row],[CPA Platinum -DB]]*tech_3_3_2*TblTech[[#This Row],[3-3]]</f>
        <v>730060</v>
      </c>
      <c r="J93" s="69" t="n">
        <f aca="false">OFFSET(TblProd[[#This Row],[Food]],-1,0)+OFFSET(TblProd[[#This Row],[Food/hr]],-1,0)+ROUNDUP((TblConstr[[#This Row],[Farms]]*80+TblConstr[[#This Row],[Docks]]*35)*(1+OFFSET(TblProd[[#This Row],[Bonus Food/hr]],-1,0)),0)</f>
        <v>375786</v>
      </c>
      <c r="K93" s="69" t="n">
        <f aca="false">OFFSET(TblProd[[#This Row],[Lumber]],-1,0)+OFFSET(TblProd[[#This Row],[Lumber/hr]],-1,0) - TblProd[[#This Row],[Expenses Lumber]] + SUM(TblConstr[[#This Row],[Dest Hom]:[Dest Doc]])*TblConstr[[#This Row],[CPA Lumber -DB]]*tech_3_3_2*TblTech[[#This Row],[3-3]]</f>
        <v>29923</v>
      </c>
      <c r="L93" s="69" t="n">
        <f aca="false">OFFSET(TblProd[[#This Row],[Mana]],-1,0)+OFFSET(TblProd[[#This Row],[Mana/hr]],-1,0)- TblProd[[#This Row],[Expenses Mana]]</f>
        <v>300698</v>
      </c>
      <c r="M93" s="69" t="n">
        <f aca="false">OFFSET(TblProd[[#This Row],[Ore]],-1,0)+OFFSET(TblProd[[#This Row],[Ore/hr]],-1,0) -TblProd[[#This Row],[Expenses Ore]]</f>
        <v>-357</v>
      </c>
      <c r="N93" s="69" t="n">
        <f aca="false">OFFSET(TblProd[[#This Row],[Gems]],-1,0)+OFFSET(TblProd[[#This Row],[Gems/hr]],-1,0) - TblProd[[#This Row],[Expenses Gems]]</f>
        <v>-1000</v>
      </c>
      <c r="O93" s="69" t="n">
        <f aca="false">OFFSET(TblProd[[#This Row],[Boats]],-1,0)+OFFSET(TblProd[[#This Row],[Boats/hr]],-1,0)</f>
        <v>48.65</v>
      </c>
      <c r="P93" s="69" t="n">
        <f aca="false">OFFSET(TblProd[[#This Row],[Prestige]],-1,0)</f>
        <v>250</v>
      </c>
      <c r="Q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3" s="69" t="n">
        <f aca="false">MAX(3750,_xlfn.CEILING.MATH(TblProd[[#This Row],[Land]]*2.5+OFFSET(TblTech[[#This Row],[Sum of tech]],-1,0)*150))</f>
        <v>3750</v>
      </c>
      <c r="S93" s="132"/>
      <c r="T93" s="69" t="n">
        <f aca="false">ROUNDDOWN(TblProd[[#This Row],[Raw Plat/hr]]*(1+TblProd[[#This Row],[Bonus Plat/hr]]),0)</f>
        <v>42801</v>
      </c>
      <c r="U93" s="69" t="n">
        <f aca="false">ROUND(TblProd[[#This Row],[Raw Food/hr]]*(1+TblProd[[#This Row],[Bonus Food/hr]])-TblProd[[#This Row],[Food decay]]-TblProd[[#This Row],[Food eaten]],0)</f>
        <v>-3631</v>
      </c>
      <c r="V93" s="69" t="n">
        <f aca="false">ROUND(TblProd[[#This Row],[Raw Lumber/hr]]*(1+TblProd[[#This Row],[Bonus Lumber/hr]])-TblProd[[#This Row],[Lumber rot]],0)</f>
        <v>826</v>
      </c>
      <c r="W93" s="69" t="n">
        <f aca="false">ROUND(TblProd[[#This Row],[Raw Mana/hr]]*(1+TblProd[[#This Row],[Bonus Mana/hr]])-TblProd[[#This Row],[Mana drain]],0)</f>
        <v>-5289</v>
      </c>
      <c r="X93" s="69" t="n">
        <f aca="false">ROUNDDOWN(TblProd[[#This Row],[Raw Ore/hr]]*(1+TblProd[[#This Row],[Bonux Ore/hr]]),0)</f>
        <v>0</v>
      </c>
      <c r="Y93" s="69" t="n">
        <f aca="false">ROUNDDOWN(TblProd[[#This Row],[Raw Gems/hr]]*(1+TblProd[[#This Row],[Bonus Gems/hr]]),0)</f>
        <v>0</v>
      </c>
      <c r="Z93" s="148" t="n">
        <f aca="false">OFFSET(TblConstr[[#This Row],[Tot Doc]],1,0)*dock_boats_hr * (1 + tech_4_1*TblTech[[#This Row],[4-1]])</f>
        <v>1.2</v>
      </c>
      <c r="AA93" s="146"/>
      <c r="AB93" s="69" t="n">
        <f aca="false">TblPop[[#This Row],[Peasants]]*tax*TblPop[[#This Row],[Employment]] + (Construction!AZ94+Construction!BX94)*(alch_plat+(Magic!AM93&gt;0)*alchemist_flame_bonus)</f>
        <v>38910.8</v>
      </c>
      <c r="AC93" s="69" t="n">
        <f aca="false">TblConstr[[#This Row],[Tot Farm]]*farm_food + TblConstr[[#This Row],[Tot Doc]]*dock_food</f>
        <v>3280</v>
      </c>
      <c r="AD93" s="69" t="n">
        <f aca="false">TblConstr[[#This Row],[Tot Ly]]*ly_lumber + TblConstr[[#This Row],[Tot Hav]]*fh_lumber</f>
        <v>1250</v>
      </c>
      <c r="AE93" s="69" t="n">
        <f aca="false">OFFSET(TblConstr[[#This Row],[Tot Tow]],1,0)*(tower_mana + tech_4_5*TblTech[[#This Row],[4-5]]) + OFFSET(TblConstr[[#This Row],[Tot WG]],1,0)*wg_mana_prod</f>
        <v>725</v>
      </c>
      <c r="AF93" s="69" t="n">
        <f aca="false">OFFSET(TblConstr[[#This Row],[Tot OM]],1,0)*om_ore+IF(race="Dwarf",ROUNDDOWN(TblMili[[#This Row],[Unit 2]]*0.4,0),)</f>
        <v>0</v>
      </c>
      <c r="AG93" s="69" t="n">
        <f aca="false">OFFSET(TblConstr[[#This Row],[Tot DM]],1,0)*dm_gems</f>
        <v>0</v>
      </c>
      <c r="AH93" s="132"/>
      <c r="AI93" s="149" t="n">
        <f aca="false">MIN(race_platinum_bonus + IF(TblMagic[[#This Row],[Active Alch Frost]]&gt;0,alch_frost_bonus,IF(Magic!AD93&gt;0,midas_bonus)) + TblImps[[#This Row],[Science]] - TblProd[[#This Row],[Guard]]*(0.02 + tech_5_7*TblTech[[#This Row],[5-7]]) + tech_1_5*TblTech[[#This Row],[1-5]] + tech_4_4*TblTech[[#This Row],[4-4]], 0.5)</f>
        <v>0.1</v>
      </c>
      <c r="AJ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3" s="149" t="n">
        <f aca="false">race_lumber_bonus+ IF(TblMagic[[#This Row],[Active Gaia''s Blessing]]&gt;0,gaias_blessing_lumber)+ tech_1_3*TblTech[[#This Row],[1-3]] + tech_1_6*TblTech[[#This Row],[1-6]] + tech_3_3*TblTech[[#This Row],[3-3]]</f>
        <v>-0.1</v>
      </c>
      <c r="AL93" s="149" t="n">
        <f aca="false">race_mana_bonus+ 0 + TblImps[[#This Row],[Towers]] + tech_1_2*TblTech[[#This Row],[1-2]] + tech_3_4*TblTech[[#This Row],[3-4]]</f>
        <v>0</v>
      </c>
      <c r="AM93" s="149" t="n">
        <f aca="false">race_ore_bonus + IF(TblMagic[[#This Row],[Active Miner''s Sight]]&gt;0,miners_sight_bonus,IF(TblMagic[[#This Row],[Active Mining Strength]]&gt;0,mining_strength_bonus)) +  tech_1_6*TblTech[[#This Row],[1-6]]</f>
        <v>0</v>
      </c>
      <c r="AN93" s="149" t="n">
        <f aca="false">race_gem_bonus+ tech_3_2*TblTech[[#This Row],[3-2]] + tech_4_3*TblTech[[#This Row],[4-3]] + tech_6_2*TblTech[[#This Row],[6-2]]</f>
        <v>0.15</v>
      </c>
      <c r="AO93" s="132"/>
      <c r="AP93" s="69" t="n">
        <f aca="false">TblProd[[#This Row],[Food]]*food_decay * (1 + tech_2_1*TblTech[[#This Row],[2-1]] + tech_2_8*TblTech[[#This Row],[2-8]])</f>
        <v>3757.86</v>
      </c>
      <c r="AQ93" s="69" t="n">
        <f aca="false">(1+race_food_consumption)*TblPop[[#This Row],[Total]]*food_per_person*(1+tech_1_10*TblTech[[#This Row],[1-10]]+tech_7_5*TblTech[[#This Row],[7-5]])</f>
        <v>3234.75</v>
      </c>
      <c r="AR93" s="69" t="n">
        <f aca="false">TblProd[[#This Row],[Lumber]]*lumber_rot * (1 + tech_2_1*TblTech[[#This Row],[2-1]] + tech_2_8*TblTech[[#This Row],[2-8]] + tech_5_2*TblTech[[#This Row],[5-2]])</f>
        <v>299.23</v>
      </c>
      <c r="AS93" s="69" t="n">
        <f aca="false">TblProd[[#This Row],[Mana]]*mana_drain * (1 + tech_2_1*TblTech[[#This Row],[2-1]] + tech_2_8*TblTech[[#This Row],[2-8]])</f>
        <v>6013.96</v>
      </c>
      <c r="AT93" s="146"/>
      <c r="AU93" s="69" t="n">
        <f aca="false">TblExplore[[#This Row],[Platinum (2)]]+TblConstr[[#This Row],[Total Plat Cost]]+TblMili[[#This Row],[Plat Cost]]+TblRezone[[#This Row],[Platinum cost]]+TblImps[[#This Row],[P1]]-TblProd[[#This Row],[Bank Plat]]</f>
        <v>0</v>
      </c>
      <c r="AV93" s="69" t="n">
        <f aca="false">TblConstr[[#This Row],[Total Lum Cost]]+TblImps[[#This Row],[L1]]-TblProd[[#This Row],[Bank Lumber]] + Military!$CL$25*TblMili[[#This Row],[Sec. rec. Cost]]</f>
        <v>0</v>
      </c>
      <c r="AW93" s="69" t="n">
        <f aca="false">TblMagic[[#This Row],[Mana cost]] + Military!$CL$26*TblMili[[#This Row],[Sec. rec. Cost]]</f>
        <v>0</v>
      </c>
      <c r="AX93" s="69" t="n">
        <f aca="false">Military!$CL$24*TblMili[[#This Row],[Sec. rec. Cost]]+TblImps[[#This Row],[O1]]-TblProd[[#This Row],[Bank Ore]]</f>
        <v>0</v>
      </c>
      <c r="AY93" s="69" t="n">
        <f aca="false">TblImps[[#This Row],[G1]]-TblProd[[#This Row],[Bank Gems]]</f>
        <v>0</v>
      </c>
      <c r="AZ93" s="132"/>
      <c r="BA93" s="33" t="n">
        <f aca="false">IF(TblProd[[#This Row],[Set Guard]]&lt;&gt;"",TblProd[[#This Row],[Set Guard]],OFFSET(TblProd[[#This Row],[Guard]],-1,0))</f>
        <v>0</v>
      </c>
      <c r="BB93" s="145"/>
      <c r="BC93" s="151" t="n">
        <f aca="false">TblProd[[#This Row],[Hour]]</f>
        <v>18</v>
      </c>
      <c r="BD93" s="152" t="n">
        <f aca="false">-TblProd[[#This Row],[Bank Lumber]] / 2 + -TblProd[[#This Row],[Bank Gems]] * 2 + -TblProd[[#This Row],[Bank Ore]] / 2</f>
        <v>0</v>
      </c>
      <c r="BE93" s="152"/>
      <c r="BF93" s="152"/>
      <c r="BG93" s="152"/>
      <c r="BH93" s="153" t="n">
        <f aca="false">TblProd[[#This Row],[Time]]</f>
        <v>45433.4583333333</v>
      </c>
      <c r="BI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J93" s="69" t="n">
        <f aca="false">TblProd[[#This Row],[Platinum]]</f>
        <v>730060</v>
      </c>
      <c r="BK93" s="69" t="n">
        <f aca="false">TblProd[[#This Row],[Food]]</f>
        <v>375786</v>
      </c>
      <c r="BL93" s="69" t="n">
        <f aca="false">TblProd[[#This Row],[Lumber]]</f>
        <v>29923</v>
      </c>
      <c r="BM93" s="69" t="n">
        <f aca="false">TblProd[[#This Row],[Mana]]</f>
        <v>300698</v>
      </c>
      <c r="BN93" s="69" t="n">
        <f aca="false">TblProd[[#This Row],[Ore]]</f>
        <v>-357</v>
      </c>
    </row>
    <row r="94" customFormat="false" ht="12.75" hidden="false" customHeight="false" outlineLevel="0" collapsed="false">
      <c r="A94" s="128" t="n">
        <v>19</v>
      </c>
      <c r="B94" s="144" t="n">
        <f aca="false">TblImps[[#This Row],[Time]]</f>
        <v>45433.5</v>
      </c>
      <c r="C94" s="145"/>
      <c r="D94" s="146"/>
      <c r="E94" s="69" t="n">
        <f aca="false">TblConstr[[#This Row],[Land]]</f>
        <v>700</v>
      </c>
      <c r="F94" s="69" t="n">
        <f aca="false">TblPop[[#This Row],[Peasants]]</f>
        <v>8419</v>
      </c>
      <c r="G94" s="69"/>
      <c r="H94" s="69" t="e">
        <f aca="false">TblMili[[#This Row],[Networth (2)]]</f>
        <v>#VALUE!</v>
      </c>
      <c r="I94" s="69" t="n">
        <f aca="false">OFFSET(TblProd[[#This Row],[Platinum]],-1,0)+OFFSET(TblProd[[#This Row],[Plat/hr]],-1,0) - TblProd[[#This Row],[Expenses Platinum]] + IF(TblProd[[#This Row],[Plat Bonus]],TblPop[[#This Row],[Peasants]]*4) + SUM(TblConstr[[#This Row],[Dest Hom]:[Dest Doc]])*TblConstr[[#This Row],[CPA Platinum -DB]]*tech_3_3_2*TblTech[[#This Row],[3-3]]</f>
        <v>772861</v>
      </c>
      <c r="J94" s="69" t="n">
        <f aca="false">OFFSET(TblProd[[#This Row],[Food]],-1,0)+OFFSET(TblProd[[#This Row],[Food/hr]],-1,0)+ROUNDUP((TblConstr[[#This Row],[Farms]]*80+TblConstr[[#This Row],[Docks]]*35)*(1+OFFSET(TblProd[[#This Row],[Bonus Food/hr]],-1,0)),0)</f>
        <v>372155</v>
      </c>
      <c r="K94" s="69" t="n">
        <f aca="false">OFFSET(TblProd[[#This Row],[Lumber]],-1,0)+OFFSET(TblProd[[#This Row],[Lumber/hr]],-1,0) - TblProd[[#This Row],[Expenses Lumber]] + SUM(TblConstr[[#This Row],[Dest Hom]:[Dest Doc]])*TblConstr[[#This Row],[CPA Lumber -DB]]*tech_3_3_2*TblTech[[#This Row],[3-3]]</f>
        <v>30749</v>
      </c>
      <c r="L94" s="69" t="n">
        <f aca="false">OFFSET(TblProd[[#This Row],[Mana]],-1,0)+OFFSET(TblProd[[#This Row],[Mana/hr]],-1,0)- TblProd[[#This Row],[Expenses Mana]]</f>
        <v>295409</v>
      </c>
      <c r="M94" s="69" t="n">
        <f aca="false">OFFSET(TblProd[[#This Row],[Ore]],-1,0)+OFFSET(TblProd[[#This Row],[Ore/hr]],-1,0) -TblProd[[#This Row],[Expenses Ore]]</f>
        <v>-357</v>
      </c>
      <c r="N94" s="69" t="n">
        <f aca="false">OFFSET(TblProd[[#This Row],[Gems]],-1,0)+OFFSET(TblProd[[#This Row],[Gems/hr]],-1,0) - TblProd[[#This Row],[Expenses Gems]]</f>
        <v>-1000</v>
      </c>
      <c r="O94" s="69" t="n">
        <f aca="false">OFFSET(TblProd[[#This Row],[Boats]],-1,0)+OFFSET(TblProd[[#This Row],[Boats/hr]],-1,0)</f>
        <v>49.85</v>
      </c>
      <c r="P94" s="69" t="n">
        <f aca="false">OFFSET(TblProd[[#This Row],[Prestige]],-1,0)</f>
        <v>250</v>
      </c>
      <c r="Q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4" s="69" t="n">
        <f aca="false">MAX(3750,_xlfn.CEILING.MATH(TblProd[[#This Row],[Land]]*2.5+OFFSET(TblTech[[#This Row],[Sum of tech]],-1,0)*150))</f>
        <v>3750</v>
      </c>
      <c r="S94" s="132"/>
      <c r="T94" s="69" t="n">
        <f aca="false">ROUNDDOWN(TblProd[[#This Row],[Raw Plat/hr]]*(1+TblProd[[#This Row],[Bonus Plat/hr]]),0)</f>
        <v>42549</v>
      </c>
      <c r="U94" s="69" t="n">
        <f aca="false">ROUND(TblProd[[#This Row],[Raw Food/hr]]*(1+TblProd[[#This Row],[Bonus Food/hr]])-TblProd[[#This Row],[Food decay]]-TblProd[[#This Row],[Food eaten]],0)</f>
        <v>-3594</v>
      </c>
      <c r="V94" s="69" t="n">
        <f aca="false">ROUND(TblProd[[#This Row],[Raw Lumber/hr]]*(1+TblProd[[#This Row],[Bonus Lumber/hr]])-TblProd[[#This Row],[Lumber rot]],0)</f>
        <v>818</v>
      </c>
      <c r="W94" s="69" t="n">
        <f aca="false">ROUND(TblProd[[#This Row],[Raw Mana/hr]]*(1+TblProd[[#This Row],[Bonus Mana/hr]])-TblProd[[#This Row],[Mana drain]],0)</f>
        <v>-5183</v>
      </c>
      <c r="X94" s="69" t="n">
        <f aca="false">ROUNDDOWN(TblProd[[#This Row],[Raw Ore/hr]]*(1+TblProd[[#This Row],[Bonux Ore/hr]]),0)</f>
        <v>0</v>
      </c>
      <c r="Y94" s="69" t="n">
        <f aca="false">ROUNDDOWN(TblProd[[#This Row],[Raw Gems/hr]]*(1+TblProd[[#This Row],[Bonus Gems/hr]]),0)</f>
        <v>0</v>
      </c>
      <c r="Z94" s="148" t="n">
        <f aca="false">OFFSET(TblConstr[[#This Row],[Tot Doc]],1,0)*dock_boats_hr * (1 + tech_4_1*TblTech[[#This Row],[4-1]])</f>
        <v>1.2</v>
      </c>
      <c r="AA94" s="146"/>
      <c r="AB94" s="69" t="n">
        <f aca="false">TblPop[[#This Row],[Peasants]]*tax*TblPop[[#This Row],[Employment]] + (Construction!AZ95+Construction!BX95)*(alch_plat+(Magic!AM94&gt;0)*alchemist_flame_bonus)</f>
        <v>38681.3</v>
      </c>
      <c r="AC94" s="69" t="n">
        <f aca="false">TblConstr[[#This Row],[Tot Farm]]*farm_food + TblConstr[[#This Row],[Tot Doc]]*dock_food</f>
        <v>3280</v>
      </c>
      <c r="AD94" s="69" t="n">
        <f aca="false">TblConstr[[#This Row],[Tot Ly]]*ly_lumber + TblConstr[[#This Row],[Tot Hav]]*fh_lumber</f>
        <v>1250</v>
      </c>
      <c r="AE94" s="69" t="n">
        <f aca="false">OFFSET(TblConstr[[#This Row],[Tot Tow]],1,0)*(tower_mana + tech_4_5*TblTech[[#This Row],[4-5]]) + OFFSET(TblConstr[[#This Row],[Tot WG]],1,0)*wg_mana_prod</f>
        <v>725</v>
      </c>
      <c r="AF94" s="69" t="n">
        <f aca="false">OFFSET(TblConstr[[#This Row],[Tot OM]],1,0)*om_ore+IF(race="Dwarf",ROUNDDOWN(TblMili[[#This Row],[Unit 2]]*0.4,0),)</f>
        <v>0</v>
      </c>
      <c r="AG94" s="69" t="n">
        <f aca="false">OFFSET(TblConstr[[#This Row],[Tot DM]],1,0)*dm_gems</f>
        <v>0</v>
      </c>
      <c r="AH94" s="132"/>
      <c r="AI94" s="149" t="n">
        <f aca="false">MIN(race_platinum_bonus + IF(TblMagic[[#This Row],[Active Alch Frost]]&gt;0,alch_frost_bonus,IF(Magic!AD94&gt;0,midas_bonus)) + TblImps[[#This Row],[Science]] - TblProd[[#This Row],[Guard]]*(0.02 + tech_5_7*TblTech[[#This Row],[5-7]]) + tech_1_5*TblTech[[#This Row],[1-5]] + tech_4_4*TblTech[[#This Row],[4-4]], 0.5)</f>
        <v>0.1</v>
      </c>
      <c r="AJ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4" s="149" t="n">
        <f aca="false">race_lumber_bonus+ IF(TblMagic[[#This Row],[Active Gaia''s Blessing]]&gt;0,gaias_blessing_lumber)+ tech_1_3*TblTech[[#This Row],[1-3]] + tech_1_6*TblTech[[#This Row],[1-6]] + tech_3_3*TblTech[[#This Row],[3-3]]</f>
        <v>-0.1</v>
      </c>
      <c r="AL94" s="149" t="n">
        <f aca="false">race_mana_bonus+ 0 + TblImps[[#This Row],[Towers]] + tech_1_2*TblTech[[#This Row],[1-2]] + tech_3_4*TblTech[[#This Row],[3-4]]</f>
        <v>0</v>
      </c>
      <c r="AM94" s="149" t="n">
        <f aca="false">race_ore_bonus + IF(TblMagic[[#This Row],[Active Miner''s Sight]]&gt;0,miners_sight_bonus,IF(TblMagic[[#This Row],[Active Mining Strength]]&gt;0,mining_strength_bonus)) +  tech_1_6*TblTech[[#This Row],[1-6]]</f>
        <v>0</v>
      </c>
      <c r="AN94" s="149" t="n">
        <f aca="false">race_gem_bonus+ tech_3_2*TblTech[[#This Row],[3-2]] + tech_4_3*TblTech[[#This Row],[4-3]] + tech_6_2*TblTech[[#This Row],[6-2]]</f>
        <v>0.15</v>
      </c>
      <c r="AO94" s="132"/>
      <c r="AP94" s="69" t="n">
        <f aca="false">TblProd[[#This Row],[Food]]*food_decay * (1 + tech_2_1*TblTech[[#This Row],[2-1]] + tech_2_8*TblTech[[#This Row],[2-8]])</f>
        <v>3721.55</v>
      </c>
      <c r="AQ94" s="69" t="n">
        <f aca="false">(1+race_food_consumption)*TblPop[[#This Row],[Total]]*food_per_person*(1+tech_1_10*TblTech[[#This Row],[1-10]]+tech_7_5*TblTech[[#This Row],[7-5]])</f>
        <v>3234.75</v>
      </c>
      <c r="AR94" s="69" t="n">
        <f aca="false">TblProd[[#This Row],[Lumber]]*lumber_rot * (1 + tech_2_1*TblTech[[#This Row],[2-1]] + tech_2_8*TblTech[[#This Row],[2-8]] + tech_5_2*TblTech[[#This Row],[5-2]])</f>
        <v>307.49</v>
      </c>
      <c r="AS94" s="69" t="n">
        <f aca="false">TblProd[[#This Row],[Mana]]*mana_drain * (1 + tech_2_1*TblTech[[#This Row],[2-1]] + tech_2_8*TblTech[[#This Row],[2-8]])</f>
        <v>5908.18</v>
      </c>
      <c r="AT94" s="146"/>
      <c r="AU94" s="69" t="n">
        <f aca="false">TblExplore[[#This Row],[Platinum (2)]]+TblConstr[[#This Row],[Total Plat Cost]]+TblMili[[#This Row],[Plat Cost]]+TblRezone[[#This Row],[Platinum cost]]+TblImps[[#This Row],[P1]]-TblProd[[#This Row],[Bank Plat]]</f>
        <v>0</v>
      </c>
      <c r="AV94" s="69" t="n">
        <f aca="false">TblConstr[[#This Row],[Total Lum Cost]]+TblImps[[#This Row],[L1]]-TblProd[[#This Row],[Bank Lumber]] + Military!$CL$25*TblMili[[#This Row],[Sec. rec. Cost]]</f>
        <v>0</v>
      </c>
      <c r="AW94" s="69" t="n">
        <f aca="false">TblMagic[[#This Row],[Mana cost]] + Military!$CL$26*TblMili[[#This Row],[Sec. rec. Cost]]</f>
        <v>0</v>
      </c>
      <c r="AX94" s="69" t="n">
        <f aca="false">Military!$CL$24*TblMili[[#This Row],[Sec. rec. Cost]]+TblImps[[#This Row],[O1]]-TblProd[[#This Row],[Bank Ore]]</f>
        <v>0</v>
      </c>
      <c r="AY94" s="69" t="n">
        <f aca="false">TblImps[[#This Row],[G1]]-TblProd[[#This Row],[Bank Gems]]</f>
        <v>0</v>
      </c>
      <c r="AZ94" s="132"/>
      <c r="BA94" s="33" t="n">
        <f aca="false">IF(TblProd[[#This Row],[Set Guard]]&lt;&gt;"",TblProd[[#This Row],[Set Guard]],OFFSET(TblProd[[#This Row],[Guard]],-1,0))</f>
        <v>0</v>
      </c>
      <c r="BB94" s="145"/>
      <c r="BC94" s="151" t="n">
        <f aca="false">TblProd[[#This Row],[Hour]]</f>
        <v>19</v>
      </c>
      <c r="BD94" s="152" t="n">
        <f aca="false">-TblProd[[#This Row],[Bank Lumber]] / 2 + -TblProd[[#This Row],[Bank Gems]] * 2 + -TblProd[[#This Row],[Bank Ore]] / 2</f>
        <v>0</v>
      </c>
      <c r="BE94" s="152"/>
      <c r="BF94" s="152"/>
      <c r="BG94" s="152"/>
      <c r="BH94" s="153" t="n">
        <f aca="false">TblProd[[#This Row],[Time]]</f>
        <v>45433.5</v>
      </c>
      <c r="BI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J94" s="69" t="n">
        <f aca="false">TblProd[[#This Row],[Platinum]]</f>
        <v>772861</v>
      </c>
      <c r="BK94" s="69" t="n">
        <f aca="false">TblProd[[#This Row],[Food]]</f>
        <v>372155</v>
      </c>
      <c r="BL94" s="69" t="n">
        <f aca="false">TblProd[[#This Row],[Lumber]]</f>
        <v>30749</v>
      </c>
      <c r="BM94" s="69" t="n">
        <f aca="false">TblProd[[#This Row],[Mana]]</f>
        <v>295409</v>
      </c>
      <c r="BN94" s="69" t="n">
        <f aca="false">TblProd[[#This Row],[Ore]]</f>
        <v>-357</v>
      </c>
    </row>
    <row r="95" customFormat="false" ht="12.75" hidden="false" customHeight="false" outlineLevel="0" collapsed="false">
      <c r="A95" s="128" t="n">
        <v>20</v>
      </c>
      <c r="B95" s="144" t="n">
        <f aca="false">TblImps[[#This Row],[Time]]</f>
        <v>45433.5416666667</v>
      </c>
      <c r="C95" s="145"/>
      <c r="D95" s="146"/>
      <c r="E95" s="69" t="n">
        <f aca="false">TblConstr[[#This Row],[Land]]</f>
        <v>700</v>
      </c>
      <c r="F95" s="69" t="n">
        <f aca="false">TblPop[[#This Row],[Peasants]]</f>
        <v>8335</v>
      </c>
      <c r="G95" s="69"/>
      <c r="H95" s="69" t="e">
        <f aca="false">TblMili[[#This Row],[Networth (2)]]</f>
        <v>#VALUE!</v>
      </c>
      <c r="I95" s="69" t="n">
        <f aca="false">OFFSET(TblProd[[#This Row],[Platinum]],-1,0)+OFFSET(TblProd[[#This Row],[Plat/hr]],-1,0) - TblProd[[#This Row],[Expenses Platinum]] + IF(TblProd[[#This Row],[Plat Bonus]],TblPop[[#This Row],[Peasants]]*4) + SUM(TblConstr[[#This Row],[Dest Hom]:[Dest Doc]])*TblConstr[[#This Row],[CPA Platinum -DB]]*tech_3_3_2*TblTech[[#This Row],[3-3]]</f>
        <v>815410</v>
      </c>
      <c r="J95" s="69" t="n">
        <f aca="false">OFFSET(TblProd[[#This Row],[Food]],-1,0)+OFFSET(TblProd[[#This Row],[Food/hr]],-1,0)+ROUNDUP((TblConstr[[#This Row],[Farms]]*80+TblConstr[[#This Row],[Docks]]*35)*(1+OFFSET(TblProd[[#This Row],[Bonus Food/hr]],-1,0)),0)</f>
        <v>368561</v>
      </c>
      <c r="K95" s="69" t="n">
        <f aca="false">OFFSET(TblProd[[#This Row],[Lumber]],-1,0)+OFFSET(TblProd[[#This Row],[Lumber/hr]],-1,0) - TblProd[[#This Row],[Expenses Lumber]] + SUM(TblConstr[[#This Row],[Dest Hom]:[Dest Doc]])*TblConstr[[#This Row],[CPA Lumber -DB]]*tech_3_3_2*TblTech[[#This Row],[3-3]]</f>
        <v>31567</v>
      </c>
      <c r="L95" s="69" t="n">
        <f aca="false">OFFSET(TblProd[[#This Row],[Mana]],-1,0)+OFFSET(TblProd[[#This Row],[Mana/hr]],-1,0)- TblProd[[#This Row],[Expenses Mana]]</f>
        <v>290226</v>
      </c>
      <c r="M95" s="69" t="n">
        <f aca="false">OFFSET(TblProd[[#This Row],[Ore]],-1,0)+OFFSET(TblProd[[#This Row],[Ore/hr]],-1,0) -TblProd[[#This Row],[Expenses Ore]]</f>
        <v>-357</v>
      </c>
      <c r="N95" s="69" t="n">
        <f aca="false">OFFSET(TblProd[[#This Row],[Gems]],-1,0)+OFFSET(TblProd[[#This Row],[Gems/hr]],-1,0) - TblProd[[#This Row],[Expenses Gems]]</f>
        <v>-1000</v>
      </c>
      <c r="O95" s="69" t="n">
        <f aca="false">OFFSET(TblProd[[#This Row],[Boats]],-1,0)+OFFSET(TblProd[[#This Row],[Boats/hr]],-1,0)</f>
        <v>51.05</v>
      </c>
      <c r="P95" s="69" t="n">
        <f aca="false">OFFSET(TblProd[[#This Row],[Prestige]],-1,0)</f>
        <v>250</v>
      </c>
      <c r="Q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5" s="69" t="n">
        <f aca="false">MAX(3750,_xlfn.CEILING.MATH(TblProd[[#This Row],[Land]]*2.5+OFFSET(TblTech[[#This Row],[Sum of tech]],-1,0)*150))</f>
        <v>3750</v>
      </c>
      <c r="S95" s="132"/>
      <c r="T95" s="69" t="n">
        <f aca="false">ROUNDDOWN(TblProd[[#This Row],[Raw Plat/hr]]*(1+TblProd[[#This Row],[Bonus Plat/hr]]),0)</f>
        <v>42299</v>
      </c>
      <c r="U95" s="69" t="n">
        <f aca="false">ROUND(TblProd[[#This Row],[Raw Food/hr]]*(1+TblProd[[#This Row],[Bonus Food/hr]])-TblProd[[#This Row],[Food decay]]-TblProd[[#This Row],[Food eaten]],0)</f>
        <v>-3558</v>
      </c>
      <c r="V95" s="69" t="n">
        <f aca="false">ROUND(TblProd[[#This Row],[Raw Lumber/hr]]*(1+TblProd[[#This Row],[Bonus Lumber/hr]])-TblProd[[#This Row],[Lumber rot]],0)</f>
        <v>809</v>
      </c>
      <c r="W95" s="69" t="n">
        <f aca="false">ROUND(TblProd[[#This Row],[Raw Mana/hr]]*(1+TblProd[[#This Row],[Bonus Mana/hr]])-TblProd[[#This Row],[Mana drain]],0)</f>
        <v>-5080</v>
      </c>
      <c r="X95" s="69" t="n">
        <f aca="false">ROUNDDOWN(TblProd[[#This Row],[Raw Ore/hr]]*(1+TblProd[[#This Row],[Bonux Ore/hr]]),0)</f>
        <v>0</v>
      </c>
      <c r="Y95" s="69" t="n">
        <f aca="false">ROUNDDOWN(TblProd[[#This Row],[Raw Gems/hr]]*(1+TblProd[[#This Row],[Bonus Gems/hr]]),0)</f>
        <v>0</v>
      </c>
      <c r="Z95" s="148" t="n">
        <f aca="false">OFFSET(TblConstr[[#This Row],[Tot Doc]],1,0)*dock_boats_hr * (1 + tech_4_1*TblTech[[#This Row],[4-1]])</f>
        <v>1.2</v>
      </c>
      <c r="AA95" s="146"/>
      <c r="AB95" s="69" t="n">
        <f aca="false">TblPop[[#This Row],[Peasants]]*tax*TblPop[[#This Row],[Employment]] + (Construction!AZ96+Construction!BX96)*(alch_plat+(Magic!AM95&gt;0)*alchemist_flame_bonus)</f>
        <v>38454.5</v>
      </c>
      <c r="AC95" s="69" t="n">
        <f aca="false">TblConstr[[#This Row],[Tot Farm]]*farm_food + TblConstr[[#This Row],[Tot Doc]]*dock_food</f>
        <v>3280</v>
      </c>
      <c r="AD95" s="69" t="n">
        <f aca="false">TblConstr[[#This Row],[Tot Ly]]*ly_lumber + TblConstr[[#This Row],[Tot Hav]]*fh_lumber</f>
        <v>1250</v>
      </c>
      <c r="AE95" s="69" t="n">
        <f aca="false">OFFSET(TblConstr[[#This Row],[Tot Tow]],1,0)*(tower_mana + tech_4_5*TblTech[[#This Row],[4-5]]) + OFFSET(TblConstr[[#This Row],[Tot WG]],1,0)*wg_mana_prod</f>
        <v>725</v>
      </c>
      <c r="AF95" s="69" t="n">
        <f aca="false">OFFSET(TblConstr[[#This Row],[Tot OM]],1,0)*om_ore+IF(race="Dwarf",ROUNDDOWN(TblMili[[#This Row],[Unit 2]]*0.4,0),)</f>
        <v>0</v>
      </c>
      <c r="AG95" s="69" t="n">
        <f aca="false">OFFSET(TblConstr[[#This Row],[Tot DM]],1,0)*dm_gems</f>
        <v>0</v>
      </c>
      <c r="AH95" s="132"/>
      <c r="AI95" s="149" t="n">
        <f aca="false">MIN(race_platinum_bonus + IF(TblMagic[[#This Row],[Active Alch Frost]]&gt;0,alch_frost_bonus,IF(Magic!AD95&gt;0,midas_bonus)) + TblImps[[#This Row],[Science]] - TblProd[[#This Row],[Guard]]*(0.02 + tech_5_7*TblTech[[#This Row],[5-7]]) + tech_1_5*TblTech[[#This Row],[1-5]] + tech_4_4*TblTech[[#This Row],[4-4]], 0.5)</f>
        <v>0.1</v>
      </c>
      <c r="AJ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5" s="149" t="n">
        <f aca="false">race_lumber_bonus+ IF(TblMagic[[#This Row],[Active Gaia''s Blessing]]&gt;0,gaias_blessing_lumber)+ tech_1_3*TblTech[[#This Row],[1-3]] + tech_1_6*TblTech[[#This Row],[1-6]] + tech_3_3*TblTech[[#This Row],[3-3]]</f>
        <v>-0.1</v>
      </c>
      <c r="AL95" s="149" t="n">
        <f aca="false">race_mana_bonus+ 0 + TblImps[[#This Row],[Towers]] + tech_1_2*TblTech[[#This Row],[1-2]] + tech_3_4*TblTech[[#This Row],[3-4]]</f>
        <v>0</v>
      </c>
      <c r="AM95" s="149" t="n">
        <f aca="false">race_ore_bonus + IF(TblMagic[[#This Row],[Active Miner''s Sight]]&gt;0,miners_sight_bonus,IF(TblMagic[[#This Row],[Active Mining Strength]]&gt;0,mining_strength_bonus)) +  tech_1_6*TblTech[[#This Row],[1-6]]</f>
        <v>0</v>
      </c>
      <c r="AN95" s="149" t="n">
        <f aca="false">race_gem_bonus+ tech_3_2*TblTech[[#This Row],[3-2]] + tech_4_3*TblTech[[#This Row],[4-3]] + tech_6_2*TblTech[[#This Row],[6-2]]</f>
        <v>0.15</v>
      </c>
      <c r="AO95" s="132"/>
      <c r="AP95" s="69" t="n">
        <f aca="false">TblProd[[#This Row],[Food]]*food_decay * (1 + tech_2_1*TblTech[[#This Row],[2-1]] + tech_2_8*TblTech[[#This Row],[2-8]])</f>
        <v>3685.61</v>
      </c>
      <c r="AQ95" s="69" t="n">
        <f aca="false">(1+race_food_consumption)*TblPop[[#This Row],[Total]]*food_per_person*(1+tech_1_10*TblTech[[#This Row],[1-10]]+tech_7_5*TblTech[[#This Row],[7-5]])</f>
        <v>3234.75</v>
      </c>
      <c r="AR95" s="69" t="n">
        <f aca="false">TblProd[[#This Row],[Lumber]]*lumber_rot * (1 + tech_2_1*TblTech[[#This Row],[2-1]] + tech_2_8*TblTech[[#This Row],[2-8]] + tech_5_2*TblTech[[#This Row],[5-2]])</f>
        <v>315.67</v>
      </c>
      <c r="AS95" s="69" t="n">
        <f aca="false">TblProd[[#This Row],[Mana]]*mana_drain * (1 + tech_2_1*TblTech[[#This Row],[2-1]] + tech_2_8*TblTech[[#This Row],[2-8]])</f>
        <v>5804.52</v>
      </c>
      <c r="AT95" s="146"/>
      <c r="AU95" s="69" t="n">
        <f aca="false">TblExplore[[#This Row],[Platinum (2)]]+TblConstr[[#This Row],[Total Plat Cost]]+TblMili[[#This Row],[Plat Cost]]+TblRezone[[#This Row],[Platinum cost]]+TblImps[[#This Row],[P1]]-TblProd[[#This Row],[Bank Plat]]</f>
        <v>0</v>
      </c>
      <c r="AV95" s="69" t="n">
        <f aca="false">TblConstr[[#This Row],[Total Lum Cost]]+TblImps[[#This Row],[L1]]-TblProd[[#This Row],[Bank Lumber]] + Military!$CL$25*TblMili[[#This Row],[Sec. rec. Cost]]</f>
        <v>0</v>
      </c>
      <c r="AW95" s="69" t="n">
        <f aca="false">TblMagic[[#This Row],[Mana cost]] + Military!$CL$26*TblMili[[#This Row],[Sec. rec. Cost]]</f>
        <v>0</v>
      </c>
      <c r="AX95" s="69" t="n">
        <f aca="false">Military!$CL$24*TblMili[[#This Row],[Sec. rec. Cost]]+TblImps[[#This Row],[O1]]-TblProd[[#This Row],[Bank Ore]]</f>
        <v>0</v>
      </c>
      <c r="AY95" s="69" t="n">
        <f aca="false">TblImps[[#This Row],[G1]]-TblProd[[#This Row],[Bank Gems]]</f>
        <v>0</v>
      </c>
      <c r="AZ95" s="132"/>
      <c r="BA95" s="33" t="n">
        <f aca="false">IF(TblProd[[#This Row],[Set Guard]]&lt;&gt;"",TblProd[[#This Row],[Set Guard]],OFFSET(TblProd[[#This Row],[Guard]],-1,0))</f>
        <v>0</v>
      </c>
      <c r="BB95" s="145"/>
      <c r="BC95" s="151" t="n">
        <f aca="false">TblProd[[#This Row],[Hour]]</f>
        <v>20</v>
      </c>
      <c r="BD95" s="152" t="n">
        <f aca="false">-TblProd[[#This Row],[Bank Lumber]] / 2 + -TblProd[[#This Row],[Bank Gems]] * 2 + -TblProd[[#This Row],[Bank Ore]] / 2</f>
        <v>0</v>
      </c>
      <c r="BE95" s="152"/>
      <c r="BF95" s="152"/>
      <c r="BG95" s="152"/>
      <c r="BH95" s="153" t="n">
        <f aca="false">TblProd[[#This Row],[Time]]</f>
        <v>45433.5416666667</v>
      </c>
      <c r="BI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J95" s="69" t="n">
        <f aca="false">TblProd[[#This Row],[Platinum]]</f>
        <v>815410</v>
      </c>
      <c r="BK95" s="69" t="n">
        <f aca="false">TblProd[[#This Row],[Food]]</f>
        <v>368561</v>
      </c>
      <c r="BL95" s="69" t="n">
        <f aca="false">TblProd[[#This Row],[Lumber]]</f>
        <v>31567</v>
      </c>
      <c r="BM95" s="69" t="n">
        <f aca="false">TblProd[[#This Row],[Mana]]</f>
        <v>290226</v>
      </c>
      <c r="BN95" s="69" t="n">
        <f aca="false">TblProd[[#This Row],[Ore]]</f>
        <v>-357</v>
      </c>
    </row>
    <row r="96" customFormat="false" ht="12.75" hidden="false" customHeight="false" outlineLevel="0" collapsed="false">
      <c r="A96" s="128" t="n">
        <v>21</v>
      </c>
      <c r="B96" s="144" t="n">
        <f aca="false">TblImps[[#This Row],[Time]]</f>
        <v>45433.5833333333</v>
      </c>
      <c r="C96" s="145"/>
      <c r="D96" s="146"/>
      <c r="E96" s="69" t="n">
        <f aca="false">TblConstr[[#This Row],[Land]]</f>
        <v>700</v>
      </c>
      <c r="F96" s="69" t="n">
        <f aca="false">TblPop[[#This Row],[Peasants]]</f>
        <v>8252</v>
      </c>
      <c r="G96" s="69"/>
      <c r="H96" s="69" t="e">
        <f aca="false">TblMili[[#This Row],[Networth (2)]]</f>
        <v>#VALUE!</v>
      </c>
      <c r="I96" s="69" t="n">
        <f aca="false">OFFSET(TblProd[[#This Row],[Platinum]],-1,0)+OFFSET(TblProd[[#This Row],[Plat/hr]],-1,0) - TblProd[[#This Row],[Expenses Platinum]] + IF(TblProd[[#This Row],[Plat Bonus]],TblPop[[#This Row],[Peasants]]*4) + SUM(TblConstr[[#This Row],[Dest Hom]:[Dest Doc]])*TblConstr[[#This Row],[CPA Platinum -DB]]*tech_3_3_2*TblTech[[#This Row],[3-3]]</f>
        <v>857709</v>
      </c>
      <c r="J96" s="69" t="n">
        <f aca="false">OFFSET(TblProd[[#This Row],[Food]],-1,0)+OFFSET(TblProd[[#This Row],[Food/hr]],-1,0)+ROUNDUP((TblConstr[[#This Row],[Farms]]*80+TblConstr[[#This Row],[Docks]]*35)*(1+OFFSET(TblProd[[#This Row],[Bonus Food/hr]],-1,0)),0)</f>
        <v>365003</v>
      </c>
      <c r="K96" s="69" t="n">
        <f aca="false">OFFSET(TblProd[[#This Row],[Lumber]],-1,0)+OFFSET(TblProd[[#This Row],[Lumber/hr]],-1,0) - TblProd[[#This Row],[Expenses Lumber]] + SUM(TblConstr[[#This Row],[Dest Hom]:[Dest Doc]])*TblConstr[[#This Row],[CPA Lumber -DB]]*tech_3_3_2*TblTech[[#This Row],[3-3]]</f>
        <v>32376</v>
      </c>
      <c r="L96" s="69" t="n">
        <f aca="false">OFFSET(TblProd[[#This Row],[Mana]],-1,0)+OFFSET(TblProd[[#This Row],[Mana/hr]],-1,0)- TblProd[[#This Row],[Expenses Mana]]</f>
        <v>285146</v>
      </c>
      <c r="M96" s="69" t="n">
        <f aca="false">OFFSET(TblProd[[#This Row],[Ore]],-1,0)+OFFSET(TblProd[[#This Row],[Ore/hr]],-1,0) -TblProd[[#This Row],[Expenses Ore]]</f>
        <v>-357</v>
      </c>
      <c r="N96" s="69" t="n">
        <f aca="false">OFFSET(TblProd[[#This Row],[Gems]],-1,0)+OFFSET(TblProd[[#This Row],[Gems/hr]],-1,0) - TblProd[[#This Row],[Expenses Gems]]</f>
        <v>-1000</v>
      </c>
      <c r="O96" s="69" t="n">
        <f aca="false">OFFSET(TblProd[[#This Row],[Boats]],-1,0)+OFFSET(TblProd[[#This Row],[Boats/hr]],-1,0)</f>
        <v>52.25</v>
      </c>
      <c r="P96" s="69" t="n">
        <f aca="false">OFFSET(TblProd[[#This Row],[Prestige]],-1,0)</f>
        <v>250</v>
      </c>
      <c r="Q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6" s="69" t="n">
        <f aca="false">MAX(3750,_xlfn.CEILING.MATH(TblProd[[#This Row],[Land]]*2.5+OFFSET(TblTech[[#This Row],[Sum of tech]],-1,0)*150))</f>
        <v>3750</v>
      </c>
      <c r="S96" s="132"/>
      <c r="T96" s="69" t="n">
        <f aca="false">ROUNDDOWN(TblProd[[#This Row],[Raw Plat/hr]]*(1+TblProd[[#This Row],[Bonus Plat/hr]]),0)</f>
        <v>42053</v>
      </c>
      <c r="U96" s="69" t="n">
        <f aca="false">ROUND(TblProd[[#This Row],[Raw Food/hr]]*(1+TblProd[[#This Row],[Bonus Food/hr]])-TblProd[[#This Row],[Food decay]]-TblProd[[#This Row],[Food eaten]],0)</f>
        <v>-3523</v>
      </c>
      <c r="V96" s="69" t="n">
        <f aca="false">ROUND(TblProd[[#This Row],[Raw Lumber/hr]]*(1+TblProd[[#This Row],[Bonus Lumber/hr]])-TblProd[[#This Row],[Lumber rot]],0)</f>
        <v>801</v>
      </c>
      <c r="W96" s="69" t="n">
        <f aca="false">ROUND(TblProd[[#This Row],[Raw Mana/hr]]*(1+TblProd[[#This Row],[Bonus Mana/hr]])-TblProd[[#This Row],[Mana drain]],0)</f>
        <v>-4978</v>
      </c>
      <c r="X96" s="69" t="n">
        <f aca="false">ROUNDDOWN(TblProd[[#This Row],[Raw Ore/hr]]*(1+TblProd[[#This Row],[Bonux Ore/hr]]),0)</f>
        <v>0</v>
      </c>
      <c r="Y96" s="69" t="n">
        <f aca="false">ROUNDDOWN(TblProd[[#This Row],[Raw Gems/hr]]*(1+TblProd[[#This Row],[Bonus Gems/hr]]),0)</f>
        <v>0</v>
      </c>
      <c r="Z96" s="148" t="n">
        <f aca="false">OFFSET(TblConstr[[#This Row],[Tot Doc]],1,0)*dock_boats_hr * (1 + tech_4_1*TblTech[[#This Row],[4-1]])</f>
        <v>1.2</v>
      </c>
      <c r="AA96" s="146"/>
      <c r="AB96" s="69" t="n">
        <f aca="false">TblPop[[#This Row],[Peasants]]*tax*TblPop[[#This Row],[Employment]] + (Construction!AZ97+Construction!BX97)*(alch_plat+(Magic!AM96&gt;0)*alchemist_flame_bonus)</f>
        <v>38230.4</v>
      </c>
      <c r="AC96" s="69" t="n">
        <f aca="false">TblConstr[[#This Row],[Tot Farm]]*farm_food + TblConstr[[#This Row],[Tot Doc]]*dock_food</f>
        <v>3280</v>
      </c>
      <c r="AD96" s="69" t="n">
        <f aca="false">TblConstr[[#This Row],[Tot Ly]]*ly_lumber + TblConstr[[#This Row],[Tot Hav]]*fh_lumber</f>
        <v>1250</v>
      </c>
      <c r="AE96" s="69" t="n">
        <f aca="false">OFFSET(TblConstr[[#This Row],[Tot Tow]],1,0)*(tower_mana + tech_4_5*TblTech[[#This Row],[4-5]]) + OFFSET(TblConstr[[#This Row],[Tot WG]],1,0)*wg_mana_prod</f>
        <v>725</v>
      </c>
      <c r="AF96" s="69" t="n">
        <f aca="false">OFFSET(TblConstr[[#This Row],[Tot OM]],1,0)*om_ore+IF(race="Dwarf",ROUNDDOWN(TblMili[[#This Row],[Unit 2]]*0.4,0),)</f>
        <v>0</v>
      </c>
      <c r="AG96" s="69" t="n">
        <f aca="false">OFFSET(TblConstr[[#This Row],[Tot DM]],1,0)*dm_gems</f>
        <v>0</v>
      </c>
      <c r="AH96" s="132"/>
      <c r="AI96" s="149" t="n">
        <f aca="false">MIN(race_platinum_bonus + IF(TblMagic[[#This Row],[Active Alch Frost]]&gt;0,alch_frost_bonus,IF(Magic!AD96&gt;0,midas_bonus)) + TblImps[[#This Row],[Science]] - TblProd[[#This Row],[Guard]]*(0.02 + tech_5_7*TblTech[[#This Row],[5-7]]) + tech_1_5*TblTech[[#This Row],[1-5]] + tech_4_4*TblTech[[#This Row],[4-4]], 0.5)</f>
        <v>0.1</v>
      </c>
      <c r="AJ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6" s="149" t="n">
        <f aca="false">race_lumber_bonus+ IF(TblMagic[[#This Row],[Active Gaia''s Blessing]]&gt;0,gaias_blessing_lumber)+ tech_1_3*TblTech[[#This Row],[1-3]] + tech_1_6*TblTech[[#This Row],[1-6]] + tech_3_3*TblTech[[#This Row],[3-3]]</f>
        <v>-0.1</v>
      </c>
      <c r="AL96" s="149" t="n">
        <f aca="false">race_mana_bonus+ 0 + TblImps[[#This Row],[Towers]] + tech_1_2*TblTech[[#This Row],[1-2]] + tech_3_4*TblTech[[#This Row],[3-4]]</f>
        <v>0</v>
      </c>
      <c r="AM96" s="149" t="n">
        <f aca="false">race_ore_bonus + IF(TblMagic[[#This Row],[Active Miner''s Sight]]&gt;0,miners_sight_bonus,IF(TblMagic[[#This Row],[Active Mining Strength]]&gt;0,mining_strength_bonus)) +  tech_1_6*TblTech[[#This Row],[1-6]]</f>
        <v>0</v>
      </c>
      <c r="AN96" s="149" t="n">
        <f aca="false">race_gem_bonus+ tech_3_2*TblTech[[#This Row],[3-2]] + tech_4_3*TblTech[[#This Row],[4-3]] + tech_6_2*TblTech[[#This Row],[6-2]]</f>
        <v>0.15</v>
      </c>
      <c r="AO96" s="132"/>
      <c r="AP96" s="69" t="n">
        <f aca="false">TblProd[[#This Row],[Food]]*food_decay * (1 + tech_2_1*TblTech[[#This Row],[2-1]] + tech_2_8*TblTech[[#This Row],[2-8]])</f>
        <v>3650.03</v>
      </c>
      <c r="AQ96" s="69" t="n">
        <f aca="false">(1+race_food_consumption)*TblPop[[#This Row],[Total]]*food_per_person*(1+tech_1_10*TblTech[[#This Row],[1-10]]+tech_7_5*TblTech[[#This Row],[7-5]])</f>
        <v>3234.75</v>
      </c>
      <c r="AR96" s="69" t="n">
        <f aca="false">TblProd[[#This Row],[Lumber]]*lumber_rot * (1 + tech_2_1*TblTech[[#This Row],[2-1]] + tech_2_8*TblTech[[#This Row],[2-8]] + tech_5_2*TblTech[[#This Row],[5-2]])</f>
        <v>323.76</v>
      </c>
      <c r="AS96" s="69" t="n">
        <f aca="false">TblProd[[#This Row],[Mana]]*mana_drain * (1 + tech_2_1*TblTech[[#This Row],[2-1]] + tech_2_8*TblTech[[#This Row],[2-8]])</f>
        <v>5702.92</v>
      </c>
      <c r="AT96" s="146"/>
      <c r="AU96" s="69" t="n">
        <f aca="false">TblExplore[[#This Row],[Platinum (2)]]+TblConstr[[#This Row],[Total Plat Cost]]+TblMili[[#This Row],[Plat Cost]]+TblRezone[[#This Row],[Platinum cost]]+TblImps[[#This Row],[P1]]-TblProd[[#This Row],[Bank Plat]]</f>
        <v>0</v>
      </c>
      <c r="AV96" s="69" t="n">
        <f aca="false">TblConstr[[#This Row],[Total Lum Cost]]+TblImps[[#This Row],[L1]]-TblProd[[#This Row],[Bank Lumber]] + Military!$CL$25*TblMili[[#This Row],[Sec. rec. Cost]]</f>
        <v>0</v>
      </c>
      <c r="AW96" s="69" t="n">
        <f aca="false">TblMagic[[#This Row],[Mana cost]] + Military!$CL$26*TblMili[[#This Row],[Sec. rec. Cost]]</f>
        <v>0</v>
      </c>
      <c r="AX96" s="69" t="n">
        <f aca="false">Military!$CL$24*TblMili[[#This Row],[Sec. rec. Cost]]+TblImps[[#This Row],[O1]]-TblProd[[#This Row],[Bank Ore]]</f>
        <v>0</v>
      </c>
      <c r="AY96" s="69" t="n">
        <f aca="false">TblImps[[#This Row],[G1]]-TblProd[[#This Row],[Bank Gems]]</f>
        <v>0</v>
      </c>
      <c r="AZ96" s="132"/>
      <c r="BA96" s="33" t="n">
        <f aca="false">IF(TblProd[[#This Row],[Set Guard]]&lt;&gt;"",TblProd[[#This Row],[Set Guard]],OFFSET(TblProd[[#This Row],[Guard]],-1,0))</f>
        <v>0</v>
      </c>
      <c r="BB96" s="145"/>
      <c r="BC96" s="151" t="n">
        <f aca="false">TblProd[[#This Row],[Hour]]</f>
        <v>21</v>
      </c>
      <c r="BD96" s="152" t="n">
        <f aca="false">-TblProd[[#This Row],[Bank Lumber]] / 2 + -TblProd[[#This Row],[Bank Gems]] * 2 + -TblProd[[#This Row],[Bank Ore]] / 2</f>
        <v>0</v>
      </c>
      <c r="BE96" s="152"/>
      <c r="BF96" s="152"/>
      <c r="BG96" s="152"/>
      <c r="BH96" s="153" t="n">
        <f aca="false">TblProd[[#This Row],[Time]]</f>
        <v>45433.5833333333</v>
      </c>
      <c r="BI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J96" s="69" t="n">
        <f aca="false">TblProd[[#This Row],[Platinum]]</f>
        <v>857709</v>
      </c>
      <c r="BK96" s="69" t="n">
        <f aca="false">TblProd[[#This Row],[Food]]</f>
        <v>365003</v>
      </c>
      <c r="BL96" s="69" t="n">
        <f aca="false">TblProd[[#This Row],[Lumber]]</f>
        <v>32376</v>
      </c>
      <c r="BM96" s="69" t="n">
        <f aca="false">TblProd[[#This Row],[Mana]]</f>
        <v>285146</v>
      </c>
      <c r="BN96" s="69" t="n">
        <f aca="false">TblProd[[#This Row],[Ore]]</f>
        <v>-357</v>
      </c>
    </row>
    <row r="97" customFormat="false" ht="12.75" hidden="false" customHeight="false" outlineLevel="0" collapsed="false">
      <c r="A97" s="128" t="n">
        <v>22</v>
      </c>
      <c r="B97" s="144" t="n">
        <f aca="false">TblImps[[#This Row],[Time]]</f>
        <v>45433.625</v>
      </c>
      <c r="C97" s="145"/>
      <c r="D97" s="146"/>
      <c r="E97" s="69" t="n">
        <f aca="false">TblConstr[[#This Row],[Land]]</f>
        <v>700</v>
      </c>
      <c r="F97" s="69" t="n">
        <f aca="false">TblPop[[#This Row],[Peasants]]</f>
        <v>8169</v>
      </c>
      <c r="G97" s="69"/>
      <c r="H97" s="69" t="e">
        <f aca="false">TblMili[[#This Row],[Networth (2)]]</f>
        <v>#VALUE!</v>
      </c>
      <c r="I97" s="69" t="n">
        <f aca="false">OFFSET(TblProd[[#This Row],[Platinum]],-1,0)+OFFSET(TblProd[[#This Row],[Plat/hr]],-1,0) - TblProd[[#This Row],[Expenses Platinum]] + IF(TblProd[[#This Row],[Plat Bonus]],TblPop[[#This Row],[Peasants]]*4) + SUM(TblConstr[[#This Row],[Dest Hom]:[Dest Doc]])*TblConstr[[#This Row],[CPA Platinum -DB]]*tech_3_3_2*TblTech[[#This Row],[3-3]]</f>
        <v>899762</v>
      </c>
      <c r="J97" s="69" t="n">
        <f aca="false">OFFSET(TblProd[[#This Row],[Food]],-1,0)+OFFSET(TblProd[[#This Row],[Food/hr]],-1,0)+ROUNDUP((TblConstr[[#This Row],[Farms]]*80+TblConstr[[#This Row],[Docks]]*35)*(1+OFFSET(TblProd[[#This Row],[Bonus Food/hr]],-1,0)),0)</f>
        <v>361480</v>
      </c>
      <c r="K97" s="69" t="n">
        <f aca="false">OFFSET(TblProd[[#This Row],[Lumber]],-1,0)+OFFSET(TblProd[[#This Row],[Lumber/hr]],-1,0) - TblProd[[#This Row],[Expenses Lumber]] + SUM(TblConstr[[#This Row],[Dest Hom]:[Dest Doc]])*TblConstr[[#This Row],[CPA Lumber -DB]]*tech_3_3_2*TblTech[[#This Row],[3-3]]</f>
        <v>33177</v>
      </c>
      <c r="L97" s="69" t="n">
        <f aca="false">OFFSET(TblProd[[#This Row],[Mana]],-1,0)+OFFSET(TblProd[[#This Row],[Mana/hr]],-1,0)- TblProd[[#This Row],[Expenses Mana]]</f>
        <v>280168</v>
      </c>
      <c r="M97" s="69" t="n">
        <f aca="false">OFFSET(TblProd[[#This Row],[Ore]],-1,0)+OFFSET(TblProd[[#This Row],[Ore/hr]],-1,0) -TblProd[[#This Row],[Expenses Ore]]</f>
        <v>-357</v>
      </c>
      <c r="N97" s="69" t="n">
        <f aca="false">OFFSET(TblProd[[#This Row],[Gems]],-1,0)+OFFSET(TblProd[[#This Row],[Gems/hr]],-1,0) - TblProd[[#This Row],[Expenses Gems]]</f>
        <v>-1000</v>
      </c>
      <c r="O97" s="69" t="n">
        <f aca="false">OFFSET(TblProd[[#This Row],[Boats]],-1,0)+OFFSET(TblProd[[#This Row],[Boats/hr]],-1,0)</f>
        <v>53.45</v>
      </c>
      <c r="P97" s="69" t="n">
        <f aca="false">OFFSET(TblProd[[#This Row],[Prestige]],-1,0)</f>
        <v>250</v>
      </c>
      <c r="Q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7" s="69" t="n">
        <f aca="false">MAX(3750,_xlfn.CEILING.MATH(TblProd[[#This Row],[Land]]*2.5+OFFSET(TblTech[[#This Row],[Sum of tech]],-1,0)*150))</f>
        <v>3750</v>
      </c>
      <c r="S97" s="132"/>
      <c r="T97" s="69" t="n">
        <f aca="false">ROUNDDOWN(TblProd[[#This Row],[Raw Plat/hr]]*(1+TblProd[[#This Row],[Bonus Plat/hr]]),0)</f>
        <v>41806</v>
      </c>
      <c r="U97" s="69" t="n">
        <f aca="false">ROUND(TblProd[[#This Row],[Raw Food/hr]]*(1+TblProd[[#This Row],[Bonus Food/hr]])-TblProd[[#This Row],[Food decay]]-TblProd[[#This Row],[Food eaten]],0)</f>
        <v>-3488</v>
      </c>
      <c r="V97" s="69" t="n">
        <f aca="false">ROUND(TblProd[[#This Row],[Raw Lumber/hr]]*(1+TblProd[[#This Row],[Bonus Lumber/hr]])-TblProd[[#This Row],[Lumber rot]],0)</f>
        <v>793</v>
      </c>
      <c r="W97" s="69" t="n">
        <f aca="false">ROUND(TblProd[[#This Row],[Raw Mana/hr]]*(1+TblProd[[#This Row],[Bonus Mana/hr]])-TblProd[[#This Row],[Mana drain]],0)</f>
        <v>-4878</v>
      </c>
      <c r="X97" s="69" t="n">
        <f aca="false">ROUNDDOWN(TblProd[[#This Row],[Raw Ore/hr]]*(1+TblProd[[#This Row],[Bonux Ore/hr]]),0)</f>
        <v>0</v>
      </c>
      <c r="Y97" s="69" t="n">
        <f aca="false">ROUNDDOWN(TblProd[[#This Row],[Raw Gems/hr]]*(1+TblProd[[#This Row],[Bonus Gems/hr]]),0)</f>
        <v>0</v>
      </c>
      <c r="Z97" s="148" t="n">
        <f aca="false">OFFSET(TblConstr[[#This Row],[Tot Doc]],1,0)*dock_boats_hr * (1 + tech_4_1*TblTech[[#This Row],[4-1]])</f>
        <v>1.2</v>
      </c>
      <c r="AA97" s="146"/>
      <c r="AB97" s="69" t="n">
        <f aca="false">TblPop[[#This Row],[Peasants]]*tax*TblPop[[#This Row],[Employment]] + (Construction!AZ98+Construction!BX98)*(alch_plat+(Magic!AM97&gt;0)*alchemist_flame_bonus)</f>
        <v>38006.3</v>
      </c>
      <c r="AC97" s="69" t="n">
        <f aca="false">TblConstr[[#This Row],[Tot Farm]]*farm_food + TblConstr[[#This Row],[Tot Doc]]*dock_food</f>
        <v>3280</v>
      </c>
      <c r="AD97" s="69" t="n">
        <f aca="false">TblConstr[[#This Row],[Tot Ly]]*ly_lumber + TblConstr[[#This Row],[Tot Hav]]*fh_lumber</f>
        <v>1250</v>
      </c>
      <c r="AE97" s="69" t="n">
        <f aca="false">OFFSET(TblConstr[[#This Row],[Tot Tow]],1,0)*(tower_mana + tech_4_5*TblTech[[#This Row],[4-5]]) + OFFSET(TblConstr[[#This Row],[Tot WG]],1,0)*wg_mana_prod</f>
        <v>725</v>
      </c>
      <c r="AF97" s="69" t="n">
        <f aca="false">OFFSET(TblConstr[[#This Row],[Tot OM]],1,0)*om_ore+IF(race="Dwarf",ROUNDDOWN(TblMili[[#This Row],[Unit 2]]*0.4,0),)</f>
        <v>0</v>
      </c>
      <c r="AG97" s="69" t="n">
        <f aca="false">OFFSET(TblConstr[[#This Row],[Tot DM]],1,0)*dm_gems</f>
        <v>0</v>
      </c>
      <c r="AH97" s="132"/>
      <c r="AI97" s="149" t="n">
        <f aca="false">MIN(race_platinum_bonus + IF(TblMagic[[#This Row],[Active Alch Frost]]&gt;0,alch_frost_bonus,IF(Magic!AD97&gt;0,midas_bonus)) + TblImps[[#This Row],[Science]] - TblProd[[#This Row],[Guard]]*(0.02 + tech_5_7*TblTech[[#This Row],[5-7]]) + tech_1_5*TblTech[[#This Row],[1-5]] + tech_4_4*TblTech[[#This Row],[4-4]], 0.5)</f>
        <v>0.1</v>
      </c>
      <c r="AJ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7" s="149" t="n">
        <f aca="false">race_lumber_bonus+ IF(TblMagic[[#This Row],[Active Gaia''s Blessing]]&gt;0,gaias_blessing_lumber)+ tech_1_3*TblTech[[#This Row],[1-3]] + tech_1_6*TblTech[[#This Row],[1-6]] + tech_3_3*TblTech[[#This Row],[3-3]]</f>
        <v>-0.1</v>
      </c>
      <c r="AL97" s="149" t="n">
        <f aca="false">race_mana_bonus+ 0 + TblImps[[#This Row],[Towers]] + tech_1_2*TblTech[[#This Row],[1-2]] + tech_3_4*TblTech[[#This Row],[3-4]]</f>
        <v>0</v>
      </c>
      <c r="AM97" s="149" t="n">
        <f aca="false">race_ore_bonus + IF(TblMagic[[#This Row],[Active Miner''s Sight]]&gt;0,miners_sight_bonus,IF(TblMagic[[#This Row],[Active Mining Strength]]&gt;0,mining_strength_bonus)) +  tech_1_6*TblTech[[#This Row],[1-6]]</f>
        <v>0</v>
      </c>
      <c r="AN97" s="149" t="n">
        <f aca="false">race_gem_bonus+ tech_3_2*TblTech[[#This Row],[3-2]] + tech_4_3*TblTech[[#This Row],[4-3]] + tech_6_2*TblTech[[#This Row],[6-2]]</f>
        <v>0.15</v>
      </c>
      <c r="AO97" s="132"/>
      <c r="AP97" s="69" t="n">
        <f aca="false">TblProd[[#This Row],[Food]]*food_decay * (1 + tech_2_1*TblTech[[#This Row],[2-1]] + tech_2_8*TblTech[[#This Row],[2-8]])</f>
        <v>3614.8</v>
      </c>
      <c r="AQ97" s="69" t="n">
        <f aca="false">(1+race_food_consumption)*TblPop[[#This Row],[Total]]*food_per_person*(1+tech_1_10*TblTech[[#This Row],[1-10]]+tech_7_5*TblTech[[#This Row],[7-5]])</f>
        <v>3234.75</v>
      </c>
      <c r="AR97" s="69" t="n">
        <f aca="false">TblProd[[#This Row],[Lumber]]*lumber_rot * (1 + tech_2_1*TblTech[[#This Row],[2-1]] + tech_2_8*TblTech[[#This Row],[2-8]] + tech_5_2*TblTech[[#This Row],[5-2]])</f>
        <v>331.77</v>
      </c>
      <c r="AS97" s="69" t="n">
        <f aca="false">TblProd[[#This Row],[Mana]]*mana_drain * (1 + tech_2_1*TblTech[[#This Row],[2-1]] + tech_2_8*TblTech[[#This Row],[2-8]])</f>
        <v>5603.36</v>
      </c>
      <c r="AT97" s="146"/>
      <c r="AU97" s="69" t="n">
        <f aca="false">TblExplore[[#This Row],[Platinum (2)]]+TblConstr[[#This Row],[Total Plat Cost]]+TblMili[[#This Row],[Plat Cost]]+TblRezone[[#This Row],[Platinum cost]]+TblImps[[#This Row],[P1]]-TblProd[[#This Row],[Bank Plat]]</f>
        <v>0</v>
      </c>
      <c r="AV97" s="69" t="n">
        <f aca="false">TblConstr[[#This Row],[Total Lum Cost]]+TblImps[[#This Row],[L1]]-TblProd[[#This Row],[Bank Lumber]] + Military!$CL$25*TblMili[[#This Row],[Sec. rec. Cost]]</f>
        <v>0</v>
      </c>
      <c r="AW97" s="69" t="n">
        <f aca="false">TblMagic[[#This Row],[Mana cost]] + Military!$CL$26*TblMili[[#This Row],[Sec. rec. Cost]]</f>
        <v>0</v>
      </c>
      <c r="AX97" s="69" t="n">
        <f aca="false">Military!$CL$24*TblMili[[#This Row],[Sec. rec. Cost]]+TblImps[[#This Row],[O1]]-TblProd[[#This Row],[Bank Ore]]</f>
        <v>0</v>
      </c>
      <c r="AY97" s="69" t="n">
        <f aca="false">TblImps[[#This Row],[G1]]-TblProd[[#This Row],[Bank Gems]]</f>
        <v>0</v>
      </c>
      <c r="AZ97" s="132"/>
      <c r="BA97" s="33" t="n">
        <f aca="false">IF(TblProd[[#This Row],[Set Guard]]&lt;&gt;"",TblProd[[#This Row],[Set Guard]],OFFSET(TblProd[[#This Row],[Guard]],-1,0))</f>
        <v>0</v>
      </c>
      <c r="BB97" s="145"/>
      <c r="BC97" s="151" t="n">
        <f aca="false">TblProd[[#This Row],[Hour]]</f>
        <v>22</v>
      </c>
      <c r="BD97" s="152" t="n">
        <f aca="false">-TblProd[[#This Row],[Bank Lumber]] / 2 + -TblProd[[#This Row],[Bank Gems]] * 2 + -TblProd[[#This Row],[Bank Ore]] / 2</f>
        <v>0</v>
      </c>
      <c r="BE97" s="152"/>
      <c r="BF97" s="152"/>
      <c r="BG97" s="152"/>
      <c r="BH97" s="153" t="n">
        <f aca="false">TblProd[[#This Row],[Time]]</f>
        <v>45433.625</v>
      </c>
      <c r="BI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J97" s="69" t="n">
        <f aca="false">TblProd[[#This Row],[Platinum]]</f>
        <v>899762</v>
      </c>
      <c r="BK97" s="69" t="n">
        <f aca="false">TblProd[[#This Row],[Food]]</f>
        <v>361480</v>
      </c>
      <c r="BL97" s="69" t="n">
        <f aca="false">TblProd[[#This Row],[Lumber]]</f>
        <v>33177</v>
      </c>
      <c r="BM97" s="69" t="n">
        <f aca="false">TblProd[[#This Row],[Mana]]</f>
        <v>280168</v>
      </c>
      <c r="BN97" s="69" t="n">
        <f aca="false">TblProd[[#This Row],[Ore]]</f>
        <v>-357</v>
      </c>
    </row>
    <row r="98" customFormat="false" ht="12.75" hidden="false" customHeight="false" outlineLevel="0" collapsed="false">
      <c r="A98" s="128" t="n">
        <v>23</v>
      </c>
      <c r="B98" s="144" t="n">
        <f aca="false">TblImps[[#This Row],[Time]]</f>
        <v>45433.6666666667</v>
      </c>
      <c r="C98" s="145"/>
      <c r="D98" s="146"/>
      <c r="E98" s="69" t="n">
        <f aca="false">TblConstr[[#This Row],[Land]]</f>
        <v>700</v>
      </c>
      <c r="F98" s="69" t="n">
        <f aca="false">TblPop[[#This Row],[Peasants]]</f>
        <v>8087</v>
      </c>
      <c r="G98" s="69"/>
      <c r="H98" s="69" t="e">
        <f aca="false">TblMili[[#This Row],[Networth (2)]]</f>
        <v>#VALUE!</v>
      </c>
      <c r="I98" s="69" t="n">
        <f aca="false">OFFSET(TblProd[[#This Row],[Platinum]],-1,0)+OFFSET(TblProd[[#This Row],[Plat/hr]],-1,0) - TblProd[[#This Row],[Expenses Platinum]] + IF(TblProd[[#This Row],[Plat Bonus]],TblPop[[#This Row],[Peasants]]*4) + SUM(TblConstr[[#This Row],[Dest Hom]:[Dest Doc]])*TblConstr[[#This Row],[CPA Platinum -DB]]*tech_3_3_2*TblTech[[#This Row],[3-3]]</f>
        <v>941568</v>
      </c>
      <c r="J98" s="69" t="n">
        <f aca="false">OFFSET(TblProd[[#This Row],[Food]],-1,0)+OFFSET(TblProd[[#This Row],[Food/hr]],-1,0)+ROUNDUP((TblConstr[[#This Row],[Farms]]*80+TblConstr[[#This Row],[Docks]]*35)*(1+OFFSET(TblProd[[#This Row],[Bonus Food/hr]],-1,0)),0)</f>
        <v>357992</v>
      </c>
      <c r="K98" s="69" t="n">
        <f aca="false">OFFSET(TblProd[[#This Row],[Lumber]],-1,0)+OFFSET(TblProd[[#This Row],[Lumber/hr]],-1,0) - TblProd[[#This Row],[Expenses Lumber]] + SUM(TblConstr[[#This Row],[Dest Hom]:[Dest Doc]])*TblConstr[[#This Row],[CPA Lumber -DB]]*tech_3_3_2*TblTech[[#This Row],[3-3]]</f>
        <v>33970</v>
      </c>
      <c r="L98" s="69" t="n">
        <f aca="false">OFFSET(TblProd[[#This Row],[Mana]],-1,0)+OFFSET(TblProd[[#This Row],[Mana/hr]],-1,0)- TblProd[[#This Row],[Expenses Mana]]</f>
        <v>275290</v>
      </c>
      <c r="M98" s="69" t="n">
        <f aca="false">OFFSET(TblProd[[#This Row],[Ore]],-1,0)+OFFSET(TblProd[[#This Row],[Ore/hr]],-1,0) -TblProd[[#This Row],[Expenses Ore]]</f>
        <v>-357</v>
      </c>
      <c r="N98" s="69" t="n">
        <f aca="false">OFFSET(TblProd[[#This Row],[Gems]],-1,0)+OFFSET(TblProd[[#This Row],[Gems/hr]],-1,0) - TblProd[[#This Row],[Expenses Gems]]</f>
        <v>-1000</v>
      </c>
      <c r="O98" s="69" t="n">
        <f aca="false">OFFSET(TblProd[[#This Row],[Boats]],-1,0)+OFFSET(TblProd[[#This Row],[Boats/hr]],-1,0)</f>
        <v>54.65</v>
      </c>
      <c r="P98" s="69" t="n">
        <f aca="false">OFFSET(TblProd[[#This Row],[Prestige]],-1,0)</f>
        <v>250</v>
      </c>
      <c r="Q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8" s="69" t="n">
        <f aca="false">MAX(3750,_xlfn.CEILING.MATH(TblProd[[#This Row],[Land]]*2.5+OFFSET(TblTech[[#This Row],[Sum of tech]],-1,0)*150))</f>
        <v>3750</v>
      </c>
      <c r="S98" s="132"/>
      <c r="T98" s="69" t="n">
        <f aca="false">ROUNDDOWN(TblProd[[#This Row],[Raw Plat/hr]]*(1+TblProd[[#This Row],[Bonus Plat/hr]]),0)</f>
        <v>41563</v>
      </c>
      <c r="U98" s="69" t="n">
        <f aca="false">ROUND(TblProd[[#This Row],[Raw Food/hr]]*(1+TblProd[[#This Row],[Bonus Food/hr]])-TblProd[[#This Row],[Food decay]]-TblProd[[#This Row],[Food eaten]],0)</f>
        <v>-3453</v>
      </c>
      <c r="V98" s="69" t="n">
        <f aca="false">ROUND(TblProd[[#This Row],[Raw Lumber/hr]]*(1+TblProd[[#This Row],[Bonus Lumber/hr]])-TblProd[[#This Row],[Lumber rot]],0)</f>
        <v>785</v>
      </c>
      <c r="W98" s="69" t="n">
        <f aca="false">ROUND(TblProd[[#This Row],[Raw Mana/hr]]*(1+TblProd[[#This Row],[Bonus Mana/hr]])-TblProd[[#This Row],[Mana drain]],0)</f>
        <v>-4781</v>
      </c>
      <c r="X98" s="69" t="n">
        <f aca="false">ROUNDDOWN(TblProd[[#This Row],[Raw Ore/hr]]*(1+TblProd[[#This Row],[Bonux Ore/hr]]),0)</f>
        <v>0</v>
      </c>
      <c r="Y98" s="69" t="n">
        <f aca="false">ROUNDDOWN(TblProd[[#This Row],[Raw Gems/hr]]*(1+TblProd[[#This Row],[Bonus Gems/hr]]),0)</f>
        <v>0</v>
      </c>
      <c r="Z98" s="148" t="n">
        <f aca="false">OFFSET(TblConstr[[#This Row],[Tot Doc]],1,0)*dock_boats_hr * (1 + tech_4_1*TblTech[[#This Row],[4-1]])</f>
        <v>1.2</v>
      </c>
      <c r="AA98" s="146"/>
      <c r="AB98" s="69" t="n">
        <f aca="false">TblPop[[#This Row],[Peasants]]*tax*TblPop[[#This Row],[Employment]] + (Construction!AZ99+Construction!BX99)*(alch_plat+(Magic!AM98&gt;0)*alchemist_flame_bonus)</f>
        <v>37784.9</v>
      </c>
      <c r="AC98" s="69" t="n">
        <f aca="false">TblConstr[[#This Row],[Tot Farm]]*farm_food + TblConstr[[#This Row],[Tot Doc]]*dock_food</f>
        <v>3280</v>
      </c>
      <c r="AD98" s="69" t="n">
        <f aca="false">TblConstr[[#This Row],[Tot Ly]]*ly_lumber + TblConstr[[#This Row],[Tot Hav]]*fh_lumber</f>
        <v>1250</v>
      </c>
      <c r="AE98" s="69" t="n">
        <f aca="false">OFFSET(TblConstr[[#This Row],[Tot Tow]],1,0)*(tower_mana + tech_4_5*TblTech[[#This Row],[4-5]]) + OFFSET(TblConstr[[#This Row],[Tot WG]],1,0)*wg_mana_prod</f>
        <v>725</v>
      </c>
      <c r="AF98" s="69" t="n">
        <f aca="false">OFFSET(TblConstr[[#This Row],[Tot OM]],1,0)*om_ore+IF(race="Dwarf",ROUNDDOWN(TblMili[[#This Row],[Unit 2]]*0.4,0),)</f>
        <v>0</v>
      </c>
      <c r="AG98" s="69" t="n">
        <f aca="false">OFFSET(TblConstr[[#This Row],[Tot DM]],1,0)*dm_gems</f>
        <v>0</v>
      </c>
      <c r="AH98" s="132"/>
      <c r="AI98" s="149" t="n">
        <f aca="false">MIN(race_platinum_bonus + IF(TblMagic[[#This Row],[Active Alch Frost]]&gt;0,alch_frost_bonus,IF(Magic!AD98&gt;0,midas_bonus)) + TblImps[[#This Row],[Science]] - TblProd[[#This Row],[Guard]]*(0.02 + tech_5_7*TblTech[[#This Row],[5-7]]) + tech_1_5*TblTech[[#This Row],[1-5]] + tech_4_4*TblTech[[#This Row],[4-4]], 0.5)</f>
        <v>0.1</v>
      </c>
      <c r="AJ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8" s="149" t="n">
        <f aca="false">race_lumber_bonus+ IF(TblMagic[[#This Row],[Active Gaia''s Blessing]]&gt;0,gaias_blessing_lumber)+ tech_1_3*TblTech[[#This Row],[1-3]] + tech_1_6*TblTech[[#This Row],[1-6]] + tech_3_3*TblTech[[#This Row],[3-3]]</f>
        <v>-0.1</v>
      </c>
      <c r="AL98" s="149" t="n">
        <f aca="false">race_mana_bonus+ 0 + TblImps[[#This Row],[Towers]] + tech_1_2*TblTech[[#This Row],[1-2]] + tech_3_4*TblTech[[#This Row],[3-4]]</f>
        <v>0</v>
      </c>
      <c r="AM98" s="149" t="n">
        <f aca="false">race_ore_bonus + IF(TblMagic[[#This Row],[Active Miner''s Sight]]&gt;0,miners_sight_bonus,IF(TblMagic[[#This Row],[Active Mining Strength]]&gt;0,mining_strength_bonus)) +  tech_1_6*TblTech[[#This Row],[1-6]]</f>
        <v>0</v>
      </c>
      <c r="AN98" s="149" t="n">
        <f aca="false">race_gem_bonus+ tech_3_2*TblTech[[#This Row],[3-2]] + tech_4_3*TblTech[[#This Row],[4-3]] + tech_6_2*TblTech[[#This Row],[6-2]]</f>
        <v>0.15</v>
      </c>
      <c r="AO98" s="132"/>
      <c r="AP98" s="69" t="n">
        <f aca="false">TblProd[[#This Row],[Food]]*food_decay * (1 + tech_2_1*TblTech[[#This Row],[2-1]] + tech_2_8*TblTech[[#This Row],[2-8]])</f>
        <v>3579.92</v>
      </c>
      <c r="AQ98" s="69" t="n">
        <f aca="false">(1+race_food_consumption)*TblPop[[#This Row],[Total]]*food_per_person*(1+tech_1_10*TblTech[[#This Row],[1-10]]+tech_7_5*TblTech[[#This Row],[7-5]])</f>
        <v>3234.75</v>
      </c>
      <c r="AR98" s="69" t="n">
        <f aca="false">TblProd[[#This Row],[Lumber]]*lumber_rot * (1 + tech_2_1*TblTech[[#This Row],[2-1]] + tech_2_8*TblTech[[#This Row],[2-8]] + tech_5_2*TblTech[[#This Row],[5-2]])</f>
        <v>339.7</v>
      </c>
      <c r="AS98" s="69" t="n">
        <f aca="false">TblProd[[#This Row],[Mana]]*mana_drain * (1 + tech_2_1*TblTech[[#This Row],[2-1]] + tech_2_8*TblTech[[#This Row],[2-8]])</f>
        <v>5505.8</v>
      </c>
      <c r="AT98" s="146"/>
      <c r="AU98" s="69" t="n">
        <f aca="false">TblExplore[[#This Row],[Platinum (2)]]+TblConstr[[#This Row],[Total Plat Cost]]+TblMili[[#This Row],[Plat Cost]]+TblRezone[[#This Row],[Platinum cost]]+TblImps[[#This Row],[P1]]-TblProd[[#This Row],[Bank Plat]]</f>
        <v>0</v>
      </c>
      <c r="AV98" s="69" t="n">
        <f aca="false">TblConstr[[#This Row],[Total Lum Cost]]+TblImps[[#This Row],[L1]]-TblProd[[#This Row],[Bank Lumber]] + Military!$CL$25*TblMili[[#This Row],[Sec. rec. Cost]]</f>
        <v>0</v>
      </c>
      <c r="AW98" s="69" t="n">
        <f aca="false">TblMagic[[#This Row],[Mana cost]] + Military!$CL$26*TblMili[[#This Row],[Sec. rec. Cost]]</f>
        <v>0</v>
      </c>
      <c r="AX98" s="69" t="n">
        <f aca="false">Military!$CL$24*TblMili[[#This Row],[Sec. rec. Cost]]+TblImps[[#This Row],[O1]]-TblProd[[#This Row],[Bank Ore]]</f>
        <v>0</v>
      </c>
      <c r="AY98" s="69" t="n">
        <f aca="false">TblImps[[#This Row],[G1]]-TblProd[[#This Row],[Bank Gems]]</f>
        <v>0</v>
      </c>
      <c r="AZ98" s="132"/>
      <c r="BA98" s="33" t="n">
        <f aca="false">IF(TblProd[[#This Row],[Set Guard]]&lt;&gt;"",TblProd[[#This Row],[Set Guard]],OFFSET(TblProd[[#This Row],[Guard]],-1,0))</f>
        <v>0</v>
      </c>
      <c r="BB98" s="145"/>
      <c r="BC98" s="151" t="n">
        <f aca="false">TblProd[[#This Row],[Hour]]</f>
        <v>23</v>
      </c>
      <c r="BD98" s="152" t="n">
        <f aca="false">-TblProd[[#This Row],[Bank Lumber]] / 2 + -TblProd[[#This Row],[Bank Gems]] * 2 + -TblProd[[#This Row],[Bank Ore]] / 2</f>
        <v>0</v>
      </c>
      <c r="BE98" s="152"/>
      <c r="BF98" s="152"/>
      <c r="BG98" s="152"/>
      <c r="BH98" s="153" t="n">
        <f aca="false">TblProd[[#This Row],[Time]]</f>
        <v>45433.6666666667</v>
      </c>
      <c r="BI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J98" s="69" t="n">
        <f aca="false">TblProd[[#This Row],[Platinum]]</f>
        <v>941568</v>
      </c>
      <c r="BK98" s="69" t="n">
        <f aca="false">TblProd[[#This Row],[Food]]</f>
        <v>357992</v>
      </c>
      <c r="BL98" s="69" t="n">
        <f aca="false">TblProd[[#This Row],[Lumber]]</f>
        <v>33970</v>
      </c>
      <c r="BM98" s="69" t="n">
        <f aca="false">TblProd[[#This Row],[Mana]]</f>
        <v>275290</v>
      </c>
      <c r="BN98" s="69" t="n">
        <f aca="false">TblProd[[#This Row],[Ore]]</f>
        <v>-357</v>
      </c>
    </row>
    <row r="99" customFormat="false" ht="12.75" hidden="false" customHeight="false" outlineLevel="0" collapsed="false">
      <c r="A99" s="128" t="n">
        <v>24</v>
      </c>
      <c r="B99" s="144" t="n">
        <f aca="false">TblImps[[#This Row],[Time]]</f>
        <v>45433.7083333333</v>
      </c>
      <c r="C99" s="145"/>
      <c r="D99" s="146"/>
      <c r="E99" s="69" t="n">
        <f aca="false">TblConstr[[#This Row],[Land]]</f>
        <v>700</v>
      </c>
      <c r="F99" s="69" t="n">
        <f aca="false">TblPop[[#This Row],[Peasants]]</f>
        <v>8006</v>
      </c>
      <c r="G99" s="69"/>
      <c r="H99" s="69" t="e">
        <f aca="false">TblMili[[#This Row],[Networth (2)]]</f>
        <v>#VALUE!</v>
      </c>
      <c r="I99" s="69" t="n">
        <f aca="false">OFFSET(TblProd[[#This Row],[Platinum]],-1,0)+OFFSET(TblProd[[#This Row],[Plat/hr]],-1,0) - TblProd[[#This Row],[Expenses Platinum]] + IF(TblProd[[#This Row],[Plat Bonus]],TblPop[[#This Row],[Peasants]]*4) + SUM(TblConstr[[#This Row],[Dest Hom]:[Dest Doc]])*TblConstr[[#This Row],[CPA Platinum -DB]]*tech_3_3_2*TblTech[[#This Row],[3-3]]</f>
        <v>983131</v>
      </c>
      <c r="J99" s="69" t="n">
        <f aca="false">OFFSET(TblProd[[#This Row],[Food]],-1,0)+OFFSET(TblProd[[#This Row],[Food/hr]],-1,0)+ROUNDUP((TblConstr[[#This Row],[Farms]]*80+TblConstr[[#This Row],[Docks]]*35)*(1+OFFSET(TblProd[[#This Row],[Bonus Food/hr]],-1,0)),0)</f>
        <v>354539</v>
      </c>
      <c r="K99" s="69" t="n">
        <f aca="false">OFFSET(TblProd[[#This Row],[Lumber]],-1,0)+OFFSET(TblProd[[#This Row],[Lumber/hr]],-1,0) - TblProd[[#This Row],[Expenses Lumber]] + SUM(TblConstr[[#This Row],[Dest Hom]:[Dest Doc]])*TblConstr[[#This Row],[CPA Lumber -DB]]*tech_3_3_2*TblTech[[#This Row],[3-3]]</f>
        <v>34755</v>
      </c>
      <c r="L99" s="69" t="n">
        <f aca="false">OFFSET(TblProd[[#This Row],[Mana]],-1,0)+OFFSET(TblProd[[#This Row],[Mana/hr]],-1,0)- TblProd[[#This Row],[Expenses Mana]]</f>
        <v>270509</v>
      </c>
      <c r="M99" s="69" t="n">
        <f aca="false">OFFSET(TblProd[[#This Row],[Ore]],-1,0)+OFFSET(TblProd[[#This Row],[Ore/hr]],-1,0) -TblProd[[#This Row],[Expenses Ore]]</f>
        <v>-357</v>
      </c>
      <c r="N99" s="69" t="n">
        <f aca="false">OFFSET(TblProd[[#This Row],[Gems]],-1,0)+OFFSET(TblProd[[#This Row],[Gems/hr]],-1,0) - TblProd[[#This Row],[Expenses Gems]]</f>
        <v>-1000</v>
      </c>
      <c r="O99" s="69" t="n">
        <f aca="false">OFFSET(TblProd[[#This Row],[Boats]],-1,0)+OFFSET(TblProd[[#This Row],[Boats/hr]],-1,0)</f>
        <v>55.85</v>
      </c>
      <c r="P99" s="69" t="n">
        <f aca="false">OFFSET(TblProd[[#This Row],[Prestige]],-1,0)</f>
        <v>250</v>
      </c>
      <c r="Q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9" s="69" t="n">
        <f aca="false">MAX(3750,_xlfn.CEILING.MATH(TblProd[[#This Row],[Land]]*2.5+OFFSET(TblTech[[#This Row],[Sum of tech]],-1,0)*150))</f>
        <v>3750</v>
      </c>
      <c r="S99" s="132"/>
      <c r="T99" s="69" t="n">
        <f aca="false">ROUNDDOWN(TblProd[[#This Row],[Raw Plat/hr]]*(1+TblProd[[#This Row],[Bonus Plat/hr]]),0)</f>
        <v>41322</v>
      </c>
      <c r="U99" s="69" t="n">
        <f aca="false">ROUND(TblProd[[#This Row],[Raw Food/hr]]*(1+TblProd[[#This Row],[Bonus Food/hr]])-TblProd[[#This Row],[Food decay]]-TblProd[[#This Row],[Food eaten]],0)</f>
        <v>-3418</v>
      </c>
      <c r="V99" s="69" t="n">
        <f aca="false">ROUND(TblProd[[#This Row],[Raw Lumber/hr]]*(1+TblProd[[#This Row],[Bonus Lumber/hr]])-TblProd[[#This Row],[Lumber rot]],0)</f>
        <v>777</v>
      </c>
      <c r="W99" s="69" t="n">
        <f aca="false">ROUND(TblProd[[#This Row],[Raw Mana/hr]]*(1+TblProd[[#This Row],[Bonus Mana/hr]])-TblProd[[#This Row],[Mana drain]],0)</f>
        <v>-4685</v>
      </c>
      <c r="X99" s="69" t="n">
        <f aca="false">ROUNDDOWN(TblProd[[#This Row],[Raw Ore/hr]]*(1+TblProd[[#This Row],[Bonux Ore/hr]]),0)</f>
        <v>0</v>
      </c>
      <c r="Y99" s="69" t="n">
        <f aca="false">ROUNDDOWN(TblProd[[#This Row],[Raw Gems/hr]]*(1+TblProd[[#This Row],[Bonus Gems/hr]]),0)</f>
        <v>0</v>
      </c>
      <c r="Z99" s="148" t="n">
        <f aca="false">OFFSET(TblConstr[[#This Row],[Tot Doc]],1,0)*dock_boats_hr * (1 + tech_4_1*TblTech[[#This Row],[4-1]])</f>
        <v>1.2</v>
      </c>
      <c r="AA99" s="146"/>
      <c r="AB99" s="69" t="n">
        <f aca="false">TblPop[[#This Row],[Peasants]]*tax*TblPop[[#This Row],[Employment]] + (Construction!AZ100+Construction!BX100)*(alch_plat+(Magic!AM99&gt;0)*alchemist_flame_bonus)</f>
        <v>37566.2</v>
      </c>
      <c r="AC99" s="69" t="n">
        <f aca="false">TblConstr[[#This Row],[Tot Farm]]*farm_food + TblConstr[[#This Row],[Tot Doc]]*dock_food</f>
        <v>3280</v>
      </c>
      <c r="AD99" s="69" t="n">
        <f aca="false">TblConstr[[#This Row],[Tot Ly]]*ly_lumber + TblConstr[[#This Row],[Tot Hav]]*fh_lumber</f>
        <v>1250</v>
      </c>
      <c r="AE99" s="69" t="n">
        <f aca="false">OFFSET(TblConstr[[#This Row],[Tot Tow]],1,0)*(tower_mana + tech_4_5*TblTech[[#This Row],[4-5]]) + OFFSET(TblConstr[[#This Row],[Tot WG]],1,0)*wg_mana_prod</f>
        <v>725</v>
      </c>
      <c r="AF99" s="69" t="n">
        <f aca="false">OFFSET(TblConstr[[#This Row],[Tot OM]],1,0)*om_ore+IF(race="Dwarf",ROUNDDOWN(TblMili[[#This Row],[Unit 2]]*0.4,0),)</f>
        <v>0</v>
      </c>
      <c r="AG99" s="69" t="n">
        <f aca="false">OFFSET(TblConstr[[#This Row],[Tot DM]],1,0)*dm_gems</f>
        <v>0</v>
      </c>
      <c r="AH99" s="132"/>
      <c r="AI99" s="149" t="n">
        <f aca="false">MIN(race_platinum_bonus + IF(TblMagic[[#This Row],[Active Alch Frost]]&gt;0,alch_frost_bonus,IF(Magic!AD99&gt;0,midas_bonus)) + TblImps[[#This Row],[Science]] - TblProd[[#This Row],[Guard]]*(0.02 + tech_5_7*TblTech[[#This Row],[5-7]]) + tech_1_5*TblTech[[#This Row],[1-5]] + tech_4_4*TblTech[[#This Row],[4-4]], 0.5)</f>
        <v>0.1</v>
      </c>
      <c r="AJ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9" s="149" t="n">
        <f aca="false">race_lumber_bonus+ IF(TblMagic[[#This Row],[Active Gaia''s Blessing]]&gt;0,gaias_blessing_lumber)+ tech_1_3*TblTech[[#This Row],[1-3]] + tech_1_6*TblTech[[#This Row],[1-6]] + tech_3_3*TblTech[[#This Row],[3-3]]</f>
        <v>-0.1</v>
      </c>
      <c r="AL99" s="149" t="n">
        <f aca="false">race_mana_bonus+ 0 + TblImps[[#This Row],[Towers]] + tech_1_2*TblTech[[#This Row],[1-2]] + tech_3_4*TblTech[[#This Row],[3-4]]</f>
        <v>0</v>
      </c>
      <c r="AM99" s="149" t="n">
        <f aca="false">race_ore_bonus + IF(TblMagic[[#This Row],[Active Miner''s Sight]]&gt;0,miners_sight_bonus,IF(TblMagic[[#This Row],[Active Mining Strength]]&gt;0,mining_strength_bonus)) +  tech_1_6*TblTech[[#This Row],[1-6]]</f>
        <v>0</v>
      </c>
      <c r="AN99" s="149" t="n">
        <f aca="false">race_gem_bonus+ tech_3_2*TblTech[[#This Row],[3-2]] + tech_4_3*TblTech[[#This Row],[4-3]] + tech_6_2*TblTech[[#This Row],[6-2]]</f>
        <v>0.15</v>
      </c>
      <c r="AO99" s="132"/>
      <c r="AP99" s="69" t="n">
        <f aca="false">TblProd[[#This Row],[Food]]*food_decay * (1 + tech_2_1*TblTech[[#This Row],[2-1]] + tech_2_8*TblTech[[#This Row],[2-8]])</f>
        <v>3545.39</v>
      </c>
      <c r="AQ99" s="69" t="n">
        <f aca="false">(1+race_food_consumption)*TblPop[[#This Row],[Total]]*food_per_person*(1+tech_1_10*TblTech[[#This Row],[1-10]]+tech_7_5*TblTech[[#This Row],[7-5]])</f>
        <v>3234.75</v>
      </c>
      <c r="AR99" s="69" t="n">
        <f aca="false">TblProd[[#This Row],[Lumber]]*lumber_rot * (1 + tech_2_1*TblTech[[#This Row],[2-1]] + tech_2_8*TblTech[[#This Row],[2-8]] + tech_5_2*TblTech[[#This Row],[5-2]])</f>
        <v>347.55</v>
      </c>
      <c r="AS99" s="69" t="n">
        <f aca="false">TblProd[[#This Row],[Mana]]*mana_drain * (1 + tech_2_1*TblTech[[#This Row],[2-1]] + tech_2_8*TblTech[[#This Row],[2-8]])</f>
        <v>5410.18</v>
      </c>
      <c r="AT99" s="146"/>
      <c r="AU99" s="69" t="n">
        <f aca="false">TblExplore[[#This Row],[Platinum (2)]]+TblConstr[[#This Row],[Total Plat Cost]]+TblMili[[#This Row],[Plat Cost]]+TblRezone[[#This Row],[Platinum cost]]+TblImps[[#This Row],[P1]]-TblProd[[#This Row],[Bank Plat]]</f>
        <v>0</v>
      </c>
      <c r="AV99" s="69" t="n">
        <f aca="false">TblConstr[[#This Row],[Total Lum Cost]]+TblImps[[#This Row],[L1]]-TblProd[[#This Row],[Bank Lumber]] + Military!$CL$25*TblMili[[#This Row],[Sec. rec. Cost]]</f>
        <v>0</v>
      </c>
      <c r="AW99" s="69" t="n">
        <f aca="false">TblMagic[[#This Row],[Mana cost]] + Military!$CL$26*TblMili[[#This Row],[Sec. rec. Cost]]</f>
        <v>0</v>
      </c>
      <c r="AX99" s="69" t="n">
        <f aca="false">Military!$CL$24*TblMili[[#This Row],[Sec. rec. Cost]]+TblImps[[#This Row],[O1]]-TblProd[[#This Row],[Bank Ore]]</f>
        <v>0</v>
      </c>
      <c r="AY99" s="69" t="n">
        <f aca="false">TblImps[[#This Row],[G1]]-TblProd[[#This Row],[Bank Gems]]</f>
        <v>0</v>
      </c>
      <c r="AZ99" s="132"/>
      <c r="BA99" s="33" t="n">
        <f aca="false">IF(TblProd[[#This Row],[Set Guard]]&lt;&gt;"",TblProd[[#This Row],[Set Guard]],OFFSET(TblProd[[#This Row],[Guard]],-1,0))</f>
        <v>0</v>
      </c>
      <c r="BB99" s="145"/>
      <c r="BC99" s="151" t="n">
        <f aca="false">TblProd[[#This Row],[Hour]]</f>
        <v>24</v>
      </c>
      <c r="BD99" s="152" t="n">
        <f aca="false">-TblProd[[#This Row],[Bank Lumber]] / 2 + -TblProd[[#This Row],[Bank Gems]] * 2 + -TblProd[[#This Row],[Bank Ore]] / 2</f>
        <v>0</v>
      </c>
      <c r="BE99" s="152"/>
      <c r="BF99" s="152"/>
      <c r="BG99" s="152"/>
      <c r="BH99" s="153" t="n">
        <f aca="false">TblProd[[#This Row],[Time]]</f>
        <v>45433.7083333333</v>
      </c>
      <c r="BI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J99" s="69" t="n">
        <f aca="false">TblProd[[#This Row],[Platinum]]</f>
        <v>983131</v>
      </c>
      <c r="BK99" s="69" t="n">
        <f aca="false">TblProd[[#This Row],[Food]]</f>
        <v>354539</v>
      </c>
      <c r="BL99" s="69" t="n">
        <f aca="false">TblProd[[#This Row],[Lumber]]</f>
        <v>34755</v>
      </c>
      <c r="BM99" s="69" t="n">
        <f aca="false">TblProd[[#This Row],[Mana]]</f>
        <v>270509</v>
      </c>
      <c r="BN99" s="69" t="n">
        <f aca="false">TblProd[[#This Row],[Ore]]</f>
        <v>-357</v>
      </c>
    </row>
    <row r="100" customFormat="false" ht="12.75" hidden="false" customHeight="false" outlineLevel="0" collapsed="false">
      <c r="A100" s="128" t="n">
        <v>25</v>
      </c>
      <c r="B100" s="144" t="n">
        <f aca="false">TblImps[[#This Row],[Time]]</f>
        <v>45433.75</v>
      </c>
      <c r="C100" s="145"/>
      <c r="D100" s="146"/>
      <c r="E100" s="69" t="n">
        <f aca="false">TblConstr[[#This Row],[Land]]</f>
        <v>700</v>
      </c>
      <c r="F100" s="69" t="n">
        <f aca="false">TblPop[[#This Row],[Peasants]]</f>
        <v>7926</v>
      </c>
      <c r="G100" s="69"/>
      <c r="H100" s="69" t="e">
        <f aca="false">TblMili[[#This Row],[Networth (2)]]</f>
        <v>#VALUE!</v>
      </c>
      <c r="I100" s="69" t="n">
        <f aca="false">OFFSET(TblProd[[#This Row],[Platinum]],-1,0)+OFFSET(TblProd[[#This Row],[Plat/hr]],-1,0) - TblProd[[#This Row],[Expenses Platinum]] + IF(TblProd[[#This Row],[Plat Bonus]],TblPop[[#This Row],[Peasants]]*4) + SUM(TblConstr[[#This Row],[Dest Hom]:[Dest Doc]])*TblConstr[[#This Row],[CPA Platinum -DB]]*tech_3_3_2*TblTech[[#This Row],[3-3]]</f>
        <v>1024453</v>
      </c>
      <c r="J100" s="69" t="n">
        <f aca="false">OFFSET(TblProd[[#This Row],[Food]],-1,0)+OFFSET(TblProd[[#This Row],[Food/hr]],-1,0)+ROUNDUP((TblConstr[[#This Row],[Farms]]*80+TblConstr[[#This Row],[Docks]]*35)*(1+OFFSET(TblProd[[#This Row],[Bonus Food/hr]],-1,0)),0)</f>
        <v>351121</v>
      </c>
      <c r="K100" s="69" t="n">
        <f aca="false">OFFSET(TblProd[[#This Row],[Lumber]],-1,0)+OFFSET(TblProd[[#This Row],[Lumber/hr]],-1,0) - TblProd[[#This Row],[Expenses Lumber]] + SUM(TblConstr[[#This Row],[Dest Hom]:[Dest Doc]])*TblConstr[[#This Row],[CPA Lumber -DB]]*tech_3_3_2*TblTech[[#This Row],[3-3]]</f>
        <v>35532</v>
      </c>
      <c r="L100" s="69" t="n">
        <f aca="false">OFFSET(TblProd[[#This Row],[Mana]],-1,0)+OFFSET(TblProd[[#This Row],[Mana/hr]],-1,0)- TblProd[[#This Row],[Expenses Mana]]</f>
        <v>258824</v>
      </c>
      <c r="M100" s="69" t="n">
        <f aca="false">OFFSET(TblProd[[#This Row],[Ore]],-1,0)+OFFSET(TblProd[[#This Row],[Ore/hr]],-1,0) -TblProd[[#This Row],[Expenses Ore]]</f>
        <v>-357</v>
      </c>
      <c r="N100" s="69" t="n">
        <f aca="false">OFFSET(TblProd[[#This Row],[Gems]],-1,0)+OFFSET(TblProd[[#This Row],[Gems/hr]],-1,0) - TblProd[[#This Row],[Expenses Gems]]</f>
        <v>-1000</v>
      </c>
      <c r="O100" s="69" t="n">
        <f aca="false">OFFSET(TblProd[[#This Row],[Boats]],-1,0)+OFFSET(TblProd[[#This Row],[Boats/hr]],-1,0)</f>
        <v>57.0500000000001</v>
      </c>
      <c r="P100" s="69" t="n">
        <f aca="false">OFFSET(TblProd[[#This Row],[Prestige]],-1,0)</f>
        <v>250</v>
      </c>
      <c r="Q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0" s="69" t="n">
        <f aca="false">MAX(3750,_xlfn.CEILING.MATH(TblProd[[#This Row],[Land]]*2.5+OFFSET(TblTech[[#This Row],[Sum of tech]],-1,0)*150))</f>
        <v>3750</v>
      </c>
      <c r="S100" s="132"/>
      <c r="T100" s="69" t="n">
        <f aca="false">ROUNDDOWN(TblProd[[#This Row],[Raw Plat/hr]]*(1+TblProd[[#This Row],[Bonus Plat/hr]]),0)</f>
        <v>41085</v>
      </c>
      <c r="U100" s="69" t="n">
        <f aca="false">ROUND(TblProd[[#This Row],[Raw Food/hr]]*(1+TblProd[[#This Row],[Bonus Food/hr]])-TblProd[[#This Row],[Food decay]]-TblProd[[#This Row],[Food eaten]],0)</f>
        <v>-3384</v>
      </c>
      <c r="V100" s="69" t="n">
        <f aca="false">ROUND(TblProd[[#This Row],[Raw Lumber/hr]]*(1+TblProd[[#This Row],[Bonus Lumber/hr]])-TblProd[[#This Row],[Lumber rot]],0)</f>
        <v>770</v>
      </c>
      <c r="W100" s="69" t="n">
        <f aca="false">ROUND(TblProd[[#This Row],[Raw Mana/hr]]*(1+TblProd[[#This Row],[Bonus Mana/hr]])-TblProd[[#This Row],[Mana drain]],0)</f>
        <v>-4451</v>
      </c>
      <c r="X100" s="69" t="n">
        <f aca="false">ROUNDDOWN(TblProd[[#This Row],[Raw Ore/hr]]*(1+TblProd[[#This Row],[Bonux Ore/hr]]),0)</f>
        <v>0</v>
      </c>
      <c r="Y100" s="69" t="n">
        <f aca="false">ROUNDDOWN(TblProd[[#This Row],[Raw Gems/hr]]*(1+TblProd[[#This Row],[Bonus Gems/hr]]),0)</f>
        <v>0</v>
      </c>
      <c r="Z100" s="148" t="n">
        <f aca="false">OFFSET(TblConstr[[#This Row],[Tot Doc]],1,0)*dock_boats_hr * (1 + tech_4_1*TblTech[[#This Row],[4-1]])</f>
        <v>1.2</v>
      </c>
      <c r="AA100" s="146"/>
      <c r="AB100" s="69" t="n">
        <f aca="false">TblPop[[#This Row],[Peasants]]*tax*TblPop[[#This Row],[Employment]] + (Construction!AZ101+Construction!BX101)*(alch_plat+(Magic!AM100&gt;0)*alchemist_flame_bonus)</f>
        <v>37350.2</v>
      </c>
      <c r="AC100" s="69" t="n">
        <f aca="false">TblConstr[[#This Row],[Tot Farm]]*farm_food + TblConstr[[#This Row],[Tot Doc]]*dock_food</f>
        <v>3280</v>
      </c>
      <c r="AD100" s="69" t="n">
        <f aca="false">TblConstr[[#This Row],[Tot Ly]]*ly_lumber + TblConstr[[#This Row],[Tot Hav]]*fh_lumber</f>
        <v>1250</v>
      </c>
      <c r="AE100" s="69" t="n">
        <f aca="false">OFFSET(TblConstr[[#This Row],[Tot Tow]],1,0)*(tower_mana + tech_4_5*TblTech[[#This Row],[4-5]]) + OFFSET(TblConstr[[#This Row],[Tot WG]],1,0)*wg_mana_prod</f>
        <v>725</v>
      </c>
      <c r="AF100" s="69" t="n">
        <f aca="false">OFFSET(TblConstr[[#This Row],[Tot OM]],1,0)*om_ore+IF(race="Dwarf",ROUNDDOWN(TblMili[[#This Row],[Unit 2]]*0.4,0),)</f>
        <v>0</v>
      </c>
      <c r="AG100" s="69" t="n">
        <f aca="false">OFFSET(TblConstr[[#This Row],[Tot DM]],1,0)*dm_gems</f>
        <v>0</v>
      </c>
      <c r="AH100" s="132"/>
      <c r="AI100" s="149" t="n">
        <f aca="false">MIN(race_platinum_bonus + IF(TblMagic[[#This Row],[Active Alch Frost]]&gt;0,alch_frost_bonus,IF(Magic!AD100&gt;0,midas_bonus)) + TblImps[[#This Row],[Science]] - TblProd[[#This Row],[Guard]]*(0.02 + tech_5_7*TblTech[[#This Row],[5-7]]) + tech_1_5*TblTech[[#This Row],[1-5]] + tech_4_4*TblTech[[#This Row],[4-4]], 0.5)</f>
        <v>0.1</v>
      </c>
      <c r="AJ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0" s="149" t="n">
        <f aca="false">race_lumber_bonus+ IF(TblMagic[[#This Row],[Active Gaia''s Blessing]]&gt;0,gaias_blessing_lumber)+ tech_1_3*TblTech[[#This Row],[1-3]] + tech_1_6*TblTech[[#This Row],[1-6]] + tech_3_3*TblTech[[#This Row],[3-3]]</f>
        <v>-0.1</v>
      </c>
      <c r="AL100" s="149" t="n">
        <f aca="false">race_mana_bonus+ 0 + TblImps[[#This Row],[Towers]] + tech_1_2*TblTech[[#This Row],[1-2]] + tech_3_4*TblTech[[#This Row],[3-4]]</f>
        <v>0</v>
      </c>
      <c r="AM100" s="149" t="n">
        <f aca="false">race_ore_bonus + IF(TblMagic[[#This Row],[Active Miner''s Sight]]&gt;0,miners_sight_bonus,IF(TblMagic[[#This Row],[Active Mining Strength]]&gt;0,mining_strength_bonus)) +  tech_1_6*TblTech[[#This Row],[1-6]]</f>
        <v>0</v>
      </c>
      <c r="AN100" s="149" t="n">
        <f aca="false">race_gem_bonus+ tech_3_2*TblTech[[#This Row],[3-2]] + tech_4_3*TblTech[[#This Row],[4-3]] + tech_6_2*TblTech[[#This Row],[6-2]]</f>
        <v>0.15</v>
      </c>
      <c r="AO100" s="132"/>
      <c r="AP100" s="69" t="n">
        <f aca="false">TblProd[[#This Row],[Food]]*food_decay * (1 + tech_2_1*TblTech[[#This Row],[2-1]] + tech_2_8*TblTech[[#This Row],[2-8]])</f>
        <v>3511.21</v>
      </c>
      <c r="AQ100" s="69" t="n">
        <f aca="false">(1+race_food_consumption)*TblPop[[#This Row],[Total]]*food_per_person*(1+tech_1_10*TblTech[[#This Row],[1-10]]+tech_7_5*TblTech[[#This Row],[7-5]])</f>
        <v>3234.75</v>
      </c>
      <c r="AR100" s="69" t="n">
        <f aca="false">TblProd[[#This Row],[Lumber]]*lumber_rot * (1 + tech_2_1*TblTech[[#This Row],[2-1]] + tech_2_8*TblTech[[#This Row],[2-8]] + tech_5_2*TblTech[[#This Row],[5-2]])</f>
        <v>355.32</v>
      </c>
      <c r="AS100" s="69" t="n">
        <f aca="false">TblProd[[#This Row],[Mana]]*mana_drain * (1 + tech_2_1*TblTech[[#This Row],[2-1]] + tech_2_8*TblTech[[#This Row],[2-8]])</f>
        <v>5176.48</v>
      </c>
      <c r="AT100" s="146"/>
      <c r="AU100" s="69" t="n">
        <f aca="false">TblExplore[[#This Row],[Platinum (2)]]+TblConstr[[#This Row],[Total Plat Cost]]+TblMili[[#This Row],[Plat Cost]]+TblRezone[[#This Row],[Platinum cost]]+TblImps[[#This Row],[P1]]-TblProd[[#This Row],[Bank Plat]]</f>
        <v>0</v>
      </c>
      <c r="AV100" s="69" t="n">
        <f aca="false">TblConstr[[#This Row],[Total Lum Cost]]+TblImps[[#This Row],[L1]]-TblProd[[#This Row],[Bank Lumber]] + Military!$CL$25*TblMili[[#This Row],[Sec. rec. Cost]]</f>
        <v>0</v>
      </c>
      <c r="AW100" s="69" t="n">
        <f aca="false">TblMagic[[#This Row],[Mana cost]] + Military!$CL$26*TblMili[[#This Row],[Sec. rec. Cost]]</f>
        <v>7000</v>
      </c>
      <c r="AX100" s="69" t="n">
        <f aca="false">Military!$CL$24*TblMili[[#This Row],[Sec. rec. Cost]]+TblImps[[#This Row],[O1]]-TblProd[[#This Row],[Bank Ore]]</f>
        <v>0</v>
      </c>
      <c r="AY100" s="69" t="n">
        <f aca="false">TblImps[[#This Row],[G1]]-TblProd[[#This Row],[Bank Gems]]</f>
        <v>0</v>
      </c>
      <c r="AZ100" s="132"/>
      <c r="BA100" s="33" t="n">
        <f aca="false">IF(TblProd[[#This Row],[Set Guard]]&lt;&gt;"",TblProd[[#This Row],[Set Guard]],OFFSET(TblProd[[#This Row],[Guard]],-1,0))</f>
        <v>0</v>
      </c>
      <c r="BB100" s="145"/>
      <c r="BC100" s="151" t="n">
        <f aca="false">TblProd[[#This Row],[Hour]]</f>
        <v>25</v>
      </c>
      <c r="BD100" s="152" t="n">
        <f aca="false">-TblProd[[#This Row],[Bank Lumber]] / 2 + -TblProd[[#This Row],[Bank Gems]] * 2 + -TblProd[[#This Row],[Bank Ore]] / 2</f>
        <v>0</v>
      </c>
      <c r="BE100" s="152"/>
      <c r="BF100" s="152"/>
      <c r="BG100" s="152"/>
      <c r="BH100" s="153" t="n">
        <f aca="false">TblProd[[#This Row],[Time]]</f>
        <v>45433.75</v>
      </c>
      <c r="BI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J100" s="69" t="n">
        <f aca="false">TblProd[[#This Row],[Platinum]]</f>
        <v>1024453</v>
      </c>
      <c r="BK100" s="69" t="n">
        <f aca="false">TblProd[[#This Row],[Food]]</f>
        <v>351121</v>
      </c>
      <c r="BL100" s="69" t="n">
        <f aca="false">TblProd[[#This Row],[Lumber]]</f>
        <v>35532</v>
      </c>
      <c r="BM100" s="69" t="n">
        <f aca="false">TblProd[[#This Row],[Mana]]</f>
        <v>258824</v>
      </c>
      <c r="BN100" s="69" t="n">
        <f aca="false">TblProd[[#This Row],[Ore]]</f>
        <v>-357</v>
      </c>
    </row>
    <row r="101" customFormat="false" ht="12.75" hidden="false" customHeight="false" outlineLevel="0" collapsed="false">
      <c r="A101" s="128" t="n">
        <v>26</v>
      </c>
      <c r="B101" s="144" t="n">
        <f aca="false">TblImps[[#This Row],[Time]]</f>
        <v>45433.7916666667</v>
      </c>
      <c r="C101" s="145"/>
      <c r="D101" s="146"/>
      <c r="E101" s="69" t="n">
        <f aca="false">TblConstr[[#This Row],[Land]]</f>
        <v>700</v>
      </c>
      <c r="F101" s="69" t="n">
        <f aca="false">TblPop[[#This Row],[Peasants]]</f>
        <v>7847</v>
      </c>
      <c r="G101" s="69"/>
      <c r="H101" s="69" t="e">
        <f aca="false">TblMili[[#This Row],[Networth (2)]]</f>
        <v>#VALUE!</v>
      </c>
      <c r="I101" s="69" t="n">
        <f aca="false">OFFSET(TblProd[[#This Row],[Platinum]],-1,0)+OFFSET(TblProd[[#This Row],[Plat/hr]],-1,0) - TblProd[[#This Row],[Expenses Platinum]] + IF(TblProd[[#This Row],[Plat Bonus]],TblPop[[#This Row],[Peasants]]*4) + SUM(TblConstr[[#This Row],[Dest Hom]:[Dest Doc]])*TblConstr[[#This Row],[CPA Platinum -DB]]*tech_3_3_2*TblTech[[#This Row],[3-3]]</f>
        <v>1065538</v>
      </c>
      <c r="J101" s="69" t="n">
        <f aca="false">OFFSET(TblProd[[#This Row],[Food]],-1,0)+OFFSET(TblProd[[#This Row],[Food/hr]],-1,0)+ROUNDUP((TblConstr[[#This Row],[Farms]]*80+TblConstr[[#This Row],[Docks]]*35)*(1+OFFSET(TblProd[[#This Row],[Bonus Food/hr]],-1,0)),0)</f>
        <v>347737</v>
      </c>
      <c r="K101" s="69" t="n">
        <f aca="false">OFFSET(TblProd[[#This Row],[Lumber]],-1,0)+OFFSET(TblProd[[#This Row],[Lumber/hr]],-1,0) - TblProd[[#This Row],[Expenses Lumber]] + SUM(TblConstr[[#This Row],[Dest Hom]:[Dest Doc]])*TblConstr[[#This Row],[CPA Lumber -DB]]*tech_3_3_2*TblTech[[#This Row],[3-3]]</f>
        <v>36302</v>
      </c>
      <c r="L101" s="69" t="n">
        <f aca="false">OFFSET(TblProd[[#This Row],[Mana]],-1,0)+OFFSET(TblProd[[#This Row],[Mana/hr]],-1,0)- TblProd[[#This Row],[Expenses Mana]]</f>
        <v>254373</v>
      </c>
      <c r="M101" s="69" t="n">
        <f aca="false">OFFSET(TblProd[[#This Row],[Ore]],-1,0)+OFFSET(TblProd[[#This Row],[Ore/hr]],-1,0) -TblProd[[#This Row],[Expenses Ore]]</f>
        <v>-357</v>
      </c>
      <c r="N101" s="69" t="n">
        <f aca="false">OFFSET(TblProd[[#This Row],[Gems]],-1,0)+OFFSET(TblProd[[#This Row],[Gems/hr]],-1,0) - TblProd[[#This Row],[Expenses Gems]]</f>
        <v>-1000</v>
      </c>
      <c r="O101" s="69" t="n">
        <f aca="false">OFFSET(TblProd[[#This Row],[Boats]],-1,0)+OFFSET(TblProd[[#This Row],[Boats/hr]],-1,0)</f>
        <v>58.2500000000001</v>
      </c>
      <c r="P101" s="69" t="n">
        <f aca="false">OFFSET(TblProd[[#This Row],[Prestige]],-1,0)</f>
        <v>250</v>
      </c>
      <c r="Q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1" s="69" t="n">
        <f aca="false">MAX(3750,_xlfn.CEILING.MATH(TblProd[[#This Row],[Land]]*2.5+OFFSET(TblTech[[#This Row],[Sum of tech]],-1,0)*150))</f>
        <v>3750</v>
      </c>
      <c r="S101" s="132"/>
      <c r="T101" s="69" t="n">
        <f aca="false">ROUNDDOWN(TblProd[[#This Row],[Raw Plat/hr]]*(1+TblProd[[#This Row],[Bonus Plat/hr]]),0)</f>
        <v>40850</v>
      </c>
      <c r="U101" s="69" t="n">
        <f aca="false">ROUND(TblProd[[#This Row],[Raw Food/hr]]*(1+TblProd[[#This Row],[Bonus Food/hr]])-TblProd[[#This Row],[Food decay]]-TblProd[[#This Row],[Food eaten]],0)</f>
        <v>-3350</v>
      </c>
      <c r="V101" s="69" t="n">
        <f aca="false">ROUND(TblProd[[#This Row],[Raw Lumber/hr]]*(1+TblProd[[#This Row],[Bonus Lumber/hr]])-TblProd[[#This Row],[Lumber rot]],0)</f>
        <v>762</v>
      </c>
      <c r="W101" s="69" t="n">
        <f aca="false">ROUND(TblProd[[#This Row],[Raw Mana/hr]]*(1+TblProd[[#This Row],[Bonus Mana/hr]])-TblProd[[#This Row],[Mana drain]],0)</f>
        <v>-4362</v>
      </c>
      <c r="X101" s="69" t="n">
        <f aca="false">ROUNDDOWN(TblProd[[#This Row],[Raw Ore/hr]]*(1+TblProd[[#This Row],[Bonux Ore/hr]]),0)</f>
        <v>0</v>
      </c>
      <c r="Y101" s="69" t="n">
        <f aca="false">ROUNDDOWN(TblProd[[#This Row],[Raw Gems/hr]]*(1+TblProd[[#This Row],[Bonus Gems/hr]]),0)</f>
        <v>0</v>
      </c>
      <c r="Z101" s="148" t="n">
        <f aca="false">OFFSET(TblConstr[[#This Row],[Tot Doc]],1,0)*dock_boats_hr * (1 + tech_4_1*TblTech[[#This Row],[4-1]])</f>
        <v>1.2</v>
      </c>
      <c r="AA101" s="146"/>
      <c r="AB101" s="69" t="n">
        <f aca="false">TblPop[[#This Row],[Peasants]]*tax*TblPop[[#This Row],[Employment]] + (Construction!AZ102+Construction!BX102)*(alch_plat+(Magic!AM101&gt;0)*alchemist_flame_bonus)</f>
        <v>37136.9</v>
      </c>
      <c r="AC101" s="69" t="n">
        <f aca="false">TblConstr[[#This Row],[Tot Farm]]*farm_food + TblConstr[[#This Row],[Tot Doc]]*dock_food</f>
        <v>3280</v>
      </c>
      <c r="AD101" s="69" t="n">
        <f aca="false">TblConstr[[#This Row],[Tot Ly]]*ly_lumber + TblConstr[[#This Row],[Tot Hav]]*fh_lumber</f>
        <v>1250</v>
      </c>
      <c r="AE101" s="69" t="n">
        <f aca="false">OFFSET(TblConstr[[#This Row],[Tot Tow]],1,0)*(tower_mana + tech_4_5*TblTech[[#This Row],[4-5]]) + OFFSET(TblConstr[[#This Row],[Tot WG]],1,0)*wg_mana_prod</f>
        <v>725</v>
      </c>
      <c r="AF101" s="69" t="n">
        <f aca="false">OFFSET(TblConstr[[#This Row],[Tot OM]],1,0)*om_ore+IF(race="Dwarf",ROUNDDOWN(TblMili[[#This Row],[Unit 2]]*0.4,0),)</f>
        <v>0</v>
      </c>
      <c r="AG101" s="69" t="n">
        <f aca="false">OFFSET(TblConstr[[#This Row],[Tot DM]],1,0)*dm_gems</f>
        <v>0</v>
      </c>
      <c r="AH101" s="132"/>
      <c r="AI101" s="149" t="n">
        <f aca="false">MIN(race_platinum_bonus + IF(TblMagic[[#This Row],[Active Alch Frost]]&gt;0,alch_frost_bonus,IF(Magic!AD101&gt;0,midas_bonus)) + TblImps[[#This Row],[Science]] - TblProd[[#This Row],[Guard]]*(0.02 + tech_5_7*TblTech[[#This Row],[5-7]]) + tech_1_5*TblTech[[#This Row],[1-5]] + tech_4_4*TblTech[[#This Row],[4-4]], 0.5)</f>
        <v>0.1</v>
      </c>
      <c r="AJ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1" s="149" t="n">
        <f aca="false">race_lumber_bonus+ IF(TblMagic[[#This Row],[Active Gaia''s Blessing]]&gt;0,gaias_blessing_lumber)+ tech_1_3*TblTech[[#This Row],[1-3]] + tech_1_6*TblTech[[#This Row],[1-6]] + tech_3_3*TblTech[[#This Row],[3-3]]</f>
        <v>-0.1</v>
      </c>
      <c r="AL101" s="149" t="n">
        <f aca="false">race_mana_bonus+ 0 + TblImps[[#This Row],[Towers]] + tech_1_2*TblTech[[#This Row],[1-2]] + tech_3_4*TblTech[[#This Row],[3-4]]</f>
        <v>0</v>
      </c>
      <c r="AM101" s="149" t="n">
        <f aca="false">race_ore_bonus + IF(TblMagic[[#This Row],[Active Miner''s Sight]]&gt;0,miners_sight_bonus,IF(TblMagic[[#This Row],[Active Mining Strength]]&gt;0,mining_strength_bonus)) +  tech_1_6*TblTech[[#This Row],[1-6]]</f>
        <v>0</v>
      </c>
      <c r="AN101" s="149" t="n">
        <f aca="false">race_gem_bonus+ tech_3_2*TblTech[[#This Row],[3-2]] + tech_4_3*TblTech[[#This Row],[4-3]] + tech_6_2*TblTech[[#This Row],[6-2]]</f>
        <v>0.15</v>
      </c>
      <c r="AO101" s="132"/>
      <c r="AP101" s="69" t="n">
        <f aca="false">TblProd[[#This Row],[Food]]*food_decay * (1 + tech_2_1*TblTech[[#This Row],[2-1]] + tech_2_8*TblTech[[#This Row],[2-8]])</f>
        <v>3477.37</v>
      </c>
      <c r="AQ101" s="69" t="n">
        <f aca="false">(1+race_food_consumption)*TblPop[[#This Row],[Total]]*food_per_person*(1+tech_1_10*TblTech[[#This Row],[1-10]]+tech_7_5*TblTech[[#This Row],[7-5]])</f>
        <v>3234.75</v>
      </c>
      <c r="AR101" s="69" t="n">
        <f aca="false">TblProd[[#This Row],[Lumber]]*lumber_rot * (1 + tech_2_1*TblTech[[#This Row],[2-1]] + tech_2_8*TblTech[[#This Row],[2-8]] + tech_5_2*TblTech[[#This Row],[5-2]])</f>
        <v>363.02</v>
      </c>
      <c r="AS101" s="69" t="n">
        <f aca="false">TblProd[[#This Row],[Mana]]*mana_drain * (1 + tech_2_1*TblTech[[#This Row],[2-1]] + tech_2_8*TblTech[[#This Row],[2-8]])</f>
        <v>5087.46</v>
      </c>
      <c r="AT101" s="146"/>
      <c r="AU101" s="69" t="n">
        <f aca="false">TblExplore[[#This Row],[Platinum (2)]]+TblConstr[[#This Row],[Total Plat Cost]]+TblMili[[#This Row],[Plat Cost]]+TblRezone[[#This Row],[Platinum cost]]+TblImps[[#This Row],[P1]]-TblProd[[#This Row],[Bank Plat]]</f>
        <v>0</v>
      </c>
      <c r="AV101" s="69" t="n">
        <f aca="false">TblConstr[[#This Row],[Total Lum Cost]]+TblImps[[#This Row],[L1]]-TblProd[[#This Row],[Bank Lumber]] + Military!$CL$25*TblMili[[#This Row],[Sec. rec. Cost]]</f>
        <v>0</v>
      </c>
      <c r="AW101" s="69" t="n">
        <f aca="false">TblMagic[[#This Row],[Mana cost]] + Military!$CL$26*TblMili[[#This Row],[Sec. rec. Cost]]</f>
        <v>0</v>
      </c>
      <c r="AX101" s="69" t="n">
        <f aca="false">Military!$CL$24*TblMili[[#This Row],[Sec. rec. Cost]]+TblImps[[#This Row],[O1]]-TblProd[[#This Row],[Bank Ore]]</f>
        <v>0</v>
      </c>
      <c r="AY101" s="69" t="n">
        <f aca="false">TblImps[[#This Row],[G1]]-TblProd[[#This Row],[Bank Gems]]</f>
        <v>0</v>
      </c>
      <c r="AZ101" s="132"/>
      <c r="BA101" s="33" t="n">
        <f aca="false">IF(TblProd[[#This Row],[Set Guard]]&lt;&gt;"",TblProd[[#This Row],[Set Guard]],OFFSET(TblProd[[#This Row],[Guard]],-1,0))</f>
        <v>0</v>
      </c>
      <c r="BB101" s="145"/>
      <c r="BC101" s="151" t="n">
        <f aca="false">TblProd[[#This Row],[Hour]]</f>
        <v>26</v>
      </c>
      <c r="BD101" s="152" t="n">
        <f aca="false">-TblProd[[#This Row],[Bank Lumber]] / 2 + -TblProd[[#This Row],[Bank Gems]] * 2 + -TblProd[[#This Row],[Bank Ore]] / 2</f>
        <v>0</v>
      </c>
      <c r="BE101" s="152"/>
      <c r="BF101" s="152"/>
      <c r="BG101" s="152"/>
      <c r="BH101" s="153" t="n">
        <f aca="false">TblProd[[#This Row],[Time]]</f>
        <v>45433.7916666667</v>
      </c>
      <c r="BI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J101" s="69" t="n">
        <f aca="false">TblProd[[#This Row],[Platinum]]</f>
        <v>1065538</v>
      </c>
      <c r="BK101" s="69" t="n">
        <f aca="false">TblProd[[#This Row],[Food]]</f>
        <v>347737</v>
      </c>
      <c r="BL101" s="69" t="n">
        <f aca="false">TblProd[[#This Row],[Lumber]]</f>
        <v>36302</v>
      </c>
      <c r="BM101" s="69" t="n">
        <f aca="false">TblProd[[#This Row],[Mana]]</f>
        <v>254373</v>
      </c>
      <c r="BN101" s="69" t="n">
        <f aca="false">TblProd[[#This Row],[Ore]]</f>
        <v>-357</v>
      </c>
    </row>
    <row r="102" customFormat="false" ht="12.75" hidden="false" customHeight="false" outlineLevel="0" collapsed="false">
      <c r="A102" s="128" t="n">
        <v>27</v>
      </c>
      <c r="B102" s="144" t="n">
        <f aca="false">TblImps[[#This Row],[Time]]</f>
        <v>45433.8333333333</v>
      </c>
      <c r="C102" s="145"/>
      <c r="D102" s="146"/>
      <c r="E102" s="69" t="n">
        <f aca="false">TblConstr[[#This Row],[Land]]</f>
        <v>700</v>
      </c>
      <c r="F102" s="69" t="n">
        <f aca="false">TblPop[[#This Row],[Peasants]]</f>
        <v>7769</v>
      </c>
      <c r="G102" s="69"/>
      <c r="H102" s="69" t="e">
        <f aca="false">TblMili[[#This Row],[Networth (2)]]</f>
        <v>#VALUE!</v>
      </c>
      <c r="I102" s="69" t="n">
        <f aca="false">OFFSET(TblProd[[#This Row],[Platinum]],-1,0)+OFFSET(TblProd[[#This Row],[Plat/hr]],-1,0) - TblProd[[#This Row],[Expenses Platinum]] + IF(TblProd[[#This Row],[Plat Bonus]],TblPop[[#This Row],[Peasants]]*4) + SUM(TblConstr[[#This Row],[Dest Hom]:[Dest Doc]])*TblConstr[[#This Row],[CPA Platinum -DB]]*tech_3_3_2*TblTech[[#This Row],[3-3]]</f>
        <v>1106388</v>
      </c>
      <c r="J102" s="69" t="n">
        <f aca="false">OFFSET(TblProd[[#This Row],[Food]],-1,0)+OFFSET(TblProd[[#This Row],[Food/hr]],-1,0)+ROUNDUP((TblConstr[[#This Row],[Farms]]*80+TblConstr[[#This Row],[Docks]]*35)*(1+OFFSET(TblProd[[#This Row],[Bonus Food/hr]],-1,0)),0)</f>
        <v>344387</v>
      </c>
      <c r="K102" s="69" t="n">
        <f aca="false">OFFSET(TblProd[[#This Row],[Lumber]],-1,0)+OFFSET(TblProd[[#This Row],[Lumber/hr]],-1,0) - TblProd[[#This Row],[Expenses Lumber]] + SUM(TblConstr[[#This Row],[Dest Hom]:[Dest Doc]])*TblConstr[[#This Row],[CPA Lumber -DB]]*tech_3_3_2*TblTech[[#This Row],[3-3]]</f>
        <v>37064</v>
      </c>
      <c r="L102" s="69" t="n">
        <f aca="false">OFFSET(TblProd[[#This Row],[Mana]],-1,0)+OFFSET(TblProd[[#This Row],[Mana/hr]],-1,0)- TblProd[[#This Row],[Expenses Mana]]</f>
        <v>250011</v>
      </c>
      <c r="M102" s="69" t="n">
        <f aca="false">OFFSET(TblProd[[#This Row],[Ore]],-1,0)+OFFSET(TblProd[[#This Row],[Ore/hr]],-1,0) -TblProd[[#This Row],[Expenses Ore]]</f>
        <v>-357</v>
      </c>
      <c r="N102" s="69" t="n">
        <f aca="false">OFFSET(TblProd[[#This Row],[Gems]],-1,0)+OFFSET(TblProd[[#This Row],[Gems/hr]],-1,0) - TblProd[[#This Row],[Expenses Gems]]</f>
        <v>-1000</v>
      </c>
      <c r="O102" s="69" t="n">
        <f aca="false">OFFSET(TblProd[[#This Row],[Boats]],-1,0)+OFFSET(TblProd[[#This Row],[Boats/hr]],-1,0)</f>
        <v>59.4500000000001</v>
      </c>
      <c r="P102" s="69" t="n">
        <f aca="false">OFFSET(TblProd[[#This Row],[Prestige]],-1,0)</f>
        <v>250</v>
      </c>
      <c r="Q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2" s="69" t="n">
        <f aca="false">MAX(3750,_xlfn.CEILING.MATH(TblProd[[#This Row],[Land]]*2.5+OFFSET(TblTech[[#This Row],[Sum of tech]],-1,0)*150))</f>
        <v>3750</v>
      </c>
      <c r="S102" s="132"/>
      <c r="T102" s="69" t="n">
        <f aca="false">ROUNDDOWN(TblProd[[#This Row],[Raw Plat/hr]]*(1+TblProd[[#This Row],[Bonus Plat/hr]]),0)</f>
        <v>40618</v>
      </c>
      <c r="U102" s="69" t="n">
        <f aca="false">ROUND(TblProd[[#This Row],[Raw Food/hr]]*(1+TblProd[[#This Row],[Bonus Food/hr]])-TblProd[[#This Row],[Food decay]]-TblProd[[#This Row],[Food eaten]],0)</f>
        <v>-3317</v>
      </c>
      <c r="V102" s="69" t="n">
        <f aca="false">ROUND(TblProd[[#This Row],[Raw Lumber/hr]]*(1+TblProd[[#This Row],[Bonus Lumber/hr]])-TblProd[[#This Row],[Lumber rot]],0)</f>
        <v>754</v>
      </c>
      <c r="W102" s="69" t="n">
        <f aca="false">ROUND(TblProd[[#This Row],[Raw Mana/hr]]*(1+TblProd[[#This Row],[Bonus Mana/hr]])-TblProd[[#This Row],[Mana drain]],0)</f>
        <v>-4275</v>
      </c>
      <c r="X102" s="69" t="n">
        <f aca="false">ROUNDDOWN(TblProd[[#This Row],[Raw Ore/hr]]*(1+TblProd[[#This Row],[Bonux Ore/hr]]),0)</f>
        <v>0</v>
      </c>
      <c r="Y102" s="69" t="n">
        <f aca="false">ROUNDDOWN(TblProd[[#This Row],[Raw Gems/hr]]*(1+TblProd[[#This Row],[Bonus Gems/hr]]),0)</f>
        <v>0</v>
      </c>
      <c r="Z102" s="148" t="n">
        <f aca="false">OFFSET(TblConstr[[#This Row],[Tot Doc]],1,0)*dock_boats_hr * (1 + tech_4_1*TblTech[[#This Row],[4-1]])</f>
        <v>1.2</v>
      </c>
      <c r="AA102" s="146"/>
      <c r="AB102" s="69" t="n">
        <f aca="false">TblPop[[#This Row],[Peasants]]*tax*TblPop[[#This Row],[Employment]] + (Construction!AZ103+Construction!BX103)*(alch_plat+(Magic!AM102&gt;0)*alchemist_flame_bonus)</f>
        <v>36926.3</v>
      </c>
      <c r="AC102" s="69" t="n">
        <f aca="false">TblConstr[[#This Row],[Tot Farm]]*farm_food + TblConstr[[#This Row],[Tot Doc]]*dock_food</f>
        <v>3280</v>
      </c>
      <c r="AD102" s="69" t="n">
        <f aca="false">TblConstr[[#This Row],[Tot Ly]]*ly_lumber + TblConstr[[#This Row],[Tot Hav]]*fh_lumber</f>
        <v>1250</v>
      </c>
      <c r="AE102" s="69" t="n">
        <f aca="false">OFFSET(TblConstr[[#This Row],[Tot Tow]],1,0)*(tower_mana + tech_4_5*TblTech[[#This Row],[4-5]]) + OFFSET(TblConstr[[#This Row],[Tot WG]],1,0)*wg_mana_prod</f>
        <v>725</v>
      </c>
      <c r="AF102" s="69" t="n">
        <f aca="false">OFFSET(TblConstr[[#This Row],[Tot OM]],1,0)*om_ore+IF(race="Dwarf",ROUNDDOWN(TblMili[[#This Row],[Unit 2]]*0.4,0),)</f>
        <v>0</v>
      </c>
      <c r="AG102" s="69" t="n">
        <f aca="false">OFFSET(TblConstr[[#This Row],[Tot DM]],1,0)*dm_gems</f>
        <v>0</v>
      </c>
      <c r="AH102" s="132"/>
      <c r="AI102" s="149" t="n">
        <f aca="false">MIN(race_platinum_bonus + IF(TblMagic[[#This Row],[Active Alch Frost]]&gt;0,alch_frost_bonus,IF(Magic!AD102&gt;0,midas_bonus)) + TblImps[[#This Row],[Science]] - TblProd[[#This Row],[Guard]]*(0.02 + tech_5_7*TblTech[[#This Row],[5-7]]) + tech_1_5*TblTech[[#This Row],[1-5]] + tech_4_4*TblTech[[#This Row],[4-4]], 0.5)</f>
        <v>0.1</v>
      </c>
      <c r="AJ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2" s="149" t="n">
        <f aca="false">race_lumber_bonus+ IF(TblMagic[[#This Row],[Active Gaia''s Blessing]]&gt;0,gaias_blessing_lumber)+ tech_1_3*TblTech[[#This Row],[1-3]] + tech_1_6*TblTech[[#This Row],[1-6]] + tech_3_3*TblTech[[#This Row],[3-3]]</f>
        <v>-0.1</v>
      </c>
      <c r="AL102" s="149" t="n">
        <f aca="false">race_mana_bonus+ 0 + TblImps[[#This Row],[Towers]] + tech_1_2*TblTech[[#This Row],[1-2]] + tech_3_4*TblTech[[#This Row],[3-4]]</f>
        <v>0</v>
      </c>
      <c r="AM102" s="149" t="n">
        <f aca="false">race_ore_bonus + IF(TblMagic[[#This Row],[Active Miner''s Sight]]&gt;0,miners_sight_bonus,IF(TblMagic[[#This Row],[Active Mining Strength]]&gt;0,mining_strength_bonus)) +  tech_1_6*TblTech[[#This Row],[1-6]]</f>
        <v>0</v>
      </c>
      <c r="AN102" s="149" t="n">
        <f aca="false">race_gem_bonus+ tech_3_2*TblTech[[#This Row],[3-2]] + tech_4_3*TblTech[[#This Row],[4-3]] + tech_6_2*TblTech[[#This Row],[6-2]]</f>
        <v>0.15</v>
      </c>
      <c r="AO102" s="132"/>
      <c r="AP102" s="69" t="n">
        <f aca="false">TblProd[[#This Row],[Food]]*food_decay * (1 + tech_2_1*TblTech[[#This Row],[2-1]] + tech_2_8*TblTech[[#This Row],[2-8]])</f>
        <v>3443.87</v>
      </c>
      <c r="AQ102" s="69" t="n">
        <f aca="false">(1+race_food_consumption)*TblPop[[#This Row],[Total]]*food_per_person*(1+tech_1_10*TblTech[[#This Row],[1-10]]+tech_7_5*TblTech[[#This Row],[7-5]])</f>
        <v>3234.75</v>
      </c>
      <c r="AR102" s="69" t="n">
        <f aca="false">TblProd[[#This Row],[Lumber]]*lumber_rot * (1 + tech_2_1*TblTech[[#This Row],[2-1]] + tech_2_8*TblTech[[#This Row],[2-8]] + tech_5_2*TblTech[[#This Row],[5-2]])</f>
        <v>370.64</v>
      </c>
      <c r="AS102" s="69" t="n">
        <f aca="false">TblProd[[#This Row],[Mana]]*mana_drain * (1 + tech_2_1*TblTech[[#This Row],[2-1]] + tech_2_8*TblTech[[#This Row],[2-8]])</f>
        <v>5000.22</v>
      </c>
      <c r="AT102" s="146"/>
      <c r="AU102" s="69" t="n">
        <f aca="false">TblExplore[[#This Row],[Platinum (2)]]+TblConstr[[#This Row],[Total Plat Cost]]+TblMili[[#This Row],[Plat Cost]]+TblRezone[[#This Row],[Platinum cost]]+TblImps[[#This Row],[P1]]-TblProd[[#This Row],[Bank Plat]]</f>
        <v>0</v>
      </c>
      <c r="AV102" s="69" t="n">
        <f aca="false">TblConstr[[#This Row],[Total Lum Cost]]+TblImps[[#This Row],[L1]]-TblProd[[#This Row],[Bank Lumber]] + Military!$CL$25*TblMili[[#This Row],[Sec. rec. Cost]]</f>
        <v>0</v>
      </c>
      <c r="AW102" s="69" t="n">
        <f aca="false">TblMagic[[#This Row],[Mana cost]] + Military!$CL$26*TblMili[[#This Row],[Sec. rec. Cost]]</f>
        <v>0</v>
      </c>
      <c r="AX102" s="69" t="n">
        <f aca="false">Military!$CL$24*TblMili[[#This Row],[Sec. rec. Cost]]+TblImps[[#This Row],[O1]]-TblProd[[#This Row],[Bank Ore]]</f>
        <v>0</v>
      </c>
      <c r="AY102" s="69" t="n">
        <f aca="false">TblImps[[#This Row],[G1]]-TblProd[[#This Row],[Bank Gems]]</f>
        <v>0</v>
      </c>
      <c r="AZ102" s="132"/>
      <c r="BA102" s="33" t="n">
        <f aca="false">IF(TblProd[[#This Row],[Set Guard]]&lt;&gt;"",TblProd[[#This Row],[Set Guard]],OFFSET(TblProd[[#This Row],[Guard]],-1,0))</f>
        <v>0</v>
      </c>
      <c r="BB102" s="145"/>
      <c r="BC102" s="151" t="n">
        <f aca="false">TblProd[[#This Row],[Hour]]</f>
        <v>27</v>
      </c>
      <c r="BD102" s="152" t="n">
        <f aca="false">-TblProd[[#This Row],[Bank Lumber]] / 2 + -TblProd[[#This Row],[Bank Gems]] * 2 + -TblProd[[#This Row],[Bank Ore]] / 2</f>
        <v>0</v>
      </c>
      <c r="BE102" s="152"/>
      <c r="BF102" s="152"/>
      <c r="BG102" s="152"/>
      <c r="BH102" s="153" t="n">
        <f aca="false">TblProd[[#This Row],[Time]]</f>
        <v>45433.8333333333</v>
      </c>
      <c r="BI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J102" s="69" t="n">
        <f aca="false">TblProd[[#This Row],[Platinum]]</f>
        <v>1106388</v>
      </c>
      <c r="BK102" s="69" t="n">
        <f aca="false">TblProd[[#This Row],[Food]]</f>
        <v>344387</v>
      </c>
      <c r="BL102" s="69" t="n">
        <f aca="false">TblProd[[#This Row],[Lumber]]</f>
        <v>37064</v>
      </c>
      <c r="BM102" s="69" t="n">
        <f aca="false">TblProd[[#This Row],[Mana]]</f>
        <v>250011</v>
      </c>
      <c r="BN102" s="69" t="n">
        <f aca="false">TblProd[[#This Row],[Ore]]</f>
        <v>-357</v>
      </c>
    </row>
    <row r="103" customFormat="false" ht="12.75" hidden="false" customHeight="false" outlineLevel="0" collapsed="false">
      <c r="A103" s="128" t="n">
        <v>28</v>
      </c>
      <c r="B103" s="144" t="n">
        <f aca="false">TblImps[[#This Row],[Time]]</f>
        <v>45433.875</v>
      </c>
      <c r="C103" s="145"/>
      <c r="D103" s="146"/>
      <c r="E103" s="69" t="n">
        <f aca="false">TblConstr[[#This Row],[Land]]</f>
        <v>700</v>
      </c>
      <c r="F103" s="69" t="n">
        <f aca="false">TblPop[[#This Row],[Peasants]]</f>
        <v>7691</v>
      </c>
      <c r="G103" s="69"/>
      <c r="H103" s="69" t="e">
        <f aca="false">TblMili[[#This Row],[Networth (2)]]</f>
        <v>#VALUE!</v>
      </c>
      <c r="I103" s="69" t="n">
        <f aca="false">OFFSET(TblProd[[#This Row],[Platinum]],-1,0)+OFFSET(TblProd[[#This Row],[Plat/hr]],-1,0) - TblProd[[#This Row],[Expenses Platinum]] + IF(TblProd[[#This Row],[Plat Bonus]],TblPop[[#This Row],[Peasants]]*4) + SUM(TblConstr[[#This Row],[Dest Hom]:[Dest Doc]])*TblConstr[[#This Row],[CPA Platinum -DB]]*tech_3_3_2*TblTech[[#This Row],[3-3]]</f>
        <v>1147006</v>
      </c>
      <c r="J103" s="69" t="n">
        <f aca="false">OFFSET(TblProd[[#This Row],[Food]],-1,0)+OFFSET(TblProd[[#This Row],[Food/hr]],-1,0)+ROUNDUP((TblConstr[[#This Row],[Farms]]*80+TblConstr[[#This Row],[Docks]]*35)*(1+OFFSET(TblProd[[#This Row],[Bonus Food/hr]],-1,0)),0)</f>
        <v>341070</v>
      </c>
      <c r="K103" s="69" t="n">
        <f aca="false">OFFSET(TblProd[[#This Row],[Lumber]],-1,0)+OFFSET(TblProd[[#This Row],[Lumber/hr]],-1,0) - TblProd[[#This Row],[Expenses Lumber]] + SUM(TblConstr[[#This Row],[Dest Hom]:[Dest Doc]])*TblConstr[[#This Row],[CPA Lumber -DB]]*tech_3_3_2*TblTech[[#This Row],[3-3]]</f>
        <v>37818</v>
      </c>
      <c r="L103" s="69" t="n">
        <f aca="false">OFFSET(TblProd[[#This Row],[Mana]],-1,0)+OFFSET(TblProd[[#This Row],[Mana/hr]],-1,0)- TblProd[[#This Row],[Expenses Mana]]</f>
        <v>245736</v>
      </c>
      <c r="M103" s="69" t="n">
        <f aca="false">OFFSET(TblProd[[#This Row],[Ore]],-1,0)+OFFSET(TblProd[[#This Row],[Ore/hr]],-1,0) -TblProd[[#This Row],[Expenses Ore]]</f>
        <v>-357</v>
      </c>
      <c r="N103" s="69" t="n">
        <f aca="false">OFFSET(TblProd[[#This Row],[Gems]],-1,0)+OFFSET(TblProd[[#This Row],[Gems/hr]],-1,0) - TblProd[[#This Row],[Expenses Gems]]</f>
        <v>-1000</v>
      </c>
      <c r="O103" s="69" t="n">
        <f aca="false">OFFSET(TblProd[[#This Row],[Boats]],-1,0)+OFFSET(TblProd[[#This Row],[Boats/hr]],-1,0)</f>
        <v>60.6500000000001</v>
      </c>
      <c r="P103" s="69" t="n">
        <f aca="false">OFFSET(TblProd[[#This Row],[Prestige]],-1,0)</f>
        <v>250</v>
      </c>
      <c r="Q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3" s="69" t="n">
        <f aca="false">MAX(3750,_xlfn.CEILING.MATH(TblProd[[#This Row],[Land]]*2.5+OFFSET(TblTech[[#This Row],[Sum of tech]],-1,0)*150))</f>
        <v>3750</v>
      </c>
      <c r="S103" s="132"/>
      <c r="T103" s="69" t="n">
        <f aca="false">ROUNDDOWN(TblProd[[#This Row],[Raw Plat/hr]]*(1+TblProd[[#This Row],[Bonus Plat/hr]]),0)</f>
        <v>40387</v>
      </c>
      <c r="U103" s="69" t="n">
        <f aca="false">ROUND(TblProd[[#This Row],[Raw Food/hr]]*(1+TblProd[[#This Row],[Bonus Food/hr]])-TblProd[[#This Row],[Food decay]]-TblProd[[#This Row],[Food eaten]],0)</f>
        <v>-3283</v>
      </c>
      <c r="V103" s="69" t="n">
        <f aca="false">ROUND(TblProd[[#This Row],[Raw Lumber/hr]]*(1+TblProd[[#This Row],[Bonus Lumber/hr]])-TblProd[[#This Row],[Lumber rot]],0)</f>
        <v>747</v>
      </c>
      <c r="W103" s="69" t="n">
        <f aca="false">ROUND(TblProd[[#This Row],[Raw Mana/hr]]*(1+TblProd[[#This Row],[Bonus Mana/hr]])-TblProd[[#This Row],[Mana drain]],0)</f>
        <v>-4190</v>
      </c>
      <c r="X103" s="69" t="n">
        <f aca="false">ROUNDDOWN(TblProd[[#This Row],[Raw Ore/hr]]*(1+TblProd[[#This Row],[Bonux Ore/hr]]),0)</f>
        <v>0</v>
      </c>
      <c r="Y103" s="69" t="n">
        <f aca="false">ROUNDDOWN(TblProd[[#This Row],[Raw Gems/hr]]*(1+TblProd[[#This Row],[Bonus Gems/hr]]),0)</f>
        <v>0</v>
      </c>
      <c r="Z103" s="148" t="n">
        <f aca="false">OFFSET(TblConstr[[#This Row],[Tot Doc]],1,0)*dock_boats_hr * (1 + tech_4_1*TblTech[[#This Row],[4-1]])</f>
        <v>1.2</v>
      </c>
      <c r="AA103" s="146"/>
      <c r="AB103" s="69" t="n">
        <f aca="false">TblPop[[#This Row],[Peasants]]*tax*TblPop[[#This Row],[Employment]] + (Construction!AZ104+Construction!BX104)*(alch_plat+(Magic!AM103&gt;0)*alchemist_flame_bonus)</f>
        <v>36715.7</v>
      </c>
      <c r="AC103" s="69" t="n">
        <f aca="false">TblConstr[[#This Row],[Tot Farm]]*farm_food + TblConstr[[#This Row],[Tot Doc]]*dock_food</f>
        <v>3280</v>
      </c>
      <c r="AD103" s="69" t="n">
        <f aca="false">TblConstr[[#This Row],[Tot Ly]]*ly_lumber + TblConstr[[#This Row],[Tot Hav]]*fh_lumber</f>
        <v>1250</v>
      </c>
      <c r="AE103" s="69" t="n">
        <f aca="false">OFFSET(TblConstr[[#This Row],[Tot Tow]],1,0)*(tower_mana + tech_4_5*TblTech[[#This Row],[4-5]]) + OFFSET(TblConstr[[#This Row],[Tot WG]],1,0)*wg_mana_prod</f>
        <v>725</v>
      </c>
      <c r="AF103" s="69" t="n">
        <f aca="false">OFFSET(TblConstr[[#This Row],[Tot OM]],1,0)*om_ore+IF(race="Dwarf",ROUNDDOWN(TblMili[[#This Row],[Unit 2]]*0.4,0),)</f>
        <v>0</v>
      </c>
      <c r="AG103" s="69" t="n">
        <f aca="false">OFFSET(TblConstr[[#This Row],[Tot DM]],1,0)*dm_gems</f>
        <v>0</v>
      </c>
      <c r="AH103" s="132"/>
      <c r="AI103" s="149" t="n">
        <f aca="false">MIN(race_platinum_bonus + IF(TblMagic[[#This Row],[Active Alch Frost]]&gt;0,alch_frost_bonus,IF(Magic!AD103&gt;0,midas_bonus)) + TblImps[[#This Row],[Science]] - TblProd[[#This Row],[Guard]]*(0.02 + tech_5_7*TblTech[[#This Row],[5-7]]) + tech_1_5*TblTech[[#This Row],[1-5]] + tech_4_4*TblTech[[#This Row],[4-4]], 0.5)</f>
        <v>0.1</v>
      </c>
      <c r="AJ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3" s="149" t="n">
        <f aca="false">race_lumber_bonus+ IF(TblMagic[[#This Row],[Active Gaia''s Blessing]]&gt;0,gaias_blessing_lumber)+ tech_1_3*TblTech[[#This Row],[1-3]] + tech_1_6*TblTech[[#This Row],[1-6]] + tech_3_3*TblTech[[#This Row],[3-3]]</f>
        <v>-0.1</v>
      </c>
      <c r="AL103" s="149" t="n">
        <f aca="false">race_mana_bonus+ 0 + TblImps[[#This Row],[Towers]] + tech_1_2*TblTech[[#This Row],[1-2]] + tech_3_4*TblTech[[#This Row],[3-4]]</f>
        <v>0</v>
      </c>
      <c r="AM103" s="149" t="n">
        <f aca="false">race_ore_bonus + IF(TblMagic[[#This Row],[Active Miner''s Sight]]&gt;0,miners_sight_bonus,IF(TblMagic[[#This Row],[Active Mining Strength]]&gt;0,mining_strength_bonus)) +  tech_1_6*TblTech[[#This Row],[1-6]]</f>
        <v>0</v>
      </c>
      <c r="AN103" s="149" t="n">
        <f aca="false">race_gem_bonus+ tech_3_2*TblTech[[#This Row],[3-2]] + tech_4_3*TblTech[[#This Row],[4-3]] + tech_6_2*TblTech[[#This Row],[6-2]]</f>
        <v>0.15</v>
      </c>
      <c r="AO103" s="132"/>
      <c r="AP103" s="69" t="n">
        <f aca="false">TblProd[[#This Row],[Food]]*food_decay * (1 + tech_2_1*TblTech[[#This Row],[2-1]] + tech_2_8*TblTech[[#This Row],[2-8]])</f>
        <v>3410.7</v>
      </c>
      <c r="AQ103" s="69" t="n">
        <f aca="false">(1+race_food_consumption)*TblPop[[#This Row],[Total]]*food_per_person*(1+tech_1_10*TblTech[[#This Row],[1-10]]+tech_7_5*TblTech[[#This Row],[7-5]])</f>
        <v>3234.75</v>
      </c>
      <c r="AR103" s="69" t="n">
        <f aca="false">TblProd[[#This Row],[Lumber]]*lumber_rot * (1 + tech_2_1*TblTech[[#This Row],[2-1]] + tech_2_8*TblTech[[#This Row],[2-8]] + tech_5_2*TblTech[[#This Row],[5-2]])</f>
        <v>378.18</v>
      </c>
      <c r="AS103" s="69" t="n">
        <f aca="false">TblProd[[#This Row],[Mana]]*mana_drain * (1 + tech_2_1*TblTech[[#This Row],[2-1]] + tech_2_8*TblTech[[#This Row],[2-8]])</f>
        <v>4914.72</v>
      </c>
      <c r="AT103" s="146"/>
      <c r="AU103" s="69" t="n">
        <f aca="false">TblExplore[[#This Row],[Platinum (2)]]+TblConstr[[#This Row],[Total Plat Cost]]+TblMili[[#This Row],[Plat Cost]]+TblRezone[[#This Row],[Platinum cost]]+TblImps[[#This Row],[P1]]-TblProd[[#This Row],[Bank Plat]]</f>
        <v>0</v>
      </c>
      <c r="AV103" s="69" t="n">
        <f aca="false">TblConstr[[#This Row],[Total Lum Cost]]+TblImps[[#This Row],[L1]]-TblProd[[#This Row],[Bank Lumber]] + Military!$CL$25*TblMili[[#This Row],[Sec. rec. Cost]]</f>
        <v>0</v>
      </c>
      <c r="AW103" s="69" t="n">
        <f aca="false">TblMagic[[#This Row],[Mana cost]] + Military!$CL$26*TblMili[[#This Row],[Sec. rec. Cost]]</f>
        <v>0</v>
      </c>
      <c r="AX103" s="69" t="n">
        <f aca="false">Military!$CL$24*TblMili[[#This Row],[Sec. rec. Cost]]+TblImps[[#This Row],[O1]]-TblProd[[#This Row],[Bank Ore]]</f>
        <v>0</v>
      </c>
      <c r="AY103" s="69" t="n">
        <f aca="false">TblImps[[#This Row],[G1]]-TblProd[[#This Row],[Bank Gems]]</f>
        <v>0</v>
      </c>
      <c r="AZ103" s="132"/>
      <c r="BA103" s="33" t="n">
        <f aca="false">IF(TblProd[[#This Row],[Set Guard]]&lt;&gt;"",TblProd[[#This Row],[Set Guard]],OFFSET(TblProd[[#This Row],[Guard]],-1,0))</f>
        <v>0</v>
      </c>
      <c r="BB103" s="145"/>
      <c r="BC103" s="151" t="n">
        <f aca="false">TblProd[[#This Row],[Hour]]</f>
        <v>28</v>
      </c>
      <c r="BD103" s="152" t="n">
        <f aca="false">-TblProd[[#This Row],[Bank Lumber]] / 2 + -TblProd[[#This Row],[Bank Gems]] * 2 + -TblProd[[#This Row],[Bank Ore]] / 2</f>
        <v>0</v>
      </c>
      <c r="BE103" s="152"/>
      <c r="BF103" s="152"/>
      <c r="BG103" s="152"/>
      <c r="BH103" s="153" t="n">
        <f aca="false">TblProd[[#This Row],[Time]]</f>
        <v>45433.875</v>
      </c>
      <c r="BI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J103" s="69" t="n">
        <f aca="false">TblProd[[#This Row],[Platinum]]</f>
        <v>1147006</v>
      </c>
      <c r="BK103" s="69" t="n">
        <f aca="false">TblProd[[#This Row],[Food]]</f>
        <v>341070</v>
      </c>
      <c r="BL103" s="69" t="n">
        <f aca="false">TblProd[[#This Row],[Lumber]]</f>
        <v>37818</v>
      </c>
      <c r="BM103" s="69" t="n">
        <f aca="false">TblProd[[#This Row],[Mana]]</f>
        <v>245736</v>
      </c>
      <c r="BN103" s="69" t="n">
        <f aca="false">TblProd[[#This Row],[Ore]]</f>
        <v>-357</v>
      </c>
    </row>
    <row r="104" customFormat="false" ht="12.75" hidden="false" customHeight="false" outlineLevel="0" collapsed="false">
      <c r="A104" s="128" t="n">
        <v>29</v>
      </c>
      <c r="B104" s="144" t="n">
        <f aca="false">TblImps[[#This Row],[Time]]</f>
        <v>45433.9166666667</v>
      </c>
      <c r="C104" s="145"/>
      <c r="D104" s="146"/>
      <c r="E104" s="69" t="n">
        <f aca="false">TblConstr[[#This Row],[Land]]</f>
        <v>700</v>
      </c>
      <c r="F104" s="69" t="n">
        <f aca="false">TblPop[[#This Row],[Peasants]]</f>
        <v>7614</v>
      </c>
      <c r="G104" s="69"/>
      <c r="H104" s="69" t="e">
        <f aca="false">TblMili[[#This Row],[Networth (2)]]</f>
        <v>#VALUE!</v>
      </c>
      <c r="I104" s="69" t="n">
        <f aca="false">OFFSET(TblProd[[#This Row],[Platinum]],-1,0)+OFFSET(TblProd[[#This Row],[Plat/hr]],-1,0) - TblProd[[#This Row],[Expenses Platinum]] + IF(TblProd[[#This Row],[Plat Bonus]],TblPop[[#This Row],[Peasants]]*4) + SUM(TblConstr[[#This Row],[Dest Hom]:[Dest Doc]])*TblConstr[[#This Row],[CPA Platinum -DB]]*tech_3_3_2*TblTech[[#This Row],[3-3]]</f>
        <v>1187393</v>
      </c>
      <c r="J104" s="69" t="n">
        <f aca="false">OFFSET(TblProd[[#This Row],[Food]],-1,0)+OFFSET(TblProd[[#This Row],[Food/hr]],-1,0)+ROUNDUP((TblConstr[[#This Row],[Farms]]*80+TblConstr[[#This Row],[Docks]]*35)*(1+OFFSET(TblProd[[#This Row],[Bonus Food/hr]],-1,0)),0)</f>
        <v>337787</v>
      </c>
      <c r="K104" s="69" t="n">
        <f aca="false">OFFSET(TblProd[[#This Row],[Lumber]],-1,0)+OFFSET(TblProd[[#This Row],[Lumber/hr]],-1,0) - TblProd[[#This Row],[Expenses Lumber]] + SUM(TblConstr[[#This Row],[Dest Hom]:[Dest Doc]])*TblConstr[[#This Row],[CPA Lumber -DB]]*tech_3_3_2*TblTech[[#This Row],[3-3]]</f>
        <v>38565</v>
      </c>
      <c r="L104" s="69" t="n">
        <f aca="false">OFFSET(TblProd[[#This Row],[Mana]],-1,0)+OFFSET(TblProd[[#This Row],[Mana/hr]],-1,0)- TblProd[[#This Row],[Expenses Mana]]</f>
        <v>241546</v>
      </c>
      <c r="M104" s="69" t="n">
        <f aca="false">OFFSET(TblProd[[#This Row],[Ore]],-1,0)+OFFSET(TblProd[[#This Row],[Ore/hr]],-1,0) -TblProd[[#This Row],[Expenses Ore]]</f>
        <v>-357</v>
      </c>
      <c r="N104" s="69" t="n">
        <f aca="false">OFFSET(TblProd[[#This Row],[Gems]],-1,0)+OFFSET(TblProd[[#This Row],[Gems/hr]],-1,0) - TblProd[[#This Row],[Expenses Gems]]</f>
        <v>-1000</v>
      </c>
      <c r="O104" s="69" t="n">
        <f aca="false">OFFSET(TblProd[[#This Row],[Boats]],-1,0)+OFFSET(TblProd[[#This Row],[Boats/hr]],-1,0)</f>
        <v>61.8500000000001</v>
      </c>
      <c r="P104" s="69" t="n">
        <f aca="false">OFFSET(TblProd[[#This Row],[Prestige]],-1,0)</f>
        <v>250</v>
      </c>
      <c r="Q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4" s="69" t="n">
        <f aca="false">MAX(3750,_xlfn.CEILING.MATH(TblProd[[#This Row],[Land]]*2.5+OFFSET(TblTech[[#This Row],[Sum of tech]],-1,0)*150))</f>
        <v>3750</v>
      </c>
      <c r="S104" s="132"/>
      <c r="T104" s="69" t="n">
        <f aca="false">ROUNDDOWN(TblProd[[#This Row],[Raw Plat/hr]]*(1+TblProd[[#This Row],[Bonus Plat/hr]]),0)</f>
        <v>40158</v>
      </c>
      <c r="U104" s="69" t="n">
        <f aca="false">ROUND(TblProd[[#This Row],[Raw Food/hr]]*(1+TblProd[[#This Row],[Bonus Food/hr]])-TblProd[[#This Row],[Food decay]]-TblProd[[#This Row],[Food eaten]],0)</f>
        <v>-3251</v>
      </c>
      <c r="V104" s="69" t="n">
        <f aca="false">ROUND(TblProd[[#This Row],[Raw Lumber/hr]]*(1+TblProd[[#This Row],[Bonus Lumber/hr]])-TblProd[[#This Row],[Lumber rot]],0)</f>
        <v>739</v>
      </c>
      <c r="W104" s="69" t="n">
        <f aca="false">ROUND(TblProd[[#This Row],[Raw Mana/hr]]*(1+TblProd[[#This Row],[Bonus Mana/hr]])-TblProd[[#This Row],[Mana drain]],0)</f>
        <v>-4106</v>
      </c>
      <c r="X104" s="69" t="n">
        <f aca="false">ROUNDDOWN(TblProd[[#This Row],[Raw Ore/hr]]*(1+TblProd[[#This Row],[Bonux Ore/hr]]),0)</f>
        <v>0</v>
      </c>
      <c r="Y104" s="69" t="n">
        <f aca="false">ROUNDDOWN(TblProd[[#This Row],[Raw Gems/hr]]*(1+TblProd[[#This Row],[Bonus Gems/hr]]),0)</f>
        <v>0</v>
      </c>
      <c r="Z104" s="148" t="n">
        <f aca="false">OFFSET(TblConstr[[#This Row],[Tot Doc]],1,0)*dock_boats_hr * (1 + tech_4_1*TblTech[[#This Row],[4-1]])</f>
        <v>1.2</v>
      </c>
      <c r="AA104" s="146"/>
      <c r="AB104" s="69" t="n">
        <f aca="false">TblPop[[#This Row],[Peasants]]*tax*TblPop[[#This Row],[Employment]] + (Construction!AZ105+Construction!BX105)*(alch_plat+(Magic!AM104&gt;0)*alchemist_flame_bonus)</f>
        <v>36507.8</v>
      </c>
      <c r="AC104" s="69" t="n">
        <f aca="false">TblConstr[[#This Row],[Tot Farm]]*farm_food + TblConstr[[#This Row],[Tot Doc]]*dock_food</f>
        <v>3280</v>
      </c>
      <c r="AD104" s="69" t="n">
        <f aca="false">TblConstr[[#This Row],[Tot Ly]]*ly_lumber + TblConstr[[#This Row],[Tot Hav]]*fh_lumber</f>
        <v>1250</v>
      </c>
      <c r="AE104" s="69" t="n">
        <f aca="false">OFFSET(TblConstr[[#This Row],[Tot Tow]],1,0)*(tower_mana + tech_4_5*TblTech[[#This Row],[4-5]]) + OFFSET(TblConstr[[#This Row],[Tot WG]],1,0)*wg_mana_prod</f>
        <v>725</v>
      </c>
      <c r="AF104" s="69" t="n">
        <f aca="false">OFFSET(TblConstr[[#This Row],[Tot OM]],1,0)*om_ore+IF(race="Dwarf",ROUNDDOWN(TblMili[[#This Row],[Unit 2]]*0.4,0),)</f>
        <v>0</v>
      </c>
      <c r="AG104" s="69" t="n">
        <f aca="false">OFFSET(TblConstr[[#This Row],[Tot DM]],1,0)*dm_gems</f>
        <v>0</v>
      </c>
      <c r="AH104" s="132"/>
      <c r="AI104" s="149" t="n">
        <f aca="false">MIN(race_platinum_bonus + IF(TblMagic[[#This Row],[Active Alch Frost]]&gt;0,alch_frost_bonus,IF(Magic!AD104&gt;0,midas_bonus)) + TblImps[[#This Row],[Science]] - TblProd[[#This Row],[Guard]]*(0.02 + tech_5_7*TblTech[[#This Row],[5-7]]) + tech_1_5*TblTech[[#This Row],[1-5]] + tech_4_4*TblTech[[#This Row],[4-4]], 0.5)</f>
        <v>0.1</v>
      </c>
      <c r="AJ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4" s="149" t="n">
        <f aca="false">race_lumber_bonus+ IF(TblMagic[[#This Row],[Active Gaia''s Blessing]]&gt;0,gaias_blessing_lumber)+ tech_1_3*TblTech[[#This Row],[1-3]] + tech_1_6*TblTech[[#This Row],[1-6]] + tech_3_3*TblTech[[#This Row],[3-3]]</f>
        <v>-0.1</v>
      </c>
      <c r="AL104" s="149" t="n">
        <f aca="false">race_mana_bonus+ 0 + TblImps[[#This Row],[Towers]] + tech_1_2*TblTech[[#This Row],[1-2]] + tech_3_4*TblTech[[#This Row],[3-4]]</f>
        <v>0</v>
      </c>
      <c r="AM104" s="149" t="n">
        <f aca="false">race_ore_bonus + IF(TblMagic[[#This Row],[Active Miner''s Sight]]&gt;0,miners_sight_bonus,IF(TblMagic[[#This Row],[Active Mining Strength]]&gt;0,mining_strength_bonus)) +  tech_1_6*TblTech[[#This Row],[1-6]]</f>
        <v>0</v>
      </c>
      <c r="AN104" s="149" t="n">
        <f aca="false">race_gem_bonus+ tech_3_2*TblTech[[#This Row],[3-2]] + tech_4_3*TblTech[[#This Row],[4-3]] + tech_6_2*TblTech[[#This Row],[6-2]]</f>
        <v>0.15</v>
      </c>
      <c r="AO104" s="132"/>
      <c r="AP104" s="69" t="n">
        <f aca="false">TblProd[[#This Row],[Food]]*food_decay * (1 + tech_2_1*TblTech[[#This Row],[2-1]] + tech_2_8*TblTech[[#This Row],[2-8]])</f>
        <v>3377.87</v>
      </c>
      <c r="AQ104" s="69" t="n">
        <f aca="false">(1+race_food_consumption)*TblPop[[#This Row],[Total]]*food_per_person*(1+tech_1_10*TblTech[[#This Row],[1-10]]+tech_7_5*TblTech[[#This Row],[7-5]])</f>
        <v>3234.75</v>
      </c>
      <c r="AR104" s="69" t="n">
        <f aca="false">TblProd[[#This Row],[Lumber]]*lumber_rot * (1 + tech_2_1*TblTech[[#This Row],[2-1]] + tech_2_8*TblTech[[#This Row],[2-8]] + tech_5_2*TblTech[[#This Row],[5-2]])</f>
        <v>385.65</v>
      </c>
      <c r="AS104" s="69" t="n">
        <f aca="false">TblProd[[#This Row],[Mana]]*mana_drain * (1 + tech_2_1*TblTech[[#This Row],[2-1]] + tech_2_8*TblTech[[#This Row],[2-8]])</f>
        <v>4830.92</v>
      </c>
      <c r="AT104" s="146"/>
      <c r="AU104" s="69" t="n">
        <f aca="false">TblExplore[[#This Row],[Platinum (2)]]+TblConstr[[#This Row],[Total Plat Cost]]+TblMili[[#This Row],[Plat Cost]]+TblRezone[[#This Row],[Platinum cost]]+TblImps[[#This Row],[P1]]-TblProd[[#This Row],[Bank Plat]]</f>
        <v>0</v>
      </c>
      <c r="AV104" s="69" t="n">
        <f aca="false">TblConstr[[#This Row],[Total Lum Cost]]+TblImps[[#This Row],[L1]]-TblProd[[#This Row],[Bank Lumber]] + Military!$CL$25*TblMili[[#This Row],[Sec. rec. Cost]]</f>
        <v>0</v>
      </c>
      <c r="AW104" s="69" t="n">
        <f aca="false">TblMagic[[#This Row],[Mana cost]] + Military!$CL$26*TblMili[[#This Row],[Sec. rec. Cost]]</f>
        <v>0</v>
      </c>
      <c r="AX104" s="69" t="n">
        <f aca="false">Military!$CL$24*TblMili[[#This Row],[Sec. rec. Cost]]+TblImps[[#This Row],[O1]]-TblProd[[#This Row],[Bank Ore]]</f>
        <v>0</v>
      </c>
      <c r="AY104" s="69" t="n">
        <f aca="false">TblImps[[#This Row],[G1]]-TblProd[[#This Row],[Bank Gems]]</f>
        <v>0</v>
      </c>
      <c r="AZ104" s="132"/>
      <c r="BA104" s="33" t="n">
        <f aca="false">IF(TblProd[[#This Row],[Set Guard]]&lt;&gt;"",TblProd[[#This Row],[Set Guard]],OFFSET(TblProd[[#This Row],[Guard]],-1,0))</f>
        <v>0</v>
      </c>
      <c r="BB104" s="145"/>
      <c r="BC104" s="151" t="n">
        <f aca="false">TblProd[[#This Row],[Hour]]</f>
        <v>29</v>
      </c>
      <c r="BD104" s="152" t="n">
        <f aca="false">-TblProd[[#This Row],[Bank Lumber]] / 2 + -TblProd[[#This Row],[Bank Gems]] * 2 + -TblProd[[#This Row],[Bank Ore]] / 2</f>
        <v>0</v>
      </c>
      <c r="BE104" s="152"/>
      <c r="BF104" s="152"/>
      <c r="BG104" s="152"/>
      <c r="BH104" s="153" t="n">
        <f aca="false">TblProd[[#This Row],[Time]]</f>
        <v>45433.9166666667</v>
      </c>
      <c r="BI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J104" s="69" t="n">
        <f aca="false">TblProd[[#This Row],[Platinum]]</f>
        <v>1187393</v>
      </c>
      <c r="BK104" s="69" t="n">
        <f aca="false">TblProd[[#This Row],[Food]]</f>
        <v>337787</v>
      </c>
      <c r="BL104" s="69" t="n">
        <f aca="false">TblProd[[#This Row],[Lumber]]</f>
        <v>38565</v>
      </c>
      <c r="BM104" s="69" t="n">
        <f aca="false">TblProd[[#This Row],[Mana]]</f>
        <v>241546</v>
      </c>
      <c r="BN104" s="69" t="n">
        <f aca="false">TblProd[[#This Row],[Ore]]</f>
        <v>-357</v>
      </c>
    </row>
    <row r="105" customFormat="false" ht="12.75" hidden="false" customHeight="false" outlineLevel="0" collapsed="false">
      <c r="A105" s="128" t="n">
        <v>30</v>
      </c>
      <c r="B105" s="144" t="n">
        <f aca="false">TblImps[[#This Row],[Time]]</f>
        <v>45433.9583333333</v>
      </c>
      <c r="C105" s="145"/>
      <c r="D105" s="146"/>
      <c r="E105" s="69" t="n">
        <f aca="false">TblConstr[[#This Row],[Land]]</f>
        <v>700</v>
      </c>
      <c r="F105" s="69" t="n">
        <f aca="false">TblPop[[#This Row],[Peasants]]</f>
        <v>7538</v>
      </c>
      <c r="G105" s="69"/>
      <c r="H105" s="69" t="e">
        <f aca="false">TblMili[[#This Row],[Networth (2)]]</f>
        <v>#VALUE!</v>
      </c>
      <c r="I105" s="69" t="n">
        <f aca="false">OFFSET(TblProd[[#This Row],[Platinum]],-1,0)+OFFSET(TblProd[[#This Row],[Plat/hr]],-1,0) - TblProd[[#This Row],[Expenses Platinum]] + IF(TblProd[[#This Row],[Plat Bonus]],TblPop[[#This Row],[Peasants]]*4) + SUM(TblConstr[[#This Row],[Dest Hom]:[Dest Doc]])*TblConstr[[#This Row],[CPA Platinum -DB]]*tech_3_3_2*TblTech[[#This Row],[3-3]]</f>
        <v>1227551</v>
      </c>
      <c r="J105" s="69" t="n">
        <f aca="false">OFFSET(TblProd[[#This Row],[Food]],-1,0)+OFFSET(TblProd[[#This Row],[Food/hr]],-1,0)+ROUNDUP((TblConstr[[#This Row],[Farms]]*80+TblConstr[[#This Row],[Docks]]*35)*(1+OFFSET(TblProd[[#This Row],[Bonus Food/hr]],-1,0)),0)</f>
        <v>334536</v>
      </c>
      <c r="K105" s="69" t="n">
        <f aca="false">OFFSET(TblProd[[#This Row],[Lumber]],-1,0)+OFFSET(TblProd[[#This Row],[Lumber/hr]],-1,0) - TblProd[[#This Row],[Expenses Lumber]] + SUM(TblConstr[[#This Row],[Dest Hom]:[Dest Doc]])*TblConstr[[#This Row],[CPA Lumber -DB]]*tech_3_3_2*TblTech[[#This Row],[3-3]]</f>
        <v>39304</v>
      </c>
      <c r="L105" s="69" t="n">
        <f aca="false">OFFSET(TblProd[[#This Row],[Mana]],-1,0)+OFFSET(TblProd[[#This Row],[Mana/hr]],-1,0)- TblProd[[#This Row],[Expenses Mana]]</f>
        <v>237440</v>
      </c>
      <c r="M105" s="69" t="n">
        <f aca="false">OFFSET(TblProd[[#This Row],[Ore]],-1,0)+OFFSET(TblProd[[#This Row],[Ore/hr]],-1,0) -TblProd[[#This Row],[Expenses Ore]]</f>
        <v>-357</v>
      </c>
      <c r="N105" s="69" t="n">
        <f aca="false">OFFSET(TblProd[[#This Row],[Gems]],-1,0)+OFFSET(TblProd[[#This Row],[Gems/hr]],-1,0) - TblProd[[#This Row],[Expenses Gems]]</f>
        <v>-1000</v>
      </c>
      <c r="O105" s="69" t="n">
        <f aca="false">OFFSET(TblProd[[#This Row],[Boats]],-1,0)+OFFSET(TblProd[[#This Row],[Boats/hr]],-1,0)</f>
        <v>63.0500000000001</v>
      </c>
      <c r="P105" s="69" t="n">
        <f aca="false">OFFSET(TblProd[[#This Row],[Prestige]],-1,0)</f>
        <v>250</v>
      </c>
      <c r="Q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5" s="69" t="n">
        <f aca="false">MAX(3750,_xlfn.CEILING.MATH(TblProd[[#This Row],[Land]]*2.5+OFFSET(TblTech[[#This Row],[Sum of tech]],-1,0)*150))</f>
        <v>3750</v>
      </c>
      <c r="S105" s="132"/>
      <c r="T105" s="69" t="n">
        <f aca="false">ROUNDDOWN(TblProd[[#This Row],[Raw Plat/hr]]*(1+TblProd[[#This Row],[Bonus Plat/hr]]),0)</f>
        <v>39932</v>
      </c>
      <c r="U105" s="69" t="n">
        <f aca="false">ROUND(TblProd[[#This Row],[Raw Food/hr]]*(1+TblProd[[#This Row],[Bonus Food/hr]])-TblProd[[#This Row],[Food decay]]-TblProd[[#This Row],[Food eaten]],0)</f>
        <v>-3218</v>
      </c>
      <c r="V105" s="69" t="n">
        <f aca="false">ROUND(TblProd[[#This Row],[Raw Lumber/hr]]*(1+TblProd[[#This Row],[Bonus Lumber/hr]])-TblProd[[#This Row],[Lumber rot]],0)</f>
        <v>732</v>
      </c>
      <c r="W105" s="69" t="n">
        <f aca="false">ROUND(TblProd[[#This Row],[Raw Mana/hr]]*(1+TblProd[[#This Row],[Bonus Mana/hr]])-TblProd[[#This Row],[Mana drain]],0)</f>
        <v>-4024</v>
      </c>
      <c r="X105" s="69" t="n">
        <f aca="false">ROUNDDOWN(TblProd[[#This Row],[Raw Ore/hr]]*(1+TblProd[[#This Row],[Bonux Ore/hr]]),0)</f>
        <v>0</v>
      </c>
      <c r="Y105" s="69" t="n">
        <f aca="false">ROUNDDOWN(TblProd[[#This Row],[Raw Gems/hr]]*(1+TblProd[[#This Row],[Bonus Gems/hr]]),0)</f>
        <v>0</v>
      </c>
      <c r="Z105" s="148" t="n">
        <f aca="false">OFFSET(TblConstr[[#This Row],[Tot Doc]],1,0)*dock_boats_hr * (1 + tech_4_1*TblTech[[#This Row],[4-1]])</f>
        <v>1.2</v>
      </c>
      <c r="AA105" s="146"/>
      <c r="AB105" s="69" t="n">
        <f aca="false">TblPop[[#This Row],[Peasants]]*tax*TblPop[[#This Row],[Employment]] + (Construction!AZ106+Construction!BX106)*(alch_plat+(Magic!AM105&gt;0)*alchemist_flame_bonus)</f>
        <v>36302.6</v>
      </c>
      <c r="AC105" s="69" t="n">
        <f aca="false">TblConstr[[#This Row],[Tot Farm]]*farm_food + TblConstr[[#This Row],[Tot Doc]]*dock_food</f>
        <v>3280</v>
      </c>
      <c r="AD105" s="69" t="n">
        <f aca="false">TblConstr[[#This Row],[Tot Ly]]*ly_lumber + TblConstr[[#This Row],[Tot Hav]]*fh_lumber</f>
        <v>1250</v>
      </c>
      <c r="AE105" s="69" t="n">
        <f aca="false">OFFSET(TblConstr[[#This Row],[Tot Tow]],1,0)*(tower_mana + tech_4_5*TblTech[[#This Row],[4-5]]) + OFFSET(TblConstr[[#This Row],[Tot WG]],1,0)*wg_mana_prod</f>
        <v>725</v>
      </c>
      <c r="AF105" s="69" t="n">
        <f aca="false">OFFSET(TblConstr[[#This Row],[Tot OM]],1,0)*om_ore+IF(race="Dwarf",ROUNDDOWN(TblMili[[#This Row],[Unit 2]]*0.4,0),)</f>
        <v>0</v>
      </c>
      <c r="AG105" s="69" t="n">
        <f aca="false">OFFSET(TblConstr[[#This Row],[Tot DM]],1,0)*dm_gems</f>
        <v>0</v>
      </c>
      <c r="AH105" s="132"/>
      <c r="AI105" s="149" t="n">
        <f aca="false">MIN(race_platinum_bonus + IF(TblMagic[[#This Row],[Active Alch Frost]]&gt;0,alch_frost_bonus,IF(Magic!AD105&gt;0,midas_bonus)) + TblImps[[#This Row],[Science]] - TblProd[[#This Row],[Guard]]*(0.02 + tech_5_7*TblTech[[#This Row],[5-7]]) + tech_1_5*TblTech[[#This Row],[1-5]] + tech_4_4*TblTech[[#This Row],[4-4]], 0.5)</f>
        <v>0.1</v>
      </c>
      <c r="AJ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5" s="149" t="n">
        <f aca="false">race_lumber_bonus+ IF(TblMagic[[#This Row],[Active Gaia''s Blessing]]&gt;0,gaias_blessing_lumber)+ tech_1_3*TblTech[[#This Row],[1-3]] + tech_1_6*TblTech[[#This Row],[1-6]] + tech_3_3*TblTech[[#This Row],[3-3]]</f>
        <v>-0.1</v>
      </c>
      <c r="AL105" s="149" t="n">
        <f aca="false">race_mana_bonus+ 0 + TblImps[[#This Row],[Towers]] + tech_1_2*TblTech[[#This Row],[1-2]] + tech_3_4*TblTech[[#This Row],[3-4]]</f>
        <v>0</v>
      </c>
      <c r="AM105" s="149" t="n">
        <f aca="false">race_ore_bonus + IF(TblMagic[[#This Row],[Active Miner''s Sight]]&gt;0,miners_sight_bonus,IF(TblMagic[[#This Row],[Active Mining Strength]]&gt;0,mining_strength_bonus)) +  tech_1_6*TblTech[[#This Row],[1-6]]</f>
        <v>0</v>
      </c>
      <c r="AN105" s="149" t="n">
        <f aca="false">race_gem_bonus+ tech_3_2*TblTech[[#This Row],[3-2]] + tech_4_3*TblTech[[#This Row],[4-3]] + tech_6_2*TblTech[[#This Row],[6-2]]</f>
        <v>0.15</v>
      </c>
      <c r="AO105" s="132"/>
      <c r="AP105" s="69" t="n">
        <f aca="false">TblProd[[#This Row],[Food]]*food_decay * (1 + tech_2_1*TblTech[[#This Row],[2-1]] + tech_2_8*TblTech[[#This Row],[2-8]])</f>
        <v>3345.36</v>
      </c>
      <c r="AQ105" s="69" t="n">
        <f aca="false">(1+race_food_consumption)*TblPop[[#This Row],[Total]]*food_per_person*(1+tech_1_10*TblTech[[#This Row],[1-10]]+tech_7_5*TblTech[[#This Row],[7-5]])</f>
        <v>3234.75</v>
      </c>
      <c r="AR105" s="69" t="n">
        <f aca="false">TblProd[[#This Row],[Lumber]]*lumber_rot * (1 + tech_2_1*TblTech[[#This Row],[2-1]] + tech_2_8*TblTech[[#This Row],[2-8]] + tech_5_2*TblTech[[#This Row],[5-2]])</f>
        <v>393.04</v>
      </c>
      <c r="AS105" s="69" t="n">
        <f aca="false">TblProd[[#This Row],[Mana]]*mana_drain * (1 + tech_2_1*TblTech[[#This Row],[2-1]] + tech_2_8*TblTech[[#This Row],[2-8]])</f>
        <v>4748.8</v>
      </c>
      <c r="AT105" s="146"/>
      <c r="AU105" s="69" t="n">
        <f aca="false">TblExplore[[#This Row],[Platinum (2)]]+TblConstr[[#This Row],[Total Plat Cost]]+TblMili[[#This Row],[Plat Cost]]+TblRezone[[#This Row],[Platinum cost]]+TblImps[[#This Row],[P1]]-TblProd[[#This Row],[Bank Plat]]</f>
        <v>0</v>
      </c>
      <c r="AV105" s="69" t="n">
        <f aca="false">TblConstr[[#This Row],[Total Lum Cost]]+TblImps[[#This Row],[L1]]-TblProd[[#This Row],[Bank Lumber]] + Military!$CL$25*TblMili[[#This Row],[Sec. rec. Cost]]</f>
        <v>0</v>
      </c>
      <c r="AW105" s="69" t="n">
        <f aca="false">TblMagic[[#This Row],[Mana cost]] + Military!$CL$26*TblMili[[#This Row],[Sec. rec. Cost]]</f>
        <v>0</v>
      </c>
      <c r="AX105" s="69" t="n">
        <f aca="false">Military!$CL$24*TblMili[[#This Row],[Sec. rec. Cost]]+TblImps[[#This Row],[O1]]-TblProd[[#This Row],[Bank Ore]]</f>
        <v>0</v>
      </c>
      <c r="AY105" s="69" t="n">
        <f aca="false">TblImps[[#This Row],[G1]]-TblProd[[#This Row],[Bank Gems]]</f>
        <v>0</v>
      </c>
      <c r="AZ105" s="132"/>
      <c r="BA105" s="33" t="n">
        <f aca="false">IF(TblProd[[#This Row],[Set Guard]]&lt;&gt;"",TblProd[[#This Row],[Set Guard]],OFFSET(TblProd[[#This Row],[Guard]],-1,0))</f>
        <v>0</v>
      </c>
      <c r="BB105" s="145"/>
      <c r="BC105" s="151" t="n">
        <f aca="false">TblProd[[#This Row],[Hour]]</f>
        <v>30</v>
      </c>
      <c r="BD105" s="152" t="n">
        <f aca="false">-TblProd[[#This Row],[Bank Lumber]] / 2 + -TblProd[[#This Row],[Bank Gems]] * 2 + -TblProd[[#This Row],[Bank Ore]] / 2</f>
        <v>0</v>
      </c>
      <c r="BE105" s="152"/>
      <c r="BF105" s="152"/>
      <c r="BG105" s="152"/>
      <c r="BH105" s="153" t="n">
        <f aca="false">TblProd[[#This Row],[Time]]</f>
        <v>45433.9583333333</v>
      </c>
      <c r="BI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J105" s="69" t="n">
        <f aca="false">TblProd[[#This Row],[Platinum]]</f>
        <v>1227551</v>
      </c>
      <c r="BK105" s="69" t="n">
        <f aca="false">TblProd[[#This Row],[Food]]</f>
        <v>334536</v>
      </c>
      <c r="BL105" s="69" t="n">
        <f aca="false">TblProd[[#This Row],[Lumber]]</f>
        <v>39304</v>
      </c>
      <c r="BM105" s="69" t="n">
        <f aca="false">TblProd[[#This Row],[Mana]]</f>
        <v>237440</v>
      </c>
      <c r="BN105" s="69" t="n">
        <f aca="false">TblProd[[#This Row],[Ore]]</f>
        <v>-357</v>
      </c>
    </row>
    <row r="106" customFormat="false" ht="12.75" hidden="false" customHeight="false" outlineLevel="0" collapsed="false">
      <c r="A106" s="128" t="n">
        <v>31</v>
      </c>
      <c r="B106" s="144" t="n">
        <f aca="false">TblImps[[#This Row],[Time]]</f>
        <v>45434</v>
      </c>
      <c r="C106" s="145"/>
      <c r="D106" s="146"/>
      <c r="E106" s="69" t="n">
        <f aca="false">TblConstr[[#This Row],[Land]]</f>
        <v>700</v>
      </c>
      <c r="F106" s="69" t="n">
        <f aca="false">TblPop[[#This Row],[Peasants]]</f>
        <v>7463</v>
      </c>
      <c r="G106" s="69"/>
      <c r="H106" s="69" t="e">
        <f aca="false">TblMili[[#This Row],[Networth (2)]]</f>
        <v>#VALUE!</v>
      </c>
      <c r="I106" s="69" t="n">
        <f aca="false">OFFSET(TblProd[[#This Row],[Platinum]],-1,0)+OFFSET(TblProd[[#This Row],[Plat/hr]],-1,0) - TblProd[[#This Row],[Expenses Platinum]] + IF(TblProd[[#This Row],[Plat Bonus]],TblPop[[#This Row],[Peasants]]*4) + SUM(TblConstr[[#This Row],[Dest Hom]:[Dest Doc]])*TblConstr[[#This Row],[CPA Platinum -DB]]*tech_3_3_2*TblTech[[#This Row],[3-3]]</f>
        <v>1267483</v>
      </c>
      <c r="J106" s="69" t="n">
        <f aca="false">OFFSET(TblProd[[#This Row],[Food]],-1,0)+OFFSET(TblProd[[#This Row],[Food/hr]],-1,0)+ROUNDUP((TblConstr[[#This Row],[Farms]]*80+TblConstr[[#This Row],[Docks]]*35)*(1+OFFSET(TblProd[[#This Row],[Bonus Food/hr]],-1,0)),0)</f>
        <v>331318</v>
      </c>
      <c r="K106" s="69" t="n">
        <f aca="false">OFFSET(TblProd[[#This Row],[Lumber]],-1,0)+OFFSET(TblProd[[#This Row],[Lumber/hr]],-1,0) - TblProd[[#This Row],[Expenses Lumber]] + SUM(TblConstr[[#This Row],[Dest Hom]:[Dest Doc]])*TblConstr[[#This Row],[CPA Lumber -DB]]*tech_3_3_2*TblTech[[#This Row],[3-3]]</f>
        <v>40036</v>
      </c>
      <c r="L106" s="69" t="n">
        <f aca="false">OFFSET(TblProd[[#This Row],[Mana]],-1,0)+OFFSET(TblProd[[#This Row],[Mana/hr]],-1,0)- TblProd[[#This Row],[Expenses Mana]]</f>
        <v>233416</v>
      </c>
      <c r="M106" s="69" t="n">
        <f aca="false">OFFSET(TblProd[[#This Row],[Ore]],-1,0)+OFFSET(TblProd[[#This Row],[Ore/hr]],-1,0) -TblProd[[#This Row],[Expenses Ore]]</f>
        <v>-357</v>
      </c>
      <c r="N106" s="69" t="n">
        <f aca="false">OFFSET(TblProd[[#This Row],[Gems]],-1,0)+OFFSET(TblProd[[#This Row],[Gems/hr]],-1,0) - TblProd[[#This Row],[Expenses Gems]]</f>
        <v>-1000</v>
      </c>
      <c r="O106" s="69" t="n">
        <f aca="false">OFFSET(TblProd[[#This Row],[Boats]],-1,0)+OFFSET(TblProd[[#This Row],[Boats/hr]],-1,0)</f>
        <v>64.2500000000001</v>
      </c>
      <c r="P106" s="69" t="n">
        <f aca="false">OFFSET(TblProd[[#This Row],[Prestige]],-1,0)</f>
        <v>250</v>
      </c>
      <c r="Q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6" s="69" t="n">
        <f aca="false">MAX(3750,_xlfn.CEILING.MATH(TblProd[[#This Row],[Land]]*2.5+OFFSET(TblTech[[#This Row],[Sum of tech]],-1,0)*150))</f>
        <v>3750</v>
      </c>
      <c r="S106" s="132"/>
      <c r="T106" s="69" t="n">
        <f aca="false">ROUNDDOWN(TblProd[[#This Row],[Raw Plat/hr]]*(1+TblProd[[#This Row],[Bonus Plat/hr]]),0)</f>
        <v>39710</v>
      </c>
      <c r="U106" s="69" t="n">
        <f aca="false">ROUND(TblProd[[#This Row],[Raw Food/hr]]*(1+TblProd[[#This Row],[Bonus Food/hr]])-TblProd[[#This Row],[Food decay]]-TblProd[[#This Row],[Food eaten]],0)</f>
        <v>-3186</v>
      </c>
      <c r="V106" s="69" t="n">
        <f aca="false">ROUND(TblProd[[#This Row],[Raw Lumber/hr]]*(1+TblProd[[#This Row],[Bonus Lumber/hr]])-TblProd[[#This Row],[Lumber rot]],0)</f>
        <v>725</v>
      </c>
      <c r="W106" s="69" t="n">
        <f aca="false">ROUND(TblProd[[#This Row],[Raw Mana/hr]]*(1+TblProd[[#This Row],[Bonus Mana/hr]])-TblProd[[#This Row],[Mana drain]],0)</f>
        <v>-3943</v>
      </c>
      <c r="X106" s="69" t="n">
        <f aca="false">ROUNDDOWN(TblProd[[#This Row],[Raw Ore/hr]]*(1+TblProd[[#This Row],[Bonux Ore/hr]]),0)</f>
        <v>0</v>
      </c>
      <c r="Y106" s="69" t="n">
        <f aca="false">ROUNDDOWN(TblProd[[#This Row],[Raw Gems/hr]]*(1+TblProd[[#This Row],[Bonus Gems/hr]]),0)</f>
        <v>0</v>
      </c>
      <c r="Z106" s="148" t="n">
        <f aca="false">OFFSET(TblConstr[[#This Row],[Tot Doc]],1,0)*dock_boats_hr * (1 + tech_4_1*TblTech[[#This Row],[4-1]])</f>
        <v>1.2</v>
      </c>
      <c r="AA106" s="146"/>
      <c r="AB106" s="69" t="n">
        <f aca="false">TblPop[[#This Row],[Peasants]]*tax*TblPop[[#This Row],[Employment]] + (Construction!AZ107+Construction!BX107)*(alch_plat+(Magic!AM106&gt;0)*alchemist_flame_bonus)</f>
        <v>36100.1</v>
      </c>
      <c r="AC106" s="69" t="n">
        <f aca="false">TblConstr[[#This Row],[Tot Farm]]*farm_food + TblConstr[[#This Row],[Tot Doc]]*dock_food</f>
        <v>3280</v>
      </c>
      <c r="AD106" s="69" t="n">
        <f aca="false">TblConstr[[#This Row],[Tot Ly]]*ly_lumber + TblConstr[[#This Row],[Tot Hav]]*fh_lumber</f>
        <v>1250</v>
      </c>
      <c r="AE106" s="69" t="n">
        <f aca="false">OFFSET(TblConstr[[#This Row],[Tot Tow]],1,0)*(tower_mana + tech_4_5*TblTech[[#This Row],[4-5]]) + OFFSET(TblConstr[[#This Row],[Tot WG]],1,0)*wg_mana_prod</f>
        <v>725</v>
      </c>
      <c r="AF106" s="69" t="n">
        <f aca="false">OFFSET(TblConstr[[#This Row],[Tot OM]],1,0)*om_ore+IF(race="Dwarf",ROUNDDOWN(TblMili[[#This Row],[Unit 2]]*0.4,0),)</f>
        <v>0</v>
      </c>
      <c r="AG106" s="69" t="n">
        <f aca="false">OFFSET(TblConstr[[#This Row],[Tot DM]],1,0)*dm_gems</f>
        <v>0</v>
      </c>
      <c r="AH106" s="132"/>
      <c r="AI106" s="149" t="n">
        <f aca="false">MIN(race_platinum_bonus + IF(TblMagic[[#This Row],[Active Alch Frost]]&gt;0,alch_frost_bonus,IF(Magic!AD106&gt;0,midas_bonus)) + TblImps[[#This Row],[Science]] - TblProd[[#This Row],[Guard]]*(0.02 + tech_5_7*TblTech[[#This Row],[5-7]]) + tech_1_5*TblTech[[#This Row],[1-5]] + tech_4_4*TblTech[[#This Row],[4-4]], 0.5)</f>
        <v>0.1</v>
      </c>
      <c r="AJ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6" s="149" t="n">
        <f aca="false">race_lumber_bonus+ IF(TblMagic[[#This Row],[Active Gaia''s Blessing]]&gt;0,gaias_blessing_lumber)+ tech_1_3*TblTech[[#This Row],[1-3]] + tech_1_6*TblTech[[#This Row],[1-6]] + tech_3_3*TblTech[[#This Row],[3-3]]</f>
        <v>-0.1</v>
      </c>
      <c r="AL106" s="149" t="n">
        <f aca="false">race_mana_bonus+ 0 + TblImps[[#This Row],[Towers]] + tech_1_2*TblTech[[#This Row],[1-2]] + tech_3_4*TblTech[[#This Row],[3-4]]</f>
        <v>0</v>
      </c>
      <c r="AM106" s="149" t="n">
        <f aca="false">race_ore_bonus + IF(TblMagic[[#This Row],[Active Miner''s Sight]]&gt;0,miners_sight_bonus,IF(TblMagic[[#This Row],[Active Mining Strength]]&gt;0,mining_strength_bonus)) +  tech_1_6*TblTech[[#This Row],[1-6]]</f>
        <v>0</v>
      </c>
      <c r="AN106" s="149" t="n">
        <f aca="false">race_gem_bonus+ tech_3_2*TblTech[[#This Row],[3-2]] + tech_4_3*TblTech[[#This Row],[4-3]] + tech_6_2*TblTech[[#This Row],[6-2]]</f>
        <v>0.15</v>
      </c>
      <c r="AO106" s="132"/>
      <c r="AP106" s="69" t="n">
        <f aca="false">TblProd[[#This Row],[Food]]*food_decay * (1 + tech_2_1*TblTech[[#This Row],[2-1]] + tech_2_8*TblTech[[#This Row],[2-8]])</f>
        <v>3313.18</v>
      </c>
      <c r="AQ106" s="69" t="n">
        <f aca="false">(1+race_food_consumption)*TblPop[[#This Row],[Total]]*food_per_person*(1+tech_1_10*TblTech[[#This Row],[1-10]]+tech_7_5*TblTech[[#This Row],[7-5]])</f>
        <v>3234.75</v>
      </c>
      <c r="AR106" s="69" t="n">
        <f aca="false">TblProd[[#This Row],[Lumber]]*lumber_rot * (1 + tech_2_1*TblTech[[#This Row],[2-1]] + tech_2_8*TblTech[[#This Row],[2-8]] + tech_5_2*TblTech[[#This Row],[5-2]])</f>
        <v>400.36</v>
      </c>
      <c r="AS106" s="69" t="n">
        <f aca="false">TblProd[[#This Row],[Mana]]*mana_drain * (1 + tech_2_1*TblTech[[#This Row],[2-1]] + tech_2_8*TblTech[[#This Row],[2-8]])</f>
        <v>4668.32</v>
      </c>
      <c r="AT106" s="146"/>
      <c r="AU106" s="69" t="n">
        <f aca="false">TblExplore[[#This Row],[Platinum (2)]]+TblConstr[[#This Row],[Total Plat Cost]]+TblMili[[#This Row],[Plat Cost]]+TblRezone[[#This Row],[Platinum cost]]+TblImps[[#This Row],[P1]]-TblProd[[#This Row],[Bank Plat]]</f>
        <v>0</v>
      </c>
      <c r="AV106" s="69" t="n">
        <f aca="false">TblConstr[[#This Row],[Total Lum Cost]]+TblImps[[#This Row],[L1]]-TblProd[[#This Row],[Bank Lumber]] + Military!$CL$25*TblMili[[#This Row],[Sec. rec. Cost]]</f>
        <v>0</v>
      </c>
      <c r="AW106" s="69" t="n">
        <f aca="false">TblMagic[[#This Row],[Mana cost]] + Military!$CL$26*TblMili[[#This Row],[Sec. rec. Cost]]</f>
        <v>0</v>
      </c>
      <c r="AX106" s="69" t="n">
        <f aca="false">Military!$CL$24*TblMili[[#This Row],[Sec. rec. Cost]]+TblImps[[#This Row],[O1]]-TblProd[[#This Row],[Bank Ore]]</f>
        <v>0</v>
      </c>
      <c r="AY106" s="69" t="n">
        <f aca="false">TblImps[[#This Row],[G1]]-TblProd[[#This Row],[Bank Gems]]</f>
        <v>0</v>
      </c>
      <c r="AZ106" s="132"/>
      <c r="BA106" s="33" t="n">
        <f aca="false">IF(TblProd[[#This Row],[Set Guard]]&lt;&gt;"",TblProd[[#This Row],[Set Guard]],OFFSET(TblProd[[#This Row],[Guard]],-1,0))</f>
        <v>0</v>
      </c>
      <c r="BB106" s="145"/>
      <c r="BC106" s="151" t="n">
        <f aca="false">TblProd[[#This Row],[Hour]]</f>
        <v>31</v>
      </c>
      <c r="BD106" s="152" t="n">
        <f aca="false">-TblProd[[#This Row],[Bank Lumber]] / 2 + -TblProd[[#This Row],[Bank Gems]] * 2 + -TblProd[[#This Row],[Bank Ore]] / 2</f>
        <v>0</v>
      </c>
      <c r="BE106" s="152"/>
      <c r="BF106" s="152"/>
      <c r="BG106" s="152"/>
      <c r="BH106" s="153" t="n">
        <f aca="false">TblProd[[#This Row],[Time]]</f>
        <v>45434</v>
      </c>
      <c r="BI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J106" s="69" t="n">
        <f aca="false">TblProd[[#This Row],[Platinum]]</f>
        <v>1267483</v>
      </c>
      <c r="BK106" s="69" t="n">
        <f aca="false">TblProd[[#This Row],[Food]]</f>
        <v>331318</v>
      </c>
      <c r="BL106" s="69" t="n">
        <f aca="false">TblProd[[#This Row],[Lumber]]</f>
        <v>40036</v>
      </c>
      <c r="BM106" s="69" t="n">
        <f aca="false">TblProd[[#This Row],[Mana]]</f>
        <v>233416</v>
      </c>
      <c r="BN106" s="69" t="n">
        <f aca="false">TblProd[[#This Row],[Ore]]</f>
        <v>-357</v>
      </c>
    </row>
    <row r="107" customFormat="false" ht="12.75" hidden="false" customHeight="false" outlineLevel="0" collapsed="false">
      <c r="A107" s="128" t="n">
        <v>32</v>
      </c>
      <c r="B107" s="144" t="n">
        <f aca="false">TblImps[[#This Row],[Time]]</f>
        <v>45434.0416666667</v>
      </c>
      <c r="C107" s="145"/>
      <c r="D107" s="146"/>
      <c r="E107" s="69" t="n">
        <f aca="false">TblConstr[[#This Row],[Land]]</f>
        <v>700</v>
      </c>
      <c r="F107" s="69" t="n">
        <f aca="false">TblPop[[#This Row],[Peasants]]</f>
        <v>7388</v>
      </c>
      <c r="G107" s="69"/>
      <c r="H107" s="69" t="e">
        <f aca="false">TblMili[[#This Row],[Networth (2)]]</f>
        <v>#VALUE!</v>
      </c>
      <c r="I107" s="69" t="n">
        <f aca="false">OFFSET(TblProd[[#This Row],[Platinum]],-1,0)+OFFSET(TblProd[[#This Row],[Plat/hr]],-1,0) - TblProd[[#This Row],[Expenses Platinum]] + IF(TblProd[[#This Row],[Plat Bonus]],TblPop[[#This Row],[Peasants]]*4) + SUM(TblConstr[[#This Row],[Dest Hom]:[Dest Doc]])*TblConstr[[#This Row],[CPA Platinum -DB]]*tech_3_3_2*TblTech[[#This Row],[3-3]]</f>
        <v>1307193</v>
      </c>
      <c r="J107" s="69" t="n">
        <f aca="false">OFFSET(TblProd[[#This Row],[Food]],-1,0)+OFFSET(TblProd[[#This Row],[Food/hr]],-1,0)+ROUNDUP((TblConstr[[#This Row],[Farms]]*80+TblConstr[[#This Row],[Docks]]*35)*(1+OFFSET(TblProd[[#This Row],[Bonus Food/hr]],-1,0)),0)</f>
        <v>328132</v>
      </c>
      <c r="K107" s="69" t="n">
        <f aca="false">OFFSET(TblProd[[#This Row],[Lumber]],-1,0)+OFFSET(TblProd[[#This Row],[Lumber/hr]],-1,0) - TblProd[[#This Row],[Expenses Lumber]] + SUM(TblConstr[[#This Row],[Dest Hom]:[Dest Doc]])*TblConstr[[#This Row],[CPA Lumber -DB]]*tech_3_3_2*TblTech[[#This Row],[3-3]]</f>
        <v>40761</v>
      </c>
      <c r="L107" s="69" t="n">
        <f aca="false">OFFSET(TblProd[[#This Row],[Mana]],-1,0)+OFFSET(TblProd[[#This Row],[Mana/hr]],-1,0)- TblProd[[#This Row],[Expenses Mana]]</f>
        <v>229473</v>
      </c>
      <c r="M107" s="69" t="n">
        <f aca="false">OFFSET(TblProd[[#This Row],[Ore]],-1,0)+OFFSET(TblProd[[#This Row],[Ore/hr]],-1,0) -TblProd[[#This Row],[Expenses Ore]]</f>
        <v>-357</v>
      </c>
      <c r="N107" s="69" t="n">
        <f aca="false">OFFSET(TblProd[[#This Row],[Gems]],-1,0)+OFFSET(TblProd[[#This Row],[Gems/hr]],-1,0) - TblProd[[#This Row],[Expenses Gems]]</f>
        <v>-1000</v>
      </c>
      <c r="O107" s="69" t="n">
        <f aca="false">OFFSET(TblProd[[#This Row],[Boats]],-1,0)+OFFSET(TblProd[[#This Row],[Boats/hr]],-1,0)</f>
        <v>65.4500000000001</v>
      </c>
      <c r="P107" s="69" t="n">
        <f aca="false">OFFSET(TblProd[[#This Row],[Prestige]],-1,0)</f>
        <v>250</v>
      </c>
      <c r="Q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7" s="69" t="n">
        <f aca="false">MAX(3750,_xlfn.CEILING.MATH(TblProd[[#This Row],[Land]]*2.5+OFFSET(TblTech[[#This Row],[Sum of tech]],-1,0)*150))</f>
        <v>3750</v>
      </c>
      <c r="S107" s="132"/>
      <c r="T107" s="69" t="n">
        <f aca="false">ROUNDDOWN(TblProd[[#This Row],[Raw Plat/hr]]*(1+TblProd[[#This Row],[Bonus Plat/hr]]),0)</f>
        <v>39487</v>
      </c>
      <c r="U107" s="69" t="n">
        <f aca="false">ROUND(TblProd[[#This Row],[Raw Food/hr]]*(1+TblProd[[#This Row],[Bonus Food/hr]])-TblProd[[#This Row],[Food decay]]-TblProd[[#This Row],[Food eaten]],0)</f>
        <v>-3154</v>
      </c>
      <c r="V107" s="69" t="n">
        <f aca="false">ROUND(TblProd[[#This Row],[Raw Lumber/hr]]*(1+TblProd[[#This Row],[Bonus Lumber/hr]])-TblProd[[#This Row],[Lumber rot]],0)</f>
        <v>717</v>
      </c>
      <c r="W107" s="69" t="n">
        <f aca="false">ROUND(TblProd[[#This Row],[Raw Mana/hr]]*(1+TblProd[[#This Row],[Bonus Mana/hr]])-TblProd[[#This Row],[Mana drain]],0)</f>
        <v>-3864</v>
      </c>
      <c r="X107" s="69" t="n">
        <f aca="false">ROUNDDOWN(TblProd[[#This Row],[Raw Ore/hr]]*(1+TblProd[[#This Row],[Bonux Ore/hr]]),0)</f>
        <v>0</v>
      </c>
      <c r="Y107" s="69" t="n">
        <f aca="false">ROUNDDOWN(TblProd[[#This Row],[Raw Gems/hr]]*(1+TblProd[[#This Row],[Bonus Gems/hr]]),0)</f>
        <v>0</v>
      </c>
      <c r="Z107" s="148" t="n">
        <f aca="false">OFFSET(TblConstr[[#This Row],[Tot Doc]],1,0)*dock_boats_hr * (1 + tech_4_1*TblTech[[#This Row],[4-1]])</f>
        <v>1.2</v>
      </c>
      <c r="AA107" s="146"/>
      <c r="AB107" s="69" t="n">
        <f aca="false">TblPop[[#This Row],[Peasants]]*tax*TblPop[[#This Row],[Employment]] + (Construction!AZ108+Construction!BX108)*(alch_plat+(Magic!AM107&gt;0)*alchemist_flame_bonus)</f>
        <v>35897.6</v>
      </c>
      <c r="AC107" s="69" t="n">
        <f aca="false">TblConstr[[#This Row],[Tot Farm]]*farm_food + TblConstr[[#This Row],[Tot Doc]]*dock_food</f>
        <v>3280</v>
      </c>
      <c r="AD107" s="69" t="n">
        <f aca="false">TblConstr[[#This Row],[Tot Ly]]*ly_lumber + TblConstr[[#This Row],[Tot Hav]]*fh_lumber</f>
        <v>1250</v>
      </c>
      <c r="AE107" s="69" t="n">
        <f aca="false">OFFSET(TblConstr[[#This Row],[Tot Tow]],1,0)*(tower_mana + tech_4_5*TblTech[[#This Row],[4-5]]) + OFFSET(TblConstr[[#This Row],[Tot WG]],1,0)*wg_mana_prod</f>
        <v>725</v>
      </c>
      <c r="AF107" s="69" t="n">
        <f aca="false">OFFSET(TblConstr[[#This Row],[Tot OM]],1,0)*om_ore+IF(race="Dwarf",ROUNDDOWN(TblMili[[#This Row],[Unit 2]]*0.4,0),)</f>
        <v>0</v>
      </c>
      <c r="AG107" s="69" t="n">
        <f aca="false">OFFSET(TblConstr[[#This Row],[Tot DM]],1,0)*dm_gems</f>
        <v>0</v>
      </c>
      <c r="AH107" s="132"/>
      <c r="AI107" s="149" t="n">
        <f aca="false">MIN(race_platinum_bonus + IF(TblMagic[[#This Row],[Active Alch Frost]]&gt;0,alch_frost_bonus,IF(Magic!AD107&gt;0,midas_bonus)) + TblImps[[#This Row],[Science]] - TblProd[[#This Row],[Guard]]*(0.02 + tech_5_7*TblTech[[#This Row],[5-7]]) + tech_1_5*TblTech[[#This Row],[1-5]] + tech_4_4*TblTech[[#This Row],[4-4]], 0.5)</f>
        <v>0.1</v>
      </c>
      <c r="AJ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7" s="149" t="n">
        <f aca="false">race_lumber_bonus+ IF(TblMagic[[#This Row],[Active Gaia''s Blessing]]&gt;0,gaias_blessing_lumber)+ tech_1_3*TblTech[[#This Row],[1-3]] + tech_1_6*TblTech[[#This Row],[1-6]] + tech_3_3*TblTech[[#This Row],[3-3]]</f>
        <v>-0.1</v>
      </c>
      <c r="AL107" s="149" t="n">
        <f aca="false">race_mana_bonus+ 0 + TblImps[[#This Row],[Towers]] + tech_1_2*TblTech[[#This Row],[1-2]] + tech_3_4*TblTech[[#This Row],[3-4]]</f>
        <v>0</v>
      </c>
      <c r="AM107" s="149" t="n">
        <f aca="false">race_ore_bonus + IF(TblMagic[[#This Row],[Active Miner''s Sight]]&gt;0,miners_sight_bonus,IF(TblMagic[[#This Row],[Active Mining Strength]]&gt;0,mining_strength_bonus)) +  tech_1_6*TblTech[[#This Row],[1-6]]</f>
        <v>0</v>
      </c>
      <c r="AN107" s="149" t="n">
        <f aca="false">race_gem_bonus+ tech_3_2*TblTech[[#This Row],[3-2]] + tech_4_3*TblTech[[#This Row],[4-3]] + tech_6_2*TblTech[[#This Row],[6-2]]</f>
        <v>0.15</v>
      </c>
      <c r="AO107" s="132"/>
      <c r="AP107" s="69" t="n">
        <f aca="false">TblProd[[#This Row],[Food]]*food_decay * (1 + tech_2_1*TblTech[[#This Row],[2-1]] + tech_2_8*TblTech[[#This Row],[2-8]])</f>
        <v>3281.32</v>
      </c>
      <c r="AQ107" s="69" t="n">
        <f aca="false">(1+race_food_consumption)*TblPop[[#This Row],[Total]]*food_per_person*(1+tech_1_10*TblTech[[#This Row],[1-10]]+tech_7_5*TblTech[[#This Row],[7-5]])</f>
        <v>3234.75</v>
      </c>
      <c r="AR107" s="69" t="n">
        <f aca="false">TblProd[[#This Row],[Lumber]]*lumber_rot * (1 + tech_2_1*TblTech[[#This Row],[2-1]] + tech_2_8*TblTech[[#This Row],[2-8]] + tech_5_2*TblTech[[#This Row],[5-2]])</f>
        <v>407.61</v>
      </c>
      <c r="AS107" s="69" t="n">
        <f aca="false">TblProd[[#This Row],[Mana]]*mana_drain * (1 + tech_2_1*TblTech[[#This Row],[2-1]] + tech_2_8*TblTech[[#This Row],[2-8]])</f>
        <v>4589.46</v>
      </c>
      <c r="AT107" s="146"/>
      <c r="AU107" s="69" t="n">
        <f aca="false">TblExplore[[#This Row],[Platinum (2)]]+TblConstr[[#This Row],[Total Plat Cost]]+TblMili[[#This Row],[Plat Cost]]+TblRezone[[#This Row],[Platinum cost]]+TblImps[[#This Row],[P1]]-TblProd[[#This Row],[Bank Plat]]</f>
        <v>0</v>
      </c>
      <c r="AV107" s="69" t="n">
        <f aca="false">TblConstr[[#This Row],[Total Lum Cost]]+TblImps[[#This Row],[L1]]-TblProd[[#This Row],[Bank Lumber]] + Military!$CL$25*TblMili[[#This Row],[Sec. rec. Cost]]</f>
        <v>0</v>
      </c>
      <c r="AW107" s="69" t="n">
        <f aca="false">TblMagic[[#This Row],[Mana cost]] + Military!$CL$26*TblMili[[#This Row],[Sec. rec. Cost]]</f>
        <v>0</v>
      </c>
      <c r="AX107" s="69" t="n">
        <f aca="false">Military!$CL$24*TblMili[[#This Row],[Sec. rec. Cost]]+TblImps[[#This Row],[O1]]-TblProd[[#This Row],[Bank Ore]]</f>
        <v>0</v>
      </c>
      <c r="AY107" s="69" t="n">
        <f aca="false">TblImps[[#This Row],[G1]]-TblProd[[#This Row],[Bank Gems]]</f>
        <v>0</v>
      </c>
      <c r="AZ107" s="132"/>
      <c r="BA107" s="33" t="n">
        <f aca="false">IF(TblProd[[#This Row],[Set Guard]]&lt;&gt;"",TblProd[[#This Row],[Set Guard]],OFFSET(TblProd[[#This Row],[Guard]],-1,0))</f>
        <v>0</v>
      </c>
      <c r="BB107" s="145"/>
      <c r="BC107" s="151" t="n">
        <f aca="false">TblProd[[#This Row],[Hour]]</f>
        <v>32</v>
      </c>
      <c r="BD107" s="152" t="n">
        <f aca="false">-TblProd[[#This Row],[Bank Lumber]] / 2 + -TblProd[[#This Row],[Bank Gems]] * 2 + -TblProd[[#This Row],[Bank Ore]] / 2</f>
        <v>0</v>
      </c>
      <c r="BE107" s="152"/>
      <c r="BF107" s="152"/>
      <c r="BG107" s="152"/>
      <c r="BH107" s="153" t="n">
        <f aca="false">TblProd[[#This Row],[Time]]</f>
        <v>45434.0416666667</v>
      </c>
      <c r="BI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J107" s="69" t="n">
        <f aca="false">TblProd[[#This Row],[Platinum]]</f>
        <v>1307193</v>
      </c>
      <c r="BK107" s="69" t="n">
        <f aca="false">TblProd[[#This Row],[Food]]</f>
        <v>328132</v>
      </c>
      <c r="BL107" s="69" t="n">
        <f aca="false">TblProd[[#This Row],[Lumber]]</f>
        <v>40761</v>
      </c>
      <c r="BM107" s="69" t="n">
        <f aca="false">TblProd[[#This Row],[Mana]]</f>
        <v>229473</v>
      </c>
      <c r="BN107" s="69" t="n">
        <f aca="false">TblProd[[#This Row],[Ore]]</f>
        <v>-357</v>
      </c>
    </row>
    <row r="108" customFormat="false" ht="12.75" hidden="false" customHeight="false" outlineLevel="0" collapsed="false">
      <c r="A108" s="128" t="n">
        <v>33</v>
      </c>
      <c r="B108" s="144" t="n">
        <f aca="false">TblImps[[#This Row],[Time]]</f>
        <v>45434.0833333333</v>
      </c>
      <c r="C108" s="145"/>
      <c r="D108" s="146"/>
      <c r="E108" s="69" t="n">
        <f aca="false">TblConstr[[#This Row],[Land]]</f>
        <v>700</v>
      </c>
      <c r="F108" s="69" t="n">
        <f aca="false">TblPop[[#This Row],[Peasants]]</f>
        <v>7314</v>
      </c>
      <c r="G108" s="69"/>
      <c r="H108" s="69" t="e">
        <f aca="false">TblMili[[#This Row],[Networth (2)]]</f>
        <v>#VALUE!</v>
      </c>
      <c r="I108" s="69" t="n">
        <f aca="false">OFFSET(TblProd[[#This Row],[Platinum]],-1,0)+OFFSET(TblProd[[#This Row],[Plat/hr]],-1,0) - TblProd[[#This Row],[Expenses Platinum]] + IF(TblProd[[#This Row],[Plat Bonus]],TblPop[[#This Row],[Peasants]]*4) + SUM(TblConstr[[#This Row],[Dest Hom]:[Dest Doc]])*TblConstr[[#This Row],[CPA Platinum -DB]]*tech_3_3_2*TblTech[[#This Row],[3-3]]</f>
        <v>1346680</v>
      </c>
      <c r="J108" s="69" t="n">
        <f aca="false">OFFSET(TblProd[[#This Row],[Food]],-1,0)+OFFSET(TblProd[[#This Row],[Food/hr]],-1,0)+ROUNDUP((TblConstr[[#This Row],[Farms]]*80+TblConstr[[#This Row],[Docks]]*35)*(1+OFFSET(TblProd[[#This Row],[Bonus Food/hr]],-1,0)),0)</f>
        <v>324978</v>
      </c>
      <c r="K108" s="69" t="n">
        <f aca="false">OFFSET(TblProd[[#This Row],[Lumber]],-1,0)+OFFSET(TblProd[[#This Row],[Lumber/hr]],-1,0) - TblProd[[#This Row],[Expenses Lumber]] + SUM(TblConstr[[#This Row],[Dest Hom]:[Dest Doc]])*TblConstr[[#This Row],[CPA Lumber -DB]]*tech_3_3_2*TblTech[[#This Row],[3-3]]</f>
        <v>41478</v>
      </c>
      <c r="L108" s="69" t="n">
        <f aca="false">OFFSET(TblProd[[#This Row],[Mana]],-1,0)+OFFSET(TblProd[[#This Row],[Mana/hr]],-1,0)- TblProd[[#This Row],[Expenses Mana]]</f>
        <v>225609</v>
      </c>
      <c r="M108" s="69" t="n">
        <f aca="false">OFFSET(TblProd[[#This Row],[Ore]],-1,0)+OFFSET(TblProd[[#This Row],[Ore/hr]],-1,0) -TblProd[[#This Row],[Expenses Ore]]</f>
        <v>-357</v>
      </c>
      <c r="N108" s="69" t="n">
        <f aca="false">OFFSET(TblProd[[#This Row],[Gems]],-1,0)+OFFSET(TblProd[[#This Row],[Gems/hr]],-1,0) - TblProd[[#This Row],[Expenses Gems]]</f>
        <v>-1000</v>
      </c>
      <c r="O108" s="69" t="n">
        <f aca="false">OFFSET(TblProd[[#This Row],[Boats]],-1,0)+OFFSET(TblProd[[#This Row],[Boats/hr]],-1,0)</f>
        <v>66.6500000000001</v>
      </c>
      <c r="P108" s="69" t="n">
        <f aca="false">OFFSET(TblProd[[#This Row],[Prestige]],-1,0)</f>
        <v>250</v>
      </c>
      <c r="Q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8" s="69" t="n">
        <f aca="false">MAX(3750,_xlfn.CEILING.MATH(TblProd[[#This Row],[Land]]*2.5+OFFSET(TblTech[[#This Row],[Sum of tech]],-1,0)*150))</f>
        <v>3750</v>
      </c>
      <c r="S108" s="132"/>
      <c r="T108" s="69" t="n">
        <f aca="false">ROUNDDOWN(TblProd[[#This Row],[Raw Plat/hr]]*(1+TblProd[[#This Row],[Bonus Plat/hr]]),0)</f>
        <v>39267</v>
      </c>
      <c r="U108" s="69" t="n">
        <f aca="false">ROUND(TblProd[[#This Row],[Raw Food/hr]]*(1+TblProd[[#This Row],[Bonus Food/hr]])-TblProd[[#This Row],[Food decay]]-TblProd[[#This Row],[Food eaten]],0)</f>
        <v>-3123</v>
      </c>
      <c r="V108" s="69" t="n">
        <f aca="false">ROUND(TblProd[[#This Row],[Raw Lumber/hr]]*(1+TblProd[[#This Row],[Bonus Lumber/hr]])-TblProd[[#This Row],[Lumber rot]],0)</f>
        <v>710</v>
      </c>
      <c r="W108" s="69" t="n">
        <f aca="false">ROUND(TblProd[[#This Row],[Raw Mana/hr]]*(1+TblProd[[#This Row],[Bonus Mana/hr]])-TblProd[[#This Row],[Mana drain]],0)</f>
        <v>-3787</v>
      </c>
      <c r="X108" s="69" t="n">
        <f aca="false">ROUNDDOWN(TblProd[[#This Row],[Raw Ore/hr]]*(1+TblProd[[#This Row],[Bonux Ore/hr]]),0)</f>
        <v>0</v>
      </c>
      <c r="Y108" s="69" t="n">
        <f aca="false">ROUNDDOWN(TblProd[[#This Row],[Raw Gems/hr]]*(1+TblProd[[#This Row],[Bonus Gems/hr]]),0)</f>
        <v>0</v>
      </c>
      <c r="Z108" s="148" t="n">
        <f aca="false">OFFSET(TblConstr[[#This Row],[Tot Doc]],1,0)*dock_boats_hr * (1 + tech_4_1*TblTech[[#This Row],[4-1]])</f>
        <v>1.2</v>
      </c>
      <c r="AA108" s="146"/>
      <c r="AB108" s="69" t="n">
        <f aca="false">TblPop[[#This Row],[Peasants]]*tax*TblPop[[#This Row],[Employment]] + (Construction!AZ109+Construction!BX109)*(alch_plat+(Magic!AM108&gt;0)*alchemist_flame_bonus)</f>
        <v>35697.8</v>
      </c>
      <c r="AC108" s="69" t="n">
        <f aca="false">TblConstr[[#This Row],[Tot Farm]]*farm_food + TblConstr[[#This Row],[Tot Doc]]*dock_food</f>
        <v>3280</v>
      </c>
      <c r="AD108" s="69" t="n">
        <f aca="false">TblConstr[[#This Row],[Tot Ly]]*ly_lumber + TblConstr[[#This Row],[Tot Hav]]*fh_lumber</f>
        <v>1250</v>
      </c>
      <c r="AE108" s="69" t="n">
        <f aca="false">OFFSET(TblConstr[[#This Row],[Tot Tow]],1,0)*(tower_mana + tech_4_5*TblTech[[#This Row],[4-5]]) + OFFSET(TblConstr[[#This Row],[Tot WG]],1,0)*wg_mana_prod</f>
        <v>725</v>
      </c>
      <c r="AF108" s="69" t="n">
        <f aca="false">OFFSET(TblConstr[[#This Row],[Tot OM]],1,0)*om_ore+IF(race="Dwarf",ROUNDDOWN(TblMili[[#This Row],[Unit 2]]*0.4,0),)</f>
        <v>0</v>
      </c>
      <c r="AG108" s="69" t="n">
        <f aca="false">OFFSET(TblConstr[[#This Row],[Tot DM]],1,0)*dm_gems</f>
        <v>0</v>
      </c>
      <c r="AH108" s="132"/>
      <c r="AI108" s="149" t="n">
        <f aca="false">MIN(race_platinum_bonus + IF(TblMagic[[#This Row],[Active Alch Frost]]&gt;0,alch_frost_bonus,IF(Magic!AD108&gt;0,midas_bonus)) + TblImps[[#This Row],[Science]] - TblProd[[#This Row],[Guard]]*(0.02 + tech_5_7*TblTech[[#This Row],[5-7]]) + tech_1_5*TblTech[[#This Row],[1-5]] + tech_4_4*TblTech[[#This Row],[4-4]], 0.5)</f>
        <v>0.1</v>
      </c>
      <c r="AJ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8" s="149" t="n">
        <f aca="false">race_lumber_bonus+ IF(TblMagic[[#This Row],[Active Gaia''s Blessing]]&gt;0,gaias_blessing_lumber)+ tech_1_3*TblTech[[#This Row],[1-3]] + tech_1_6*TblTech[[#This Row],[1-6]] + tech_3_3*TblTech[[#This Row],[3-3]]</f>
        <v>-0.1</v>
      </c>
      <c r="AL108" s="149" t="n">
        <f aca="false">race_mana_bonus+ 0 + TblImps[[#This Row],[Towers]] + tech_1_2*TblTech[[#This Row],[1-2]] + tech_3_4*TblTech[[#This Row],[3-4]]</f>
        <v>0</v>
      </c>
      <c r="AM108" s="149" t="n">
        <f aca="false">race_ore_bonus + IF(TblMagic[[#This Row],[Active Miner''s Sight]]&gt;0,miners_sight_bonus,IF(TblMagic[[#This Row],[Active Mining Strength]]&gt;0,mining_strength_bonus)) +  tech_1_6*TblTech[[#This Row],[1-6]]</f>
        <v>0</v>
      </c>
      <c r="AN108" s="149" t="n">
        <f aca="false">race_gem_bonus+ tech_3_2*TblTech[[#This Row],[3-2]] + tech_4_3*TblTech[[#This Row],[4-3]] + tech_6_2*TblTech[[#This Row],[6-2]]</f>
        <v>0.15</v>
      </c>
      <c r="AO108" s="132"/>
      <c r="AP108" s="69" t="n">
        <f aca="false">TblProd[[#This Row],[Food]]*food_decay * (1 + tech_2_1*TblTech[[#This Row],[2-1]] + tech_2_8*TblTech[[#This Row],[2-8]])</f>
        <v>3249.78</v>
      </c>
      <c r="AQ108" s="69" t="n">
        <f aca="false">(1+race_food_consumption)*TblPop[[#This Row],[Total]]*food_per_person*(1+tech_1_10*TblTech[[#This Row],[1-10]]+tech_7_5*TblTech[[#This Row],[7-5]])</f>
        <v>3234.75</v>
      </c>
      <c r="AR108" s="69" t="n">
        <f aca="false">TblProd[[#This Row],[Lumber]]*lumber_rot * (1 + tech_2_1*TblTech[[#This Row],[2-1]] + tech_2_8*TblTech[[#This Row],[2-8]] + tech_5_2*TblTech[[#This Row],[5-2]])</f>
        <v>414.78</v>
      </c>
      <c r="AS108" s="69" t="n">
        <f aca="false">TblProd[[#This Row],[Mana]]*mana_drain * (1 + tech_2_1*TblTech[[#This Row],[2-1]] + tech_2_8*TblTech[[#This Row],[2-8]])</f>
        <v>4512.18</v>
      </c>
      <c r="AT108" s="146"/>
      <c r="AU108" s="69" t="n">
        <f aca="false">TblExplore[[#This Row],[Platinum (2)]]+TblConstr[[#This Row],[Total Plat Cost]]+TblMili[[#This Row],[Plat Cost]]+TblRezone[[#This Row],[Platinum cost]]+TblImps[[#This Row],[P1]]-TblProd[[#This Row],[Bank Plat]]</f>
        <v>0</v>
      </c>
      <c r="AV108" s="69" t="n">
        <f aca="false">TblConstr[[#This Row],[Total Lum Cost]]+TblImps[[#This Row],[L1]]-TblProd[[#This Row],[Bank Lumber]] + Military!$CL$25*TblMili[[#This Row],[Sec. rec. Cost]]</f>
        <v>0</v>
      </c>
      <c r="AW108" s="69" t="n">
        <f aca="false">TblMagic[[#This Row],[Mana cost]] + Military!$CL$26*TblMili[[#This Row],[Sec. rec. Cost]]</f>
        <v>0</v>
      </c>
      <c r="AX108" s="69" t="n">
        <f aca="false">Military!$CL$24*TblMili[[#This Row],[Sec. rec. Cost]]+TblImps[[#This Row],[O1]]-TblProd[[#This Row],[Bank Ore]]</f>
        <v>0</v>
      </c>
      <c r="AY108" s="69" t="n">
        <f aca="false">TblImps[[#This Row],[G1]]-TblProd[[#This Row],[Bank Gems]]</f>
        <v>0</v>
      </c>
      <c r="AZ108" s="132"/>
      <c r="BA108" s="33" t="n">
        <f aca="false">IF(TblProd[[#This Row],[Set Guard]]&lt;&gt;"",TblProd[[#This Row],[Set Guard]],OFFSET(TblProd[[#This Row],[Guard]],-1,0))</f>
        <v>0</v>
      </c>
      <c r="BB108" s="145"/>
      <c r="BC108" s="151" t="n">
        <f aca="false">TblProd[[#This Row],[Hour]]</f>
        <v>33</v>
      </c>
      <c r="BD108" s="152" t="n">
        <f aca="false">-TblProd[[#This Row],[Bank Lumber]] / 2 + -TblProd[[#This Row],[Bank Gems]] * 2 + -TblProd[[#This Row],[Bank Ore]] / 2</f>
        <v>0</v>
      </c>
      <c r="BE108" s="152"/>
      <c r="BF108" s="152"/>
      <c r="BG108" s="152"/>
      <c r="BH108" s="153" t="n">
        <f aca="false">TblProd[[#This Row],[Time]]</f>
        <v>45434.0833333333</v>
      </c>
      <c r="BI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J108" s="69" t="n">
        <f aca="false">TblProd[[#This Row],[Platinum]]</f>
        <v>1346680</v>
      </c>
      <c r="BK108" s="69" t="n">
        <f aca="false">TblProd[[#This Row],[Food]]</f>
        <v>324978</v>
      </c>
      <c r="BL108" s="69" t="n">
        <f aca="false">TblProd[[#This Row],[Lumber]]</f>
        <v>41478</v>
      </c>
      <c r="BM108" s="69" t="n">
        <f aca="false">TblProd[[#This Row],[Mana]]</f>
        <v>225609</v>
      </c>
      <c r="BN108" s="69" t="n">
        <f aca="false">TblProd[[#This Row],[Ore]]</f>
        <v>-357</v>
      </c>
    </row>
    <row r="109" customFormat="false" ht="12.75" hidden="false" customHeight="false" outlineLevel="0" collapsed="false">
      <c r="A109" s="128" t="n">
        <v>34</v>
      </c>
      <c r="B109" s="144" t="n">
        <f aca="false">TblImps[[#This Row],[Time]]</f>
        <v>45434.125</v>
      </c>
      <c r="C109" s="145"/>
      <c r="D109" s="146"/>
      <c r="E109" s="69" t="n">
        <f aca="false">TblConstr[[#This Row],[Land]]</f>
        <v>700</v>
      </c>
      <c r="F109" s="69" t="n">
        <f aca="false">TblPop[[#This Row],[Peasants]]</f>
        <v>7241</v>
      </c>
      <c r="G109" s="69"/>
      <c r="H109" s="69" t="e">
        <f aca="false">TblMili[[#This Row],[Networth (2)]]</f>
        <v>#VALUE!</v>
      </c>
      <c r="I109" s="69" t="n">
        <f aca="false">OFFSET(TblProd[[#This Row],[Platinum]],-1,0)+OFFSET(TblProd[[#This Row],[Plat/hr]],-1,0) - TblProd[[#This Row],[Expenses Platinum]] + IF(TblProd[[#This Row],[Plat Bonus]],TblPop[[#This Row],[Peasants]]*4) + SUM(TblConstr[[#This Row],[Dest Hom]:[Dest Doc]])*TblConstr[[#This Row],[CPA Platinum -DB]]*tech_3_3_2*TblTech[[#This Row],[3-3]]</f>
        <v>1385947</v>
      </c>
      <c r="J109" s="69" t="n">
        <f aca="false">OFFSET(TblProd[[#This Row],[Food]],-1,0)+OFFSET(TblProd[[#This Row],[Food/hr]],-1,0)+ROUNDUP((TblConstr[[#This Row],[Farms]]*80+TblConstr[[#This Row],[Docks]]*35)*(1+OFFSET(TblProd[[#This Row],[Bonus Food/hr]],-1,0)),0)</f>
        <v>321855</v>
      </c>
      <c r="K109" s="69" t="n">
        <f aca="false">OFFSET(TblProd[[#This Row],[Lumber]],-1,0)+OFFSET(TblProd[[#This Row],[Lumber/hr]],-1,0) - TblProd[[#This Row],[Expenses Lumber]] + SUM(TblConstr[[#This Row],[Dest Hom]:[Dest Doc]])*TblConstr[[#This Row],[CPA Lumber -DB]]*tech_3_3_2*TblTech[[#This Row],[3-3]]</f>
        <v>42188</v>
      </c>
      <c r="L109" s="69" t="n">
        <f aca="false">OFFSET(TblProd[[#This Row],[Mana]],-1,0)+OFFSET(TblProd[[#This Row],[Mana/hr]],-1,0)- TblProd[[#This Row],[Expenses Mana]]</f>
        <v>221822</v>
      </c>
      <c r="M109" s="69" t="n">
        <f aca="false">OFFSET(TblProd[[#This Row],[Ore]],-1,0)+OFFSET(TblProd[[#This Row],[Ore/hr]],-1,0) -TblProd[[#This Row],[Expenses Ore]]</f>
        <v>-357</v>
      </c>
      <c r="N109" s="69" t="n">
        <f aca="false">OFFSET(TblProd[[#This Row],[Gems]],-1,0)+OFFSET(TblProd[[#This Row],[Gems/hr]],-1,0) - TblProd[[#This Row],[Expenses Gems]]</f>
        <v>-1000</v>
      </c>
      <c r="O109" s="69" t="n">
        <f aca="false">OFFSET(TblProd[[#This Row],[Boats]],-1,0)+OFFSET(TblProd[[#This Row],[Boats/hr]],-1,0)</f>
        <v>67.8500000000001</v>
      </c>
      <c r="P109" s="69" t="n">
        <f aca="false">OFFSET(TblProd[[#This Row],[Prestige]],-1,0)</f>
        <v>250</v>
      </c>
      <c r="Q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9" s="69" t="n">
        <f aca="false">MAX(3750,_xlfn.CEILING.MATH(TblProd[[#This Row],[Land]]*2.5+OFFSET(TblTech[[#This Row],[Sum of tech]],-1,0)*150))</f>
        <v>3750</v>
      </c>
      <c r="S109" s="132"/>
      <c r="T109" s="69" t="n">
        <f aca="false">ROUNDDOWN(TblProd[[#This Row],[Raw Plat/hr]]*(1+TblProd[[#This Row],[Bonus Plat/hr]]),0)</f>
        <v>39050</v>
      </c>
      <c r="U109" s="69" t="n">
        <f aca="false">ROUND(TblProd[[#This Row],[Raw Food/hr]]*(1+TblProd[[#This Row],[Bonus Food/hr]])-TblProd[[#This Row],[Food decay]]-TblProd[[#This Row],[Food eaten]],0)</f>
        <v>-3091</v>
      </c>
      <c r="V109" s="69" t="n">
        <f aca="false">ROUND(TblProd[[#This Row],[Raw Lumber/hr]]*(1+TblProd[[#This Row],[Bonus Lumber/hr]])-TblProd[[#This Row],[Lumber rot]],0)</f>
        <v>703</v>
      </c>
      <c r="W109" s="69" t="n">
        <f aca="false">ROUND(TblProd[[#This Row],[Raw Mana/hr]]*(1+TblProd[[#This Row],[Bonus Mana/hr]])-TblProd[[#This Row],[Mana drain]],0)</f>
        <v>-3711</v>
      </c>
      <c r="X109" s="69" t="n">
        <f aca="false">ROUNDDOWN(TblProd[[#This Row],[Raw Ore/hr]]*(1+TblProd[[#This Row],[Bonux Ore/hr]]),0)</f>
        <v>0</v>
      </c>
      <c r="Y109" s="69" t="n">
        <f aca="false">ROUNDDOWN(TblProd[[#This Row],[Raw Gems/hr]]*(1+TblProd[[#This Row],[Bonus Gems/hr]]),0)</f>
        <v>0</v>
      </c>
      <c r="Z109" s="148" t="n">
        <f aca="false">OFFSET(TblConstr[[#This Row],[Tot Doc]],1,0)*dock_boats_hr * (1 + tech_4_1*TblTech[[#This Row],[4-1]])</f>
        <v>1.2</v>
      </c>
      <c r="AA109" s="146"/>
      <c r="AB109" s="69" t="n">
        <f aca="false">TblPop[[#This Row],[Peasants]]*tax*TblPop[[#This Row],[Employment]] + (Construction!AZ110+Construction!BX110)*(alch_plat+(Magic!AM109&gt;0)*alchemist_flame_bonus)</f>
        <v>35500.7</v>
      </c>
      <c r="AC109" s="69" t="n">
        <f aca="false">TblConstr[[#This Row],[Tot Farm]]*farm_food + TblConstr[[#This Row],[Tot Doc]]*dock_food</f>
        <v>3280</v>
      </c>
      <c r="AD109" s="69" t="n">
        <f aca="false">TblConstr[[#This Row],[Tot Ly]]*ly_lumber + TblConstr[[#This Row],[Tot Hav]]*fh_lumber</f>
        <v>1250</v>
      </c>
      <c r="AE109" s="69" t="n">
        <f aca="false">OFFSET(TblConstr[[#This Row],[Tot Tow]],1,0)*(tower_mana + tech_4_5*TblTech[[#This Row],[4-5]]) + OFFSET(TblConstr[[#This Row],[Tot WG]],1,0)*wg_mana_prod</f>
        <v>725</v>
      </c>
      <c r="AF109" s="69" t="n">
        <f aca="false">OFFSET(TblConstr[[#This Row],[Tot OM]],1,0)*om_ore+IF(race="Dwarf",ROUNDDOWN(TblMili[[#This Row],[Unit 2]]*0.4,0),)</f>
        <v>0</v>
      </c>
      <c r="AG109" s="69" t="n">
        <f aca="false">OFFSET(TblConstr[[#This Row],[Tot DM]],1,0)*dm_gems</f>
        <v>0</v>
      </c>
      <c r="AH109" s="132"/>
      <c r="AI109" s="149" t="n">
        <f aca="false">MIN(race_platinum_bonus + IF(TblMagic[[#This Row],[Active Alch Frost]]&gt;0,alch_frost_bonus,IF(Magic!AD109&gt;0,midas_bonus)) + TblImps[[#This Row],[Science]] - TblProd[[#This Row],[Guard]]*(0.02 + tech_5_7*TblTech[[#This Row],[5-7]]) + tech_1_5*TblTech[[#This Row],[1-5]] + tech_4_4*TblTech[[#This Row],[4-4]], 0.5)</f>
        <v>0.1</v>
      </c>
      <c r="AJ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9" s="149" t="n">
        <f aca="false">race_lumber_bonus+ IF(TblMagic[[#This Row],[Active Gaia''s Blessing]]&gt;0,gaias_blessing_lumber)+ tech_1_3*TblTech[[#This Row],[1-3]] + tech_1_6*TblTech[[#This Row],[1-6]] + tech_3_3*TblTech[[#This Row],[3-3]]</f>
        <v>-0.1</v>
      </c>
      <c r="AL109" s="149" t="n">
        <f aca="false">race_mana_bonus+ 0 + TblImps[[#This Row],[Towers]] + tech_1_2*TblTech[[#This Row],[1-2]] + tech_3_4*TblTech[[#This Row],[3-4]]</f>
        <v>0</v>
      </c>
      <c r="AM109" s="149" t="n">
        <f aca="false">race_ore_bonus + IF(TblMagic[[#This Row],[Active Miner''s Sight]]&gt;0,miners_sight_bonus,IF(TblMagic[[#This Row],[Active Mining Strength]]&gt;0,mining_strength_bonus)) +  tech_1_6*TblTech[[#This Row],[1-6]]</f>
        <v>0</v>
      </c>
      <c r="AN109" s="149" t="n">
        <f aca="false">race_gem_bonus+ tech_3_2*TblTech[[#This Row],[3-2]] + tech_4_3*TblTech[[#This Row],[4-3]] + tech_6_2*TblTech[[#This Row],[6-2]]</f>
        <v>0.15</v>
      </c>
      <c r="AO109" s="132"/>
      <c r="AP109" s="69" t="n">
        <f aca="false">TblProd[[#This Row],[Food]]*food_decay * (1 + tech_2_1*TblTech[[#This Row],[2-1]] + tech_2_8*TblTech[[#This Row],[2-8]])</f>
        <v>3218.55</v>
      </c>
      <c r="AQ109" s="69" t="n">
        <f aca="false">(1+race_food_consumption)*TblPop[[#This Row],[Total]]*food_per_person*(1+tech_1_10*TblTech[[#This Row],[1-10]]+tech_7_5*TblTech[[#This Row],[7-5]])</f>
        <v>3234.75</v>
      </c>
      <c r="AR109" s="69" t="n">
        <f aca="false">TblProd[[#This Row],[Lumber]]*lumber_rot * (1 + tech_2_1*TblTech[[#This Row],[2-1]] + tech_2_8*TblTech[[#This Row],[2-8]] + tech_5_2*TblTech[[#This Row],[5-2]])</f>
        <v>421.88</v>
      </c>
      <c r="AS109" s="69" t="n">
        <f aca="false">TblProd[[#This Row],[Mana]]*mana_drain * (1 + tech_2_1*TblTech[[#This Row],[2-1]] + tech_2_8*TblTech[[#This Row],[2-8]])</f>
        <v>4436.44</v>
      </c>
      <c r="AT109" s="146"/>
      <c r="AU109" s="69" t="n">
        <f aca="false">TblExplore[[#This Row],[Platinum (2)]]+TblConstr[[#This Row],[Total Plat Cost]]+TblMili[[#This Row],[Plat Cost]]+TblRezone[[#This Row],[Platinum cost]]+TblImps[[#This Row],[P1]]-TblProd[[#This Row],[Bank Plat]]</f>
        <v>0</v>
      </c>
      <c r="AV109" s="69" t="n">
        <f aca="false">TblConstr[[#This Row],[Total Lum Cost]]+TblImps[[#This Row],[L1]]-TblProd[[#This Row],[Bank Lumber]] + Military!$CL$25*TblMili[[#This Row],[Sec. rec. Cost]]</f>
        <v>0</v>
      </c>
      <c r="AW109" s="69" t="n">
        <f aca="false">TblMagic[[#This Row],[Mana cost]] + Military!$CL$26*TblMili[[#This Row],[Sec. rec. Cost]]</f>
        <v>0</v>
      </c>
      <c r="AX109" s="69" t="n">
        <f aca="false">Military!$CL$24*TblMili[[#This Row],[Sec. rec. Cost]]+TblImps[[#This Row],[O1]]-TblProd[[#This Row],[Bank Ore]]</f>
        <v>0</v>
      </c>
      <c r="AY109" s="69" t="n">
        <f aca="false">TblImps[[#This Row],[G1]]-TblProd[[#This Row],[Bank Gems]]</f>
        <v>0</v>
      </c>
      <c r="AZ109" s="132"/>
      <c r="BA109" s="33" t="n">
        <f aca="false">IF(TblProd[[#This Row],[Set Guard]]&lt;&gt;"",TblProd[[#This Row],[Set Guard]],OFFSET(TblProd[[#This Row],[Guard]],-1,0))</f>
        <v>0</v>
      </c>
      <c r="BB109" s="145"/>
      <c r="BC109" s="151" t="n">
        <f aca="false">TblProd[[#This Row],[Hour]]</f>
        <v>34</v>
      </c>
      <c r="BD109" s="152" t="n">
        <f aca="false">-TblProd[[#This Row],[Bank Lumber]] / 2 + -TblProd[[#This Row],[Bank Gems]] * 2 + -TblProd[[#This Row],[Bank Ore]] / 2</f>
        <v>0</v>
      </c>
      <c r="BE109" s="152"/>
      <c r="BF109" s="152"/>
      <c r="BG109" s="152"/>
      <c r="BH109" s="153" t="n">
        <f aca="false">TblProd[[#This Row],[Time]]</f>
        <v>45434.125</v>
      </c>
      <c r="BI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J109" s="69" t="n">
        <f aca="false">TblProd[[#This Row],[Platinum]]</f>
        <v>1385947</v>
      </c>
      <c r="BK109" s="69" t="n">
        <f aca="false">TblProd[[#This Row],[Food]]</f>
        <v>321855</v>
      </c>
      <c r="BL109" s="69" t="n">
        <f aca="false">TblProd[[#This Row],[Lumber]]</f>
        <v>42188</v>
      </c>
      <c r="BM109" s="69" t="n">
        <f aca="false">TblProd[[#This Row],[Mana]]</f>
        <v>221822</v>
      </c>
      <c r="BN109" s="69" t="n">
        <f aca="false">TblProd[[#This Row],[Ore]]</f>
        <v>-357</v>
      </c>
    </row>
    <row r="110" customFormat="false" ht="12.75" hidden="false" customHeight="false" outlineLevel="0" collapsed="false">
      <c r="A110" s="128" t="n">
        <v>35</v>
      </c>
      <c r="B110" s="144" t="n">
        <f aca="false">TblImps[[#This Row],[Time]]</f>
        <v>45434.1666666667</v>
      </c>
      <c r="C110" s="145"/>
      <c r="D110" s="146"/>
      <c r="E110" s="69" t="n">
        <f aca="false">TblConstr[[#This Row],[Land]]</f>
        <v>700</v>
      </c>
      <c r="F110" s="69" t="n">
        <f aca="false">TblPop[[#This Row],[Peasants]]</f>
        <v>7169</v>
      </c>
      <c r="G110" s="69"/>
      <c r="H110" s="69" t="e">
        <f aca="false">TblMili[[#This Row],[Networth (2)]]</f>
        <v>#VALUE!</v>
      </c>
      <c r="I110" s="69" t="n">
        <f aca="false">OFFSET(TblProd[[#This Row],[Platinum]],-1,0)+OFFSET(TblProd[[#This Row],[Plat/hr]],-1,0) - TblProd[[#This Row],[Expenses Platinum]] + IF(TblProd[[#This Row],[Plat Bonus]],TblPop[[#This Row],[Peasants]]*4) + SUM(TblConstr[[#This Row],[Dest Hom]:[Dest Doc]])*TblConstr[[#This Row],[CPA Platinum -DB]]*tech_3_3_2*TblTech[[#This Row],[3-3]]</f>
        <v>1424997</v>
      </c>
      <c r="J110" s="69" t="n">
        <f aca="false">OFFSET(TblProd[[#This Row],[Food]],-1,0)+OFFSET(TblProd[[#This Row],[Food/hr]],-1,0)+ROUNDUP((TblConstr[[#This Row],[Farms]]*80+TblConstr[[#This Row],[Docks]]*35)*(1+OFFSET(TblProd[[#This Row],[Bonus Food/hr]],-1,0)),0)</f>
        <v>318764</v>
      </c>
      <c r="K110" s="69" t="n">
        <f aca="false">OFFSET(TblProd[[#This Row],[Lumber]],-1,0)+OFFSET(TblProd[[#This Row],[Lumber/hr]],-1,0) - TblProd[[#This Row],[Expenses Lumber]] + SUM(TblConstr[[#This Row],[Dest Hom]:[Dest Doc]])*TblConstr[[#This Row],[CPA Lumber -DB]]*tech_3_3_2*TblTech[[#This Row],[3-3]]</f>
        <v>42891</v>
      </c>
      <c r="L110" s="69" t="n">
        <f aca="false">OFFSET(TblProd[[#This Row],[Mana]],-1,0)+OFFSET(TblProd[[#This Row],[Mana/hr]],-1,0)- TblProd[[#This Row],[Expenses Mana]]</f>
        <v>218111</v>
      </c>
      <c r="M110" s="69" t="n">
        <f aca="false">OFFSET(TblProd[[#This Row],[Ore]],-1,0)+OFFSET(TblProd[[#This Row],[Ore/hr]],-1,0) -TblProd[[#This Row],[Expenses Ore]]</f>
        <v>-357</v>
      </c>
      <c r="N110" s="69" t="n">
        <f aca="false">OFFSET(TblProd[[#This Row],[Gems]],-1,0)+OFFSET(TblProd[[#This Row],[Gems/hr]],-1,0) - TblProd[[#This Row],[Expenses Gems]]</f>
        <v>-1000</v>
      </c>
      <c r="O110" s="69" t="n">
        <f aca="false">OFFSET(TblProd[[#This Row],[Boats]],-1,0)+OFFSET(TblProd[[#This Row],[Boats/hr]],-1,0)</f>
        <v>69.0500000000001</v>
      </c>
      <c r="P110" s="69" t="n">
        <f aca="false">OFFSET(TblProd[[#This Row],[Prestige]],-1,0)</f>
        <v>250</v>
      </c>
      <c r="Q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0" s="69" t="n">
        <f aca="false">MAX(3750,_xlfn.CEILING.MATH(TblProd[[#This Row],[Land]]*2.5+OFFSET(TblTech[[#This Row],[Sum of tech]],-1,0)*150))</f>
        <v>3750</v>
      </c>
      <c r="S110" s="132"/>
      <c r="T110" s="69" t="n">
        <f aca="false">ROUNDDOWN(TblProd[[#This Row],[Raw Plat/hr]]*(1+TblProd[[#This Row],[Bonus Plat/hr]]),0)</f>
        <v>38836</v>
      </c>
      <c r="U110" s="69" t="n">
        <f aca="false">ROUND(TblProd[[#This Row],[Raw Food/hr]]*(1+TblProd[[#This Row],[Bonus Food/hr]])-TblProd[[#This Row],[Food decay]]-TblProd[[#This Row],[Food eaten]],0)</f>
        <v>-3060</v>
      </c>
      <c r="V110" s="69" t="n">
        <f aca="false">ROUND(TblProd[[#This Row],[Raw Lumber/hr]]*(1+TblProd[[#This Row],[Bonus Lumber/hr]])-TblProd[[#This Row],[Lumber rot]],0)</f>
        <v>696</v>
      </c>
      <c r="W110" s="69" t="n">
        <f aca="false">ROUND(TblProd[[#This Row],[Raw Mana/hr]]*(1+TblProd[[#This Row],[Bonus Mana/hr]])-TblProd[[#This Row],[Mana drain]],0)</f>
        <v>-3637</v>
      </c>
      <c r="X110" s="69" t="n">
        <f aca="false">ROUNDDOWN(TblProd[[#This Row],[Raw Ore/hr]]*(1+TblProd[[#This Row],[Bonux Ore/hr]]),0)</f>
        <v>0</v>
      </c>
      <c r="Y110" s="69" t="n">
        <f aca="false">ROUNDDOWN(TblProd[[#This Row],[Raw Gems/hr]]*(1+TblProd[[#This Row],[Bonus Gems/hr]]),0)</f>
        <v>0</v>
      </c>
      <c r="Z110" s="148" t="n">
        <f aca="false">OFFSET(TblConstr[[#This Row],[Tot Doc]],1,0)*dock_boats_hr * (1 + tech_4_1*TblTech[[#This Row],[4-1]])</f>
        <v>1.2</v>
      </c>
      <c r="AA110" s="146"/>
      <c r="AB110" s="69" t="n">
        <f aca="false">TblPop[[#This Row],[Peasants]]*tax*TblPop[[#This Row],[Employment]] + (Construction!AZ111+Construction!BX111)*(alch_plat+(Magic!AM110&gt;0)*alchemist_flame_bonus)</f>
        <v>35306.3</v>
      </c>
      <c r="AC110" s="69" t="n">
        <f aca="false">TblConstr[[#This Row],[Tot Farm]]*farm_food + TblConstr[[#This Row],[Tot Doc]]*dock_food</f>
        <v>3280</v>
      </c>
      <c r="AD110" s="69" t="n">
        <f aca="false">TblConstr[[#This Row],[Tot Ly]]*ly_lumber + TblConstr[[#This Row],[Tot Hav]]*fh_lumber</f>
        <v>1250</v>
      </c>
      <c r="AE110" s="69" t="n">
        <f aca="false">OFFSET(TblConstr[[#This Row],[Tot Tow]],1,0)*(tower_mana + tech_4_5*TblTech[[#This Row],[4-5]]) + OFFSET(TblConstr[[#This Row],[Tot WG]],1,0)*wg_mana_prod</f>
        <v>725</v>
      </c>
      <c r="AF110" s="69" t="n">
        <f aca="false">OFFSET(TblConstr[[#This Row],[Tot OM]],1,0)*om_ore+IF(race="Dwarf",ROUNDDOWN(TblMili[[#This Row],[Unit 2]]*0.4,0),)</f>
        <v>0</v>
      </c>
      <c r="AG110" s="69" t="n">
        <f aca="false">OFFSET(TblConstr[[#This Row],[Tot DM]],1,0)*dm_gems</f>
        <v>0</v>
      </c>
      <c r="AH110" s="132"/>
      <c r="AI110" s="149" t="n">
        <f aca="false">MIN(race_platinum_bonus + IF(TblMagic[[#This Row],[Active Alch Frost]]&gt;0,alch_frost_bonus,IF(Magic!AD110&gt;0,midas_bonus)) + TblImps[[#This Row],[Science]] - TblProd[[#This Row],[Guard]]*(0.02 + tech_5_7*TblTech[[#This Row],[5-7]]) + tech_1_5*TblTech[[#This Row],[1-5]] + tech_4_4*TblTech[[#This Row],[4-4]], 0.5)</f>
        <v>0.1</v>
      </c>
      <c r="AJ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0" s="149" t="n">
        <f aca="false">race_lumber_bonus+ IF(TblMagic[[#This Row],[Active Gaia''s Blessing]]&gt;0,gaias_blessing_lumber)+ tech_1_3*TblTech[[#This Row],[1-3]] + tech_1_6*TblTech[[#This Row],[1-6]] + tech_3_3*TblTech[[#This Row],[3-3]]</f>
        <v>-0.1</v>
      </c>
      <c r="AL110" s="149" t="n">
        <f aca="false">race_mana_bonus+ 0 + TblImps[[#This Row],[Towers]] + tech_1_2*TblTech[[#This Row],[1-2]] + tech_3_4*TblTech[[#This Row],[3-4]]</f>
        <v>0</v>
      </c>
      <c r="AM110" s="149" t="n">
        <f aca="false">race_ore_bonus + IF(TblMagic[[#This Row],[Active Miner''s Sight]]&gt;0,miners_sight_bonus,IF(TblMagic[[#This Row],[Active Mining Strength]]&gt;0,mining_strength_bonus)) +  tech_1_6*TblTech[[#This Row],[1-6]]</f>
        <v>0</v>
      </c>
      <c r="AN110" s="149" t="n">
        <f aca="false">race_gem_bonus+ tech_3_2*TblTech[[#This Row],[3-2]] + tech_4_3*TblTech[[#This Row],[4-3]] + tech_6_2*TblTech[[#This Row],[6-2]]</f>
        <v>0.15</v>
      </c>
      <c r="AO110" s="132"/>
      <c r="AP110" s="69" t="n">
        <f aca="false">TblProd[[#This Row],[Food]]*food_decay * (1 + tech_2_1*TblTech[[#This Row],[2-1]] + tech_2_8*TblTech[[#This Row],[2-8]])</f>
        <v>3187.64</v>
      </c>
      <c r="AQ110" s="69" t="n">
        <f aca="false">(1+race_food_consumption)*TblPop[[#This Row],[Total]]*food_per_person*(1+tech_1_10*TblTech[[#This Row],[1-10]]+tech_7_5*TblTech[[#This Row],[7-5]])</f>
        <v>3234.75</v>
      </c>
      <c r="AR110" s="69" t="n">
        <f aca="false">TblProd[[#This Row],[Lumber]]*lumber_rot * (1 + tech_2_1*TblTech[[#This Row],[2-1]] + tech_2_8*TblTech[[#This Row],[2-8]] + tech_5_2*TblTech[[#This Row],[5-2]])</f>
        <v>428.91</v>
      </c>
      <c r="AS110" s="69" t="n">
        <f aca="false">TblProd[[#This Row],[Mana]]*mana_drain * (1 + tech_2_1*TblTech[[#This Row],[2-1]] + tech_2_8*TblTech[[#This Row],[2-8]])</f>
        <v>4362.22</v>
      </c>
      <c r="AT110" s="146"/>
      <c r="AU110" s="69" t="n">
        <f aca="false">TblExplore[[#This Row],[Platinum (2)]]+TblConstr[[#This Row],[Total Plat Cost]]+TblMili[[#This Row],[Plat Cost]]+TblRezone[[#This Row],[Platinum cost]]+TblImps[[#This Row],[P1]]-TblProd[[#This Row],[Bank Plat]]</f>
        <v>0</v>
      </c>
      <c r="AV110" s="69" t="n">
        <f aca="false">TblConstr[[#This Row],[Total Lum Cost]]+TblImps[[#This Row],[L1]]-TblProd[[#This Row],[Bank Lumber]] + Military!$CL$25*TblMili[[#This Row],[Sec. rec. Cost]]</f>
        <v>0</v>
      </c>
      <c r="AW110" s="69" t="n">
        <f aca="false">TblMagic[[#This Row],[Mana cost]] + Military!$CL$26*TblMili[[#This Row],[Sec. rec. Cost]]</f>
        <v>0</v>
      </c>
      <c r="AX110" s="69" t="n">
        <f aca="false">Military!$CL$24*TblMili[[#This Row],[Sec. rec. Cost]]+TblImps[[#This Row],[O1]]-TblProd[[#This Row],[Bank Ore]]</f>
        <v>0</v>
      </c>
      <c r="AY110" s="69" t="n">
        <f aca="false">TblImps[[#This Row],[G1]]-TblProd[[#This Row],[Bank Gems]]</f>
        <v>0</v>
      </c>
      <c r="AZ110" s="132"/>
      <c r="BA110" s="33" t="n">
        <f aca="false">IF(TblProd[[#This Row],[Set Guard]]&lt;&gt;"",TblProd[[#This Row],[Set Guard]],OFFSET(TblProd[[#This Row],[Guard]],-1,0))</f>
        <v>0</v>
      </c>
      <c r="BB110" s="145"/>
      <c r="BC110" s="151" t="n">
        <f aca="false">TblProd[[#This Row],[Hour]]</f>
        <v>35</v>
      </c>
      <c r="BD110" s="152" t="n">
        <f aca="false">-TblProd[[#This Row],[Bank Lumber]] / 2 + -TblProd[[#This Row],[Bank Gems]] * 2 + -TblProd[[#This Row],[Bank Ore]] / 2</f>
        <v>0</v>
      </c>
      <c r="BE110" s="152"/>
      <c r="BF110" s="152"/>
      <c r="BG110" s="152"/>
      <c r="BH110" s="153" t="n">
        <f aca="false">TblProd[[#This Row],[Time]]</f>
        <v>45434.1666666667</v>
      </c>
      <c r="BI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J110" s="69" t="n">
        <f aca="false">TblProd[[#This Row],[Platinum]]</f>
        <v>1424997</v>
      </c>
      <c r="BK110" s="69" t="n">
        <f aca="false">TblProd[[#This Row],[Food]]</f>
        <v>318764</v>
      </c>
      <c r="BL110" s="69" t="n">
        <f aca="false">TblProd[[#This Row],[Lumber]]</f>
        <v>42891</v>
      </c>
      <c r="BM110" s="69" t="n">
        <f aca="false">TblProd[[#This Row],[Mana]]</f>
        <v>218111</v>
      </c>
      <c r="BN110" s="69" t="n">
        <f aca="false">TblProd[[#This Row],[Ore]]</f>
        <v>-357</v>
      </c>
    </row>
    <row r="111" customFormat="false" ht="12.75" hidden="false" customHeight="false" outlineLevel="0" collapsed="false">
      <c r="A111" s="128" t="n">
        <v>36</v>
      </c>
      <c r="B111" s="144" t="n">
        <f aca="false">TblImps[[#This Row],[Time]]</f>
        <v>45434.2083333333</v>
      </c>
      <c r="C111" s="145"/>
      <c r="D111" s="146"/>
      <c r="E111" s="69" t="n">
        <f aca="false">TblConstr[[#This Row],[Land]]</f>
        <v>700</v>
      </c>
      <c r="F111" s="69" t="n">
        <f aca="false">TblPop[[#This Row],[Peasants]]</f>
        <v>7097</v>
      </c>
      <c r="G111" s="69"/>
      <c r="H111" s="69" t="e">
        <f aca="false">TblMili[[#This Row],[Networth (2)]]</f>
        <v>#VALUE!</v>
      </c>
      <c r="I111" s="69" t="n">
        <f aca="false">OFFSET(TblProd[[#This Row],[Platinum]],-1,0)+OFFSET(TblProd[[#This Row],[Plat/hr]],-1,0) - TblProd[[#This Row],[Expenses Platinum]] + IF(TblProd[[#This Row],[Plat Bonus]],TblPop[[#This Row],[Peasants]]*4) + SUM(TblConstr[[#This Row],[Dest Hom]:[Dest Doc]])*TblConstr[[#This Row],[CPA Platinum -DB]]*tech_3_3_2*TblTech[[#This Row],[3-3]]</f>
        <v>1463833</v>
      </c>
      <c r="J111" s="69" t="n">
        <f aca="false">OFFSET(TblProd[[#This Row],[Food]],-1,0)+OFFSET(TblProd[[#This Row],[Food/hr]],-1,0)+ROUNDUP((TblConstr[[#This Row],[Farms]]*80+TblConstr[[#This Row],[Docks]]*35)*(1+OFFSET(TblProd[[#This Row],[Bonus Food/hr]],-1,0)),0)</f>
        <v>315704</v>
      </c>
      <c r="K111" s="69" t="n">
        <f aca="false">OFFSET(TblProd[[#This Row],[Lumber]],-1,0)+OFFSET(TblProd[[#This Row],[Lumber/hr]],-1,0) - TblProd[[#This Row],[Expenses Lumber]] + SUM(TblConstr[[#This Row],[Dest Hom]:[Dest Doc]])*TblConstr[[#This Row],[CPA Lumber -DB]]*tech_3_3_2*TblTech[[#This Row],[3-3]]</f>
        <v>43587</v>
      </c>
      <c r="L111" s="69" t="n">
        <f aca="false">OFFSET(TblProd[[#This Row],[Mana]],-1,0)+OFFSET(TblProd[[#This Row],[Mana/hr]],-1,0)- TblProd[[#This Row],[Expenses Mana]]</f>
        <v>214474</v>
      </c>
      <c r="M111" s="69" t="n">
        <f aca="false">OFFSET(TblProd[[#This Row],[Ore]],-1,0)+OFFSET(TblProd[[#This Row],[Ore/hr]],-1,0) -TblProd[[#This Row],[Expenses Ore]]</f>
        <v>-357</v>
      </c>
      <c r="N111" s="69" t="n">
        <f aca="false">OFFSET(TblProd[[#This Row],[Gems]],-1,0)+OFFSET(TblProd[[#This Row],[Gems/hr]],-1,0) - TblProd[[#This Row],[Expenses Gems]]</f>
        <v>-1000</v>
      </c>
      <c r="O111" s="69" t="n">
        <f aca="false">OFFSET(TblProd[[#This Row],[Boats]],-1,0)+OFFSET(TblProd[[#This Row],[Boats/hr]],-1,0)</f>
        <v>70.2500000000001</v>
      </c>
      <c r="P111" s="69" t="n">
        <f aca="false">OFFSET(TblProd[[#This Row],[Prestige]],-1,0)</f>
        <v>250</v>
      </c>
      <c r="Q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1" s="69" t="n">
        <f aca="false">MAX(3750,_xlfn.CEILING.MATH(TblProd[[#This Row],[Land]]*2.5+OFFSET(TblTech[[#This Row],[Sum of tech]],-1,0)*150))</f>
        <v>3750</v>
      </c>
      <c r="S111" s="132"/>
      <c r="T111" s="69" t="n">
        <f aca="false">ROUNDDOWN(TblProd[[#This Row],[Raw Plat/hr]]*(1+TblProd[[#This Row],[Bonus Plat/hr]]),0)</f>
        <v>38623</v>
      </c>
      <c r="U111" s="69" t="n">
        <f aca="false">ROUND(TblProd[[#This Row],[Raw Food/hr]]*(1+TblProd[[#This Row],[Bonus Food/hr]])-TblProd[[#This Row],[Food decay]]-TblProd[[#This Row],[Food eaten]],0)</f>
        <v>-3030</v>
      </c>
      <c r="V111" s="69" t="n">
        <f aca="false">ROUND(TblProd[[#This Row],[Raw Lumber/hr]]*(1+TblProd[[#This Row],[Bonus Lumber/hr]])-TblProd[[#This Row],[Lumber rot]],0)</f>
        <v>689</v>
      </c>
      <c r="W111" s="69" t="n">
        <f aca="false">ROUND(TblProd[[#This Row],[Raw Mana/hr]]*(1+TblProd[[#This Row],[Bonus Mana/hr]])-TblProd[[#This Row],[Mana drain]],0)</f>
        <v>-3564</v>
      </c>
      <c r="X111" s="69" t="n">
        <f aca="false">ROUNDDOWN(TblProd[[#This Row],[Raw Ore/hr]]*(1+TblProd[[#This Row],[Bonux Ore/hr]]),0)</f>
        <v>0</v>
      </c>
      <c r="Y111" s="69" t="n">
        <f aca="false">ROUNDDOWN(TblProd[[#This Row],[Raw Gems/hr]]*(1+TblProd[[#This Row],[Bonus Gems/hr]]),0)</f>
        <v>0</v>
      </c>
      <c r="Z111" s="148" t="n">
        <f aca="false">OFFSET(TblConstr[[#This Row],[Tot Doc]],1,0)*dock_boats_hr * (1 + tech_4_1*TblTech[[#This Row],[4-1]])</f>
        <v>1.2</v>
      </c>
      <c r="AA111" s="146"/>
      <c r="AB111" s="69" t="n">
        <f aca="false">TblPop[[#This Row],[Peasants]]*tax*TblPop[[#This Row],[Employment]] + (Construction!AZ112+Construction!BX112)*(alch_plat+(Magic!AM111&gt;0)*alchemist_flame_bonus)</f>
        <v>35111.9</v>
      </c>
      <c r="AC111" s="69" t="n">
        <f aca="false">TblConstr[[#This Row],[Tot Farm]]*farm_food + TblConstr[[#This Row],[Tot Doc]]*dock_food</f>
        <v>3280</v>
      </c>
      <c r="AD111" s="69" t="n">
        <f aca="false">TblConstr[[#This Row],[Tot Ly]]*ly_lumber + TblConstr[[#This Row],[Tot Hav]]*fh_lumber</f>
        <v>1250</v>
      </c>
      <c r="AE111" s="69" t="n">
        <f aca="false">OFFSET(TblConstr[[#This Row],[Tot Tow]],1,0)*(tower_mana + tech_4_5*TblTech[[#This Row],[4-5]]) + OFFSET(TblConstr[[#This Row],[Tot WG]],1,0)*wg_mana_prod</f>
        <v>725</v>
      </c>
      <c r="AF111" s="69" t="n">
        <f aca="false">OFFSET(TblConstr[[#This Row],[Tot OM]],1,0)*om_ore+IF(race="Dwarf",ROUNDDOWN(TblMili[[#This Row],[Unit 2]]*0.4,0),)</f>
        <v>0</v>
      </c>
      <c r="AG111" s="69" t="n">
        <f aca="false">OFFSET(TblConstr[[#This Row],[Tot DM]],1,0)*dm_gems</f>
        <v>0</v>
      </c>
      <c r="AH111" s="132"/>
      <c r="AI111" s="149" t="n">
        <f aca="false">MIN(race_platinum_bonus + IF(TblMagic[[#This Row],[Active Alch Frost]]&gt;0,alch_frost_bonus,IF(Magic!AD111&gt;0,midas_bonus)) + TblImps[[#This Row],[Science]] - TblProd[[#This Row],[Guard]]*(0.02 + tech_5_7*TblTech[[#This Row],[5-7]]) + tech_1_5*TblTech[[#This Row],[1-5]] + tech_4_4*TblTech[[#This Row],[4-4]], 0.5)</f>
        <v>0.1</v>
      </c>
      <c r="AJ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1" s="149" t="n">
        <f aca="false">race_lumber_bonus+ IF(TblMagic[[#This Row],[Active Gaia''s Blessing]]&gt;0,gaias_blessing_lumber)+ tech_1_3*TblTech[[#This Row],[1-3]] + tech_1_6*TblTech[[#This Row],[1-6]] + tech_3_3*TblTech[[#This Row],[3-3]]</f>
        <v>-0.1</v>
      </c>
      <c r="AL111" s="149" t="n">
        <f aca="false">race_mana_bonus+ 0 + TblImps[[#This Row],[Towers]] + tech_1_2*TblTech[[#This Row],[1-2]] + tech_3_4*TblTech[[#This Row],[3-4]]</f>
        <v>0</v>
      </c>
      <c r="AM111" s="149" t="n">
        <f aca="false">race_ore_bonus + IF(TblMagic[[#This Row],[Active Miner''s Sight]]&gt;0,miners_sight_bonus,IF(TblMagic[[#This Row],[Active Mining Strength]]&gt;0,mining_strength_bonus)) +  tech_1_6*TblTech[[#This Row],[1-6]]</f>
        <v>0</v>
      </c>
      <c r="AN111" s="149" t="n">
        <f aca="false">race_gem_bonus+ tech_3_2*TblTech[[#This Row],[3-2]] + tech_4_3*TblTech[[#This Row],[4-3]] + tech_6_2*TblTech[[#This Row],[6-2]]</f>
        <v>0.15</v>
      </c>
      <c r="AO111" s="132"/>
      <c r="AP111" s="69" t="n">
        <f aca="false">TblProd[[#This Row],[Food]]*food_decay * (1 + tech_2_1*TblTech[[#This Row],[2-1]] + tech_2_8*TblTech[[#This Row],[2-8]])</f>
        <v>3157.04</v>
      </c>
      <c r="AQ111" s="69" t="n">
        <f aca="false">(1+race_food_consumption)*TblPop[[#This Row],[Total]]*food_per_person*(1+tech_1_10*TblTech[[#This Row],[1-10]]+tech_7_5*TblTech[[#This Row],[7-5]])</f>
        <v>3234.75</v>
      </c>
      <c r="AR111" s="69" t="n">
        <f aca="false">TblProd[[#This Row],[Lumber]]*lumber_rot * (1 + tech_2_1*TblTech[[#This Row],[2-1]] + tech_2_8*TblTech[[#This Row],[2-8]] + tech_5_2*TblTech[[#This Row],[5-2]])</f>
        <v>435.87</v>
      </c>
      <c r="AS111" s="69" t="n">
        <f aca="false">TblProd[[#This Row],[Mana]]*mana_drain * (1 + tech_2_1*TblTech[[#This Row],[2-1]] + tech_2_8*TblTech[[#This Row],[2-8]])</f>
        <v>4289.48</v>
      </c>
      <c r="AT111" s="146"/>
      <c r="AU111" s="69" t="n">
        <f aca="false">TblExplore[[#This Row],[Platinum (2)]]+TblConstr[[#This Row],[Total Plat Cost]]+TblMili[[#This Row],[Plat Cost]]+TblRezone[[#This Row],[Platinum cost]]+TblImps[[#This Row],[P1]]-TblProd[[#This Row],[Bank Plat]]</f>
        <v>0</v>
      </c>
      <c r="AV111" s="69" t="n">
        <f aca="false">TblConstr[[#This Row],[Total Lum Cost]]+TblImps[[#This Row],[L1]]-TblProd[[#This Row],[Bank Lumber]] + Military!$CL$25*TblMili[[#This Row],[Sec. rec. Cost]]</f>
        <v>0</v>
      </c>
      <c r="AW111" s="69" t="n">
        <f aca="false">TblMagic[[#This Row],[Mana cost]] + Military!$CL$26*TblMili[[#This Row],[Sec. rec. Cost]]</f>
        <v>0</v>
      </c>
      <c r="AX111" s="69" t="n">
        <f aca="false">Military!$CL$24*TblMili[[#This Row],[Sec. rec. Cost]]+TblImps[[#This Row],[O1]]-TblProd[[#This Row],[Bank Ore]]</f>
        <v>0</v>
      </c>
      <c r="AY111" s="69" t="n">
        <f aca="false">TblImps[[#This Row],[G1]]-TblProd[[#This Row],[Bank Gems]]</f>
        <v>0</v>
      </c>
      <c r="AZ111" s="132"/>
      <c r="BA111" s="33" t="n">
        <f aca="false">IF(TblProd[[#This Row],[Set Guard]]&lt;&gt;"",TblProd[[#This Row],[Set Guard]],OFFSET(TblProd[[#This Row],[Guard]],-1,0))</f>
        <v>0</v>
      </c>
      <c r="BB111" s="145"/>
      <c r="BC111" s="151" t="n">
        <f aca="false">TblProd[[#This Row],[Hour]]</f>
        <v>36</v>
      </c>
      <c r="BD111" s="152" t="n">
        <f aca="false">-TblProd[[#This Row],[Bank Lumber]] / 2 + -TblProd[[#This Row],[Bank Gems]] * 2 + -TblProd[[#This Row],[Bank Ore]] / 2</f>
        <v>0</v>
      </c>
      <c r="BE111" s="152"/>
      <c r="BF111" s="152"/>
      <c r="BG111" s="152"/>
      <c r="BH111" s="153" t="n">
        <f aca="false">TblProd[[#This Row],[Time]]</f>
        <v>45434.2083333333</v>
      </c>
      <c r="BI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J111" s="69" t="n">
        <f aca="false">TblProd[[#This Row],[Platinum]]</f>
        <v>1463833</v>
      </c>
      <c r="BK111" s="69" t="n">
        <f aca="false">TblProd[[#This Row],[Food]]</f>
        <v>315704</v>
      </c>
      <c r="BL111" s="69" t="n">
        <f aca="false">TblProd[[#This Row],[Lumber]]</f>
        <v>43587</v>
      </c>
      <c r="BM111" s="69" t="n">
        <f aca="false">TblProd[[#This Row],[Mana]]</f>
        <v>214474</v>
      </c>
      <c r="BN111" s="69" t="n">
        <f aca="false">TblProd[[#This Row],[Ore]]</f>
        <v>-357</v>
      </c>
    </row>
    <row r="112" customFormat="false" ht="12.75" hidden="false" customHeight="false" outlineLevel="0" collapsed="false">
      <c r="A112" s="128" t="n">
        <v>37</v>
      </c>
      <c r="B112" s="144" t="n">
        <f aca="false">TblImps[[#This Row],[Time]]</f>
        <v>45434.25</v>
      </c>
      <c r="C112" s="145"/>
      <c r="D112" s="146"/>
      <c r="E112" s="69" t="n">
        <f aca="false">TblConstr[[#This Row],[Land]]</f>
        <v>700</v>
      </c>
      <c r="F112" s="69" t="n">
        <f aca="false">TblPop[[#This Row],[Peasants]]</f>
        <v>7026</v>
      </c>
      <c r="G112" s="69"/>
      <c r="H112" s="69" t="e">
        <f aca="false">TblMili[[#This Row],[Networth (2)]]</f>
        <v>#VALUE!</v>
      </c>
      <c r="I112" s="69" t="n">
        <f aca="false">OFFSET(TblProd[[#This Row],[Platinum]],-1,0)+OFFSET(TblProd[[#This Row],[Plat/hr]],-1,0) - TblProd[[#This Row],[Expenses Platinum]] + IF(TblProd[[#This Row],[Plat Bonus]],TblPop[[#This Row],[Peasants]]*4) + SUM(TblConstr[[#This Row],[Dest Hom]:[Dest Doc]])*TblConstr[[#This Row],[CPA Platinum -DB]]*tech_3_3_2*TblTech[[#This Row],[3-3]]</f>
        <v>1502456</v>
      </c>
      <c r="J112" s="69" t="n">
        <f aca="false">OFFSET(TblProd[[#This Row],[Food]],-1,0)+OFFSET(TblProd[[#This Row],[Food/hr]],-1,0)+ROUNDUP((TblConstr[[#This Row],[Farms]]*80+TblConstr[[#This Row],[Docks]]*35)*(1+OFFSET(TblProd[[#This Row],[Bonus Food/hr]],-1,0)),0)</f>
        <v>312674</v>
      </c>
      <c r="K112" s="69" t="n">
        <f aca="false">OFFSET(TblProd[[#This Row],[Lumber]],-1,0)+OFFSET(TblProd[[#This Row],[Lumber/hr]],-1,0) - TblProd[[#This Row],[Expenses Lumber]] + SUM(TblConstr[[#This Row],[Dest Hom]:[Dest Doc]])*TblConstr[[#This Row],[CPA Lumber -DB]]*tech_3_3_2*TblTech[[#This Row],[3-3]]</f>
        <v>44276</v>
      </c>
      <c r="L112" s="69" t="n">
        <f aca="false">OFFSET(TblProd[[#This Row],[Mana]],-1,0)+OFFSET(TblProd[[#This Row],[Mana/hr]],-1,0)- TblProd[[#This Row],[Expenses Mana]]</f>
        <v>210910</v>
      </c>
      <c r="M112" s="69" t="n">
        <f aca="false">OFFSET(TblProd[[#This Row],[Ore]],-1,0)+OFFSET(TblProd[[#This Row],[Ore/hr]],-1,0) -TblProd[[#This Row],[Expenses Ore]]</f>
        <v>-357</v>
      </c>
      <c r="N112" s="69" t="n">
        <f aca="false">OFFSET(TblProd[[#This Row],[Gems]],-1,0)+OFFSET(TblProd[[#This Row],[Gems/hr]],-1,0) - TblProd[[#This Row],[Expenses Gems]]</f>
        <v>-1000</v>
      </c>
      <c r="O112" s="69" t="n">
        <f aca="false">OFFSET(TblProd[[#This Row],[Boats]],-1,0)+OFFSET(TblProd[[#This Row],[Boats/hr]],-1,0)</f>
        <v>71.4500000000001</v>
      </c>
      <c r="P112" s="69" t="n">
        <f aca="false">OFFSET(TblProd[[#This Row],[Prestige]],-1,0)</f>
        <v>250</v>
      </c>
      <c r="Q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2" s="69" t="n">
        <f aca="false">MAX(3750,_xlfn.CEILING.MATH(TblProd[[#This Row],[Land]]*2.5+OFFSET(TblTech[[#This Row],[Sum of tech]],-1,0)*150))</f>
        <v>3750</v>
      </c>
      <c r="S112" s="132"/>
      <c r="T112" s="69" t="n">
        <f aca="false">ROUNDDOWN(TblProd[[#This Row],[Raw Plat/hr]]*(1+TblProd[[#This Row],[Bonus Plat/hr]]),0)</f>
        <v>31345</v>
      </c>
      <c r="U112" s="69" t="n">
        <f aca="false">ROUND(TblProd[[#This Row],[Raw Food/hr]]*(1+TblProd[[#This Row],[Bonus Food/hr]])-TblProd[[#This Row],[Food decay]]-TblProd[[#This Row],[Food eaten]],0)</f>
        <v>-2999</v>
      </c>
      <c r="V112" s="69" t="n">
        <f aca="false">ROUND(TblProd[[#This Row],[Raw Lumber/hr]]*(1+TblProd[[#This Row],[Bonus Lumber/hr]])-TblProd[[#This Row],[Lumber rot]],0)</f>
        <v>682</v>
      </c>
      <c r="W112" s="69" t="n">
        <f aca="false">ROUND(TblProd[[#This Row],[Raw Mana/hr]]*(1+TblProd[[#This Row],[Bonus Mana/hr]])-TblProd[[#This Row],[Mana drain]],0)</f>
        <v>-3493</v>
      </c>
      <c r="X112" s="69" t="n">
        <f aca="false">ROUNDDOWN(TblProd[[#This Row],[Raw Ore/hr]]*(1+TblProd[[#This Row],[Bonux Ore/hr]]),0)</f>
        <v>0</v>
      </c>
      <c r="Y112" s="69" t="n">
        <f aca="false">ROUNDDOWN(TblProd[[#This Row],[Raw Gems/hr]]*(1+TblProd[[#This Row],[Bonus Gems/hr]]),0)</f>
        <v>0</v>
      </c>
      <c r="Z112" s="148" t="n">
        <f aca="false">OFFSET(TblConstr[[#This Row],[Tot Doc]],1,0)*dock_boats_hr * (1 + tech_4_1*TblTech[[#This Row],[4-1]])</f>
        <v>1.2</v>
      </c>
      <c r="AA112" s="146"/>
      <c r="AB112" s="69" t="n">
        <f aca="false">TblPop[[#This Row],[Peasants]]*tax*TblPop[[#This Row],[Employment]] + (Construction!AZ113+Construction!BX113)*(alch_plat+(Magic!AM112&gt;0)*alchemist_flame_bonus)</f>
        <v>31345.2</v>
      </c>
      <c r="AC112" s="69" t="n">
        <f aca="false">TblConstr[[#This Row],[Tot Farm]]*farm_food + TblConstr[[#This Row],[Tot Doc]]*dock_food</f>
        <v>3280</v>
      </c>
      <c r="AD112" s="69" t="n">
        <f aca="false">TblConstr[[#This Row],[Tot Ly]]*ly_lumber + TblConstr[[#This Row],[Tot Hav]]*fh_lumber</f>
        <v>1250</v>
      </c>
      <c r="AE112" s="69" t="n">
        <f aca="false">OFFSET(TblConstr[[#This Row],[Tot Tow]],1,0)*(tower_mana + tech_4_5*TblTech[[#This Row],[4-5]]) + OFFSET(TblConstr[[#This Row],[Tot WG]],1,0)*wg_mana_prod</f>
        <v>725</v>
      </c>
      <c r="AF112" s="69" t="n">
        <f aca="false">OFFSET(TblConstr[[#This Row],[Tot OM]],1,0)*om_ore+IF(race="Dwarf",ROUNDDOWN(TblMili[[#This Row],[Unit 2]]*0.4,0),)</f>
        <v>0</v>
      </c>
      <c r="AG112" s="69" t="n">
        <f aca="false">OFFSET(TblConstr[[#This Row],[Tot DM]],1,0)*dm_gems</f>
        <v>0</v>
      </c>
      <c r="AH112" s="132"/>
      <c r="AI112" s="149" t="n">
        <f aca="false">MIN(race_platinum_bonus + IF(TblMagic[[#This Row],[Active Alch Frost]]&gt;0,alch_frost_bonus,IF(Magic!AD112&gt;0,midas_bonus)) + TblImps[[#This Row],[Science]] - TblProd[[#This Row],[Guard]]*(0.02 + tech_5_7*TblTech[[#This Row],[5-7]]) + tech_1_5*TblTech[[#This Row],[1-5]] + tech_4_4*TblTech[[#This Row],[4-4]], 0.5)</f>
        <v>0</v>
      </c>
      <c r="AJ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2" s="149" t="n">
        <f aca="false">race_lumber_bonus+ IF(TblMagic[[#This Row],[Active Gaia''s Blessing]]&gt;0,gaias_blessing_lumber)+ tech_1_3*TblTech[[#This Row],[1-3]] + tech_1_6*TblTech[[#This Row],[1-6]] + tech_3_3*TblTech[[#This Row],[3-3]]</f>
        <v>-0.1</v>
      </c>
      <c r="AL112" s="149" t="n">
        <f aca="false">race_mana_bonus+ 0 + TblImps[[#This Row],[Towers]] + tech_1_2*TblTech[[#This Row],[1-2]] + tech_3_4*TblTech[[#This Row],[3-4]]</f>
        <v>0</v>
      </c>
      <c r="AM112" s="149" t="n">
        <f aca="false">race_ore_bonus + IF(TblMagic[[#This Row],[Active Miner''s Sight]]&gt;0,miners_sight_bonus,IF(TblMagic[[#This Row],[Active Mining Strength]]&gt;0,mining_strength_bonus)) +  tech_1_6*TblTech[[#This Row],[1-6]]</f>
        <v>0</v>
      </c>
      <c r="AN112" s="149" t="n">
        <f aca="false">race_gem_bonus+ tech_3_2*TblTech[[#This Row],[3-2]] + tech_4_3*TblTech[[#This Row],[4-3]] + tech_6_2*TblTech[[#This Row],[6-2]]</f>
        <v>0.15</v>
      </c>
      <c r="AO112" s="132"/>
      <c r="AP112" s="69" t="n">
        <f aca="false">TblProd[[#This Row],[Food]]*food_decay * (1 + tech_2_1*TblTech[[#This Row],[2-1]] + tech_2_8*TblTech[[#This Row],[2-8]])</f>
        <v>3126.74</v>
      </c>
      <c r="AQ112" s="69" t="n">
        <f aca="false">(1+race_food_consumption)*TblPop[[#This Row],[Total]]*food_per_person*(1+tech_1_10*TblTech[[#This Row],[1-10]]+tech_7_5*TblTech[[#This Row],[7-5]])</f>
        <v>3234.75</v>
      </c>
      <c r="AR112" s="69" t="n">
        <f aca="false">TblProd[[#This Row],[Lumber]]*lumber_rot * (1 + tech_2_1*TblTech[[#This Row],[2-1]] + tech_2_8*TblTech[[#This Row],[2-8]] + tech_5_2*TblTech[[#This Row],[5-2]])</f>
        <v>442.76</v>
      </c>
      <c r="AS112" s="69" t="n">
        <f aca="false">TblProd[[#This Row],[Mana]]*mana_drain * (1 + tech_2_1*TblTech[[#This Row],[2-1]] + tech_2_8*TblTech[[#This Row],[2-8]])</f>
        <v>4218.2</v>
      </c>
      <c r="AT112" s="146"/>
      <c r="AU112" s="69" t="n">
        <f aca="false">TblExplore[[#This Row],[Platinum (2)]]+TblConstr[[#This Row],[Total Plat Cost]]+TblMili[[#This Row],[Plat Cost]]+TblRezone[[#This Row],[Platinum cost]]+TblImps[[#This Row],[P1]]-TblProd[[#This Row],[Bank Plat]]</f>
        <v>0</v>
      </c>
      <c r="AV112" s="69" t="n">
        <f aca="false">TblConstr[[#This Row],[Total Lum Cost]]+TblImps[[#This Row],[L1]]-TblProd[[#This Row],[Bank Lumber]] + Military!$CL$25*TblMili[[#This Row],[Sec. rec. Cost]]</f>
        <v>0</v>
      </c>
      <c r="AW112" s="69" t="n">
        <f aca="false">TblMagic[[#This Row],[Mana cost]] + Military!$CL$26*TblMili[[#This Row],[Sec. rec. Cost]]</f>
        <v>0</v>
      </c>
      <c r="AX112" s="69" t="n">
        <f aca="false">Military!$CL$24*TblMili[[#This Row],[Sec. rec. Cost]]+TblImps[[#This Row],[O1]]-TblProd[[#This Row],[Bank Ore]]</f>
        <v>0</v>
      </c>
      <c r="AY112" s="69" t="n">
        <f aca="false">TblImps[[#This Row],[G1]]-TblProd[[#This Row],[Bank Gems]]</f>
        <v>0</v>
      </c>
      <c r="AZ112" s="132"/>
      <c r="BA112" s="33" t="n">
        <f aca="false">IF(TblProd[[#This Row],[Set Guard]]&lt;&gt;"",TblProd[[#This Row],[Set Guard]],OFFSET(TblProd[[#This Row],[Guard]],-1,0))</f>
        <v>0</v>
      </c>
      <c r="BB112" s="145"/>
      <c r="BC112" s="151" t="n">
        <f aca="false">TblProd[[#This Row],[Hour]]</f>
        <v>37</v>
      </c>
      <c r="BD112" s="152" t="n">
        <f aca="false">-TblProd[[#This Row],[Bank Lumber]] / 2 + -TblProd[[#This Row],[Bank Gems]] * 2 + -TblProd[[#This Row],[Bank Ore]] / 2</f>
        <v>0</v>
      </c>
      <c r="BE112" s="152"/>
      <c r="BF112" s="152"/>
      <c r="BG112" s="152"/>
      <c r="BH112" s="153" t="n">
        <f aca="false">TblProd[[#This Row],[Time]]</f>
        <v>45434.25</v>
      </c>
      <c r="BI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J112" s="69" t="n">
        <f aca="false">TblProd[[#This Row],[Platinum]]</f>
        <v>1502456</v>
      </c>
      <c r="BK112" s="69" t="n">
        <f aca="false">TblProd[[#This Row],[Food]]</f>
        <v>312674</v>
      </c>
      <c r="BL112" s="69" t="n">
        <f aca="false">TblProd[[#This Row],[Lumber]]</f>
        <v>44276</v>
      </c>
      <c r="BM112" s="69" t="n">
        <f aca="false">TblProd[[#This Row],[Mana]]</f>
        <v>210910</v>
      </c>
      <c r="BN112" s="69" t="n">
        <f aca="false">TblProd[[#This Row],[Ore]]</f>
        <v>-357</v>
      </c>
    </row>
    <row r="113" customFormat="false" ht="12.75" hidden="false" customHeight="false" outlineLevel="0" collapsed="false">
      <c r="A113" s="128" t="n">
        <v>38</v>
      </c>
      <c r="B113" s="144" t="n">
        <f aca="false">TblImps[[#This Row],[Time]]</f>
        <v>45434.2916666667</v>
      </c>
      <c r="C113" s="145"/>
      <c r="D113" s="146"/>
      <c r="E113" s="69" t="n">
        <f aca="false">TblConstr[[#This Row],[Land]]</f>
        <v>700</v>
      </c>
      <c r="F113" s="69" t="n">
        <f aca="false">TblPop[[#This Row],[Peasants]]</f>
        <v>6956</v>
      </c>
      <c r="G113" s="69"/>
      <c r="H113" s="69" t="e">
        <f aca="false">TblMili[[#This Row],[Networth (2)]]</f>
        <v>#VALUE!</v>
      </c>
      <c r="I113" s="69" t="n">
        <f aca="false">OFFSET(TblProd[[#This Row],[Platinum]],-1,0)+OFFSET(TblProd[[#This Row],[Plat/hr]],-1,0) - TblProd[[#This Row],[Expenses Platinum]] + IF(TblProd[[#This Row],[Plat Bonus]],TblPop[[#This Row],[Peasants]]*4) + SUM(TblConstr[[#This Row],[Dest Hom]:[Dest Doc]])*TblConstr[[#This Row],[CPA Platinum -DB]]*tech_3_3_2*TblTech[[#This Row],[3-3]]</f>
        <v>1533801</v>
      </c>
      <c r="J113" s="69" t="n">
        <f aca="false">OFFSET(TblProd[[#This Row],[Food]],-1,0)+OFFSET(TblProd[[#This Row],[Food/hr]],-1,0)+ROUNDUP((TblConstr[[#This Row],[Farms]]*80+TblConstr[[#This Row],[Docks]]*35)*(1+OFFSET(TblProd[[#This Row],[Bonus Food/hr]],-1,0)),0)</f>
        <v>309675</v>
      </c>
      <c r="K113" s="69" t="n">
        <f aca="false">OFFSET(TblProd[[#This Row],[Lumber]],-1,0)+OFFSET(TblProd[[#This Row],[Lumber/hr]],-1,0) - TblProd[[#This Row],[Expenses Lumber]] + SUM(TblConstr[[#This Row],[Dest Hom]:[Dest Doc]])*TblConstr[[#This Row],[CPA Lumber -DB]]*tech_3_3_2*TblTech[[#This Row],[3-3]]</f>
        <v>44958</v>
      </c>
      <c r="L113" s="69" t="n">
        <f aca="false">OFFSET(TblProd[[#This Row],[Mana]],-1,0)+OFFSET(TblProd[[#This Row],[Mana/hr]],-1,0)- TblProd[[#This Row],[Expenses Mana]]</f>
        <v>207417</v>
      </c>
      <c r="M113" s="69" t="n">
        <f aca="false">OFFSET(TblProd[[#This Row],[Ore]],-1,0)+OFFSET(TblProd[[#This Row],[Ore/hr]],-1,0) -TblProd[[#This Row],[Expenses Ore]]</f>
        <v>-357</v>
      </c>
      <c r="N113" s="69" t="n">
        <f aca="false">OFFSET(TblProd[[#This Row],[Gems]],-1,0)+OFFSET(TblProd[[#This Row],[Gems/hr]],-1,0) - TblProd[[#This Row],[Expenses Gems]]</f>
        <v>-1000</v>
      </c>
      <c r="O113" s="69" t="n">
        <f aca="false">OFFSET(TblProd[[#This Row],[Boats]],-1,0)+OFFSET(TblProd[[#This Row],[Boats/hr]],-1,0)</f>
        <v>72.6500000000001</v>
      </c>
      <c r="P113" s="69" t="n">
        <f aca="false">OFFSET(TblProd[[#This Row],[Prestige]],-1,0)</f>
        <v>250</v>
      </c>
      <c r="Q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3" s="69" t="n">
        <f aca="false">MAX(3750,_xlfn.CEILING.MATH(TblProd[[#This Row],[Land]]*2.5+OFFSET(TblTech[[#This Row],[Sum of tech]],-1,0)*150))</f>
        <v>3750</v>
      </c>
      <c r="S113" s="132"/>
      <c r="T113" s="69" t="n">
        <f aca="false">ROUNDDOWN(TblProd[[#This Row],[Raw Plat/hr]]*(1+TblProd[[#This Row],[Bonus Plat/hr]]),0)</f>
        <v>31156</v>
      </c>
      <c r="U113" s="69" t="n">
        <f aca="false">ROUND(TblProd[[#This Row],[Raw Food/hr]]*(1+TblProd[[#This Row],[Bonus Food/hr]])-TblProd[[#This Row],[Food decay]]-TblProd[[#This Row],[Food eaten]],0)</f>
        <v>-2970</v>
      </c>
      <c r="V113" s="69" t="n">
        <f aca="false">ROUND(TblProd[[#This Row],[Raw Lumber/hr]]*(1+TblProd[[#This Row],[Bonus Lumber/hr]])-TblProd[[#This Row],[Lumber rot]],0)</f>
        <v>675</v>
      </c>
      <c r="W113" s="69" t="n">
        <f aca="false">ROUND(TblProd[[#This Row],[Raw Mana/hr]]*(1+TblProd[[#This Row],[Bonus Mana/hr]])-TblProd[[#This Row],[Mana drain]],0)</f>
        <v>-3423</v>
      </c>
      <c r="X113" s="69" t="n">
        <f aca="false">ROUNDDOWN(TblProd[[#This Row],[Raw Ore/hr]]*(1+TblProd[[#This Row],[Bonux Ore/hr]]),0)</f>
        <v>0</v>
      </c>
      <c r="Y113" s="69" t="n">
        <f aca="false">ROUNDDOWN(TblProd[[#This Row],[Raw Gems/hr]]*(1+TblProd[[#This Row],[Bonus Gems/hr]]),0)</f>
        <v>0</v>
      </c>
      <c r="Z113" s="148" t="n">
        <f aca="false">OFFSET(TblConstr[[#This Row],[Tot Doc]],1,0)*dock_boats_hr * (1 + tech_4_1*TblTech[[#This Row],[4-1]])</f>
        <v>1.2</v>
      </c>
      <c r="AA113" s="146"/>
      <c r="AB113" s="69" t="n">
        <f aca="false">TblPop[[#This Row],[Peasants]]*tax*TblPop[[#This Row],[Employment]] + (Construction!AZ114+Construction!BX114)*(alch_plat+(Magic!AM113&gt;0)*alchemist_flame_bonus)</f>
        <v>31156.2</v>
      </c>
      <c r="AC113" s="69" t="n">
        <f aca="false">TblConstr[[#This Row],[Tot Farm]]*farm_food + TblConstr[[#This Row],[Tot Doc]]*dock_food</f>
        <v>3280</v>
      </c>
      <c r="AD113" s="69" t="n">
        <f aca="false">TblConstr[[#This Row],[Tot Ly]]*ly_lumber + TblConstr[[#This Row],[Tot Hav]]*fh_lumber</f>
        <v>1250</v>
      </c>
      <c r="AE113" s="69" t="n">
        <f aca="false">OFFSET(TblConstr[[#This Row],[Tot Tow]],1,0)*(tower_mana + tech_4_5*TblTech[[#This Row],[4-5]]) + OFFSET(TblConstr[[#This Row],[Tot WG]],1,0)*wg_mana_prod</f>
        <v>725</v>
      </c>
      <c r="AF113" s="69" t="n">
        <f aca="false">OFFSET(TblConstr[[#This Row],[Tot OM]],1,0)*om_ore+IF(race="Dwarf",ROUNDDOWN(TblMili[[#This Row],[Unit 2]]*0.4,0),)</f>
        <v>0</v>
      </c>
      <c r="AG113" s="69" t="n">
        <f aca="false">OFFSET(TblConstr[[#This Row],[Tot DM]],1,0)*dm_gems</f>
        <v>0</v>
      </c>
      <c r="AH113" s="132"/>
      <c r="AI113" s="149" t="n">
        <f aca="false">MIN(race_platinum_bonus + IF(TblMagic[[#This Row],[Active Alch Frost]]&gt;0,alch_frost_bonus,IF(Magic!AD113&gt;0,midas_bonus)) + TblImps[[#This Row],[Science]] - TblProd[[#This Row],[Guard]]*(0.02 + tech_5_7*TblTech[[#This Row],[5-7]]) + tech_1_5*TblTech[[#This Row],[1-5]] + tech_4_4*TblTech[[#This Row],[4-4]], 0.5)</f>
        <v>0</v>
      </c>
      <c r="AJ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3" s="149" t="n">
        <f aca="false">race_lumber_bonus+ IF(TblMagic[[#This Row],[Active Gaia''s Blessing]]&gt;0,gaias_blessing_lumber)+ tech_1_3*TblTech[[#This Row],[1-3]] + tech_1_6*TblTech[[#This Row],[1-6]] + tech_3_3*TblTech[[#This Row],[3-3]]</f>
        <v>-0.1</v>
      </c>
      <c r="AL113" s="149" t="n">
        <f aca="false">race_mana_bonus+ 0 + TblImps[[#This Row],[Towers]] + tech_1_2*TblTech[[#This Row],[1-2]] + tech_3_4*TblTech[[#This Row],[3-4]]</f>
        <v>0</v>
      </c>
      <c r="AM113" s="149" t="n">
        <f aca="false">race_ore_bonus + IF(TblMagic[[#This Row],[Active Miner''s Sight]]&gt;0,miners_sight_bonus,IF(TblMagic[[#This Row],[Active Mining Strength]]&gt;0,mining_strength_bonus)) +  tech_1_6*TblTech[[#This Row],[1-6]]</f>
        <v>0</v>
      </c>
      <c r="AN113" s="149" t="n">
        <f aca="false">race_gem_bonus+ tech_3_2*TblTech[[#This Row],[3-2]] + tech_4_3*TblTech[[#This Row],[4-3]] + tech_6_2*TblTech[[#This Row],[6-2]]</f>
        <v>0.15</v>
      </c>
      <c r="AO113" s="132"/>
      <c r="AP113" s="69" t="n">
        <f aca="false">TblProd[[#This Row],[Food]]*food_decay * (1 + tech_2_1*TblTech[[#This Row],[2-1]] + tech_2_8*TblTech[[#This Row],[2-8]])</f>
        <v>3096.75</v>
      </c>
      <c r="AQ113" s="69" t="n">
        <f aca="false">(1+race_food_consumption)*TblPop[[#This Row],[Total]]*food_per_person*(1+tech_1_10*TblTech[[#This Row],[1-10]]+tech_7_5*TblTech[[#This Row],[7-5]])</f>
        <v>3234.75</v>
      </c>
      <c r="AR113" s="69" t="n">
        <f aca="false">TblProd[[#This Row],[Lumber]]*lumber_rot * (1 + tech_2_1*TblTech[[#This Row],[2-1]] + tech_2_8*TblTech[[#This Row],[2-8]] + tech_5_2*TblTech[[#This Row],[5-2]])</f>
        <v>449.58</v>
      </c>
      <c r="AS113" s="69" t="n">
        <f aca="false">TblProd[[#This Row],[Mana]]*mana_drain * (1 + tech_2_1*TblTech[[#This Row],[2-1]] + tech_2_8*TblTech[[#This Row],[2-8]])</f>
        <v>4148.34</v>
      </c>
      <c r="AT113" s="146"/>
      <c r="AU113" s="69" t="n">
        <f aca="false">TblExplore[[#This Row],[Platinum (2)]]+TblConstr[[#This Row],[Total Plat Cost]]+TblMili[[#This Row],[Plat Cost]]+TblRezone[[#This Row],[Platinum cost]]+TblImps[[#This Row],[P1]]-TblProd[[#This Row],[Bank Plat]]</f>
        <v>0</v>
      </c>
      <c r="AV113" s="69" t="n">
        <f aca="false">TblConstr[[#This Row],[Total Lum Cost]]+TblImps[[#This Row],[L1]]-TblProd[[#This Row],[Bank Lumber]] + Military!$CL$25*TblMili[[#This Row],[Sec. rec. Cost]]</f>
        <v>0</v>
      </c>
      <c r="AW113" s="69" t="n">
        <f aca="false">TblMagic[[#This Row],[Mana cost]] + Military!$CL$26*TblMili[[#This Row],[Sec. rec. Cost]]</f>
        <v>0</v>
      </c>
      <c r="AX113" s="69" t="n">
        <f aca="false">Military!$CL$24*TblMili[[#This Row],[Sec. rec. Cost]]+TblImps[[#This Row],[O1]]-TblProd[[#This Row],[Bank Ore]]</f>
        <v>0</v>
      </c>
      <c r="AY113" s="69" t="n">
        <f aca="false">TblImps[[#This Row],[G1]]-TblProd[[#This Row],[Bank Gems]]</f>
        <v>0</v>
      </c>
      <c r="AZ113" s="132"/>
      <c r="BA113" s="33" t="n">
        <f aca="false">IF(TblProd[[#This Row],[Set Guard]]&lt;&gt;"",TblProd[[#This Row],[Set Guard]],OFFSET(TblProd[[#This Row],[Guard]],-1,0))</f>
        <v>0</v>
      </c>
      <c r="BB113" s="145"/>
      <c r="BC113" s="151" t="n">
        <f aca="false">TblProd[[#This Row],[Hour]]</f>
        <v>38</v>
      </c>
      <c r="BD113" s="152" t="n">
        <f aca="false">-TblProd[[#This Row],[Bank Lumber]] / 2 + -TblProd[[#This Row],[Bank Gems]] * 2 + -TblProd[[#This Row],[Bank Ore]] / 2</f>
        <v>0</v>
      </c>
      <c r="BE113" s="152"/>
      <c r="BF113" s="152"/>
      <c r="BG113" s="152"/>
      <c r="BH113" s="153" t="n">
        <f aca="false">TblProd[[#This Row],[Time]]</f>
        <v>45434.2916666667</v>
      </c>
      <c r="BI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J113" s="69" t="n">
        <f aca="false">TblProd[[#This Row],[Platinum]]</f>
        <v>1533801</v>
      </c>
      <c r="BK113" s="69" t="n">
        <f aca="false">TblProd[[#This Row],[Food]]</f>
        <v>309675</v>
      </c>
      <c r="BL113" s="69" t="n">
        <f aca="false">TblProd[[#This Row],[Lumber]]</f>
        <v>44958</v>
      </c>
      <c r="BM113" s="69" t="n">
        <f aca="false">TblProd[[#This Row],[Mana]]</f>
        <v>207417</v>
      </c>
      <c r="BN113" s="69" t="n">
        <f aca="false">TblProd[[#This Row],[Ore]]</f>
        <v>-357</v>
      </c>
    </row>
    <row r="114" customFormat="false" ht="12.75" hidden="false" customHeight="false" outlineLevel="0" collapsed="false">
      <c r="A114" s="128" t="n">
        <v>39</v>
      </c>
      <c r="B114" s="144" t="n">
        <f aca="false">TblImps[[#This Row],[Time]]</f>
        <v>45434.3333333333</v>
      </c>
      <c r="C114" s="145"/>
      <c r="D114" s="146"/>
      <c r="E114" s="69" t="n">
        <f aca="false">TblConstr[[#This Row],[Land]]</f>
        <v>700</v>
      </c>
      <c r="F114" s="69" t="n">
        <f aca="false">TblPop[[#This Row],[Peasants]]</f>
        <v>6886</v>
      </c>
      <c r="G114" s="69"/>
      <c r="H114" s="69" t="e">
        <f aca="false">TblMili[[#This Row],[Networth (2)]]</f>
        <v>#VALUE!</v>
      </c>
      <c r="I114" s="69" t="n">
        <f aca="false">OFFSET(TblProd[[#This Row],[Platinum]],-1,0)+OFFSET(TblProd[[#This Row],[Plat/hr]],-1,0) - TblProd[[#This Row],[Expenses Platinum]] + IF(TblProd[[#This Row],[Plat Bonus]],TblPop[[#This Row],[Peasants]]*4) + SUM(TblConstr[[#This Row],[Dest Hom]:[Dest Doc]])*TblConstr[[#This Row],[CPA Platinum -DB]]*tech_3_3_2*TblTech[[#This Row],[3-3]]</f>
        <v>1564957</v>
      </c>
      <c r="J114" s="69" t="n">
        <f aca="false">OFFSET(TblProd[[#This Row],[Food]],-1,0)+OFFSET(TblProd[[#This Row],[Food/hr]],-1,0)+ROUNDUP((TblConstr[[#This Row],[Farms]]*80+TblConstr[[#This Row],[Docks]]*35)*(1+OFFSET(TblProd[[#This Row],[Bonus Food/hr]],-1,0)),0)</f>
        <v>306705</v>
      </c>
      <c r="K114" s="69" t="n">
        <f aca="false">OFFSET(TblProd[[#This Row],[Lumber]],-1,0)+OFFSET(TblProd[[#This Row],[Lumber/hr]],-1,0) - TblProd[[#This Row],[Expenses Lumber]] + SUM(TblConstr[[#This Row],[Dest Hom]:[Dest Doc]])*TblConstr[[#This Row],[CPA Lumber -DB]]*tech_3_3_2*TblTech[[#This Row],[3-3]]</f>
        <v>45633</v>
      </c>
      <c r="L114" s="69" t="n">
        <f aca="false">OFFSET(TblProd[[#This Row],[Mana]],-1,0)+OFFSET(TblProd[[#This Row],[Mana/hr]],-1,0)- TblProd[[#This Row],[Expenses Mana]]</f>
        <v>203994</v>
      </c>
      <c r="M114" s="69" t="n">
        <f aca="false">OFFSET(TblProd[[#This Row],[Ore]],-1,0)+OFFSET(TblProd[[#This Row],[Ore/hr]],-1,0) -TblProd[[#This Row],[Expenses Ore]]</f>
        <v>-357</v>
      </c>
      <c r="N114" s="69" t="n">
        <f aca="false">OFFSET(TblProd[[#This Row],[Gems]],-1,0)+OFFSET(TblProd[[#This Row],[Gems/hr]],-1,0) - TblProd[[#This Row],[Expenses Gems]]</f>
        <v>-1000</v>
      </c>
      <c r="O114" s="69" t="n">
        <f aca="false">OFFSET(TblProd[[#This Row],[Boats]],-1,0)+OFFSET(TblProd[[#This Row],[Boats/hr]],-1,0)</f>
        <v>73.8500000000001</v>
      </c>
      <c r="P114" s="69" t="n">
        <f aca="false">OFFSET(TblProd[[#This Row],[Prestige]],-1,0)</f>
        <v>250</v>
      </c>
      <c r="Q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4" s="69" t="n">
        <f aca="false">MAX(3750,_xlfn.CEILING.MATH(TblProd[[#This Row],[Land]]*2.5+OFFSET(TblTech[[#This Row],[Sum of tech]],-1,0)*150))</f>
        <v>3750</v>
      </c>
      <c r="S114" s="132"/>
      <c r="T114" s="69" t="n">
        <f aca="false">ROUNDDOWN(TblProd[[#This Row],[Raw Plat/hr]]*(1+TblProd[[#This Row],[Bonus Plat/hr]]),0)</f>
        <v>30967</v>
      </c>
      <c r="U114" s="69" t="n">
        <f aca="false">ROUND(TblProd[[#This Row],[Raw Food/hr]]*(1+TblProd[[#This Row],[Bonus Food/hr]])-TblProd[[#This Row],[Food decay]]-TblProd[[#This Row],[Food eaten]],0)</f>
        <v>-2940</v>
      </c>
      <c r="V114" s="69" t="n">
        <f aca="false">ROUND(TblProd[[#This Row],[Raw Lumber/hr]]*(1+TblProd[[#This Row],[Bonus Lumber/hr]])-TblProd[[#This Row],[Lumber rot]],0)</f>
        <v>669</v>
      </c>
      <c r="W114" s="69" t="n">
        <f aca="false">ROUND(TblProd[[#This Row],[Raw Mana/hr]]*(1+TblProd[[#This Row],[Bonus Mana/hr]])-TblProd[[#This Row],[Mana drain]],0)</f>
        <v>-3355</v>
      </c>
      <c r="X114" s="69" t="n">
        <f aca="false">ROUNDDOWN(TblProd[[#This Row],[Raw Ore/hr]]*(1+TblProd[[#This Row],[Bonux Ore/hr]]),0)</f>
        <v>0</v>
      </c>
      <c r="Y114" s="69" t="n">
        <f aca="false">ROUNDDOWN(TblProd[[#This Row],[Raw Gems/hr]]*(1+TblProd[[#This Row],[Bonus Gems/hr]]),0)</f>
        <v>0</v>
      </c>
      <c r="Z114" s="148" t="n">
        <f aca="false">OFFSET(TblConstr[[#This Row],[Tot Doc]],1,0)*dock_boats_hr * (1 + tech_4_1*TblTech[[#This Row],[4-1]])</f>
        <v>1.2</v>
      </c>
      <c r="AA114" s="146"/>
      <c r="AB114" s="69" t="n">
        <f aca="false">TblPop[[#This Row],[Peasants]]*tax*TblPop[[#This Row],[Employment]] + (Construction!AZ115+Construction!BX115)*(alch_plat+(Magic!AM114&gt;0)*alchemist_flame_bonus)</f>
        <v>30967.2</v>
      </c>
      <c r="AC114" s="69" t="n">
        <f aca="false">TblConstr[[#This Row],[Tot Farm]]*farm_food + TblConstr[[#This Row],[Tot Doc]]*dock_food</f>
        <v>3280</v>
      </c>
      <c r="AD114" s="69" t="n">
        <f aca="false">TblConstr[[#This Row],[Tot Ly]]*ly_lumber + TblConstr[[#This Row],[Tot Hav]]*fh_lumber</f>
        <v>1250</v>
      </c>
      <c r="AE114" s="69" t="n">
        <f aca="false">OFFSET(TblConstr[[#This Row],[Tot Tow]],1,0)*(tower_mana + tech_4_5*TblTech[[#This Row],[4-5]]) + OFFSET(TblConstr[[#This Row],[Tot WG]],1,0)*wg_mana_prod</f>
        <v>725</v>
      </c>
      <c r="AF114" s="69" t="n">
        <f aca="false">OFFSET(TblConstr[[#This Row],[Tot OM]],1,0)*om_ore+IF(race="Dwarf",ROUNDDOWN(TblMili[[#This Row],[Unit 2]]*0.4,0),)</f>
        <v>0</v>
      </c>
      <c r="AG114" s="69" t="n">
        <f aca="false">OFFSET(TblConstr[[#This Row],[Tot DM]],1,0)*dm_gems</f>
        <v>0</v>
      </c>
      <c r="AH114" s="132"/>
      <c r="AI114" s="149" t="n">
        <f aca="false">MIN(race_platinum_bonus + IF(TblMagic[[#This Row],[Active Alch Frost]]&gt;0,alch_frost_bonus,IF(Magic!AD114&gt;0,midas_bonus)) + TblImps[[#This Row],[Science]] - TblProd[[#This Row],[Guard]]*(0.02 + tech_5_7*TblTech[[#This Row],[5-7]]) + tech_1_5*TblTech[[#This Row],[1-5]] + tech_4_4*TblTech[[#This Row],[4-4]], 0.5)</f>
        <v>0</v>
      </c>
      <c r="AJ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4" s="149" t="n">
        <f aca="false">race_lumber_bonus+ IF(TblMagic[[#This Row],[Active Gaia''s Blessing]]&gt;0,gaias_blessing_lumber)+ tech_1_3*TblTech[[#This Row],[1-3]] + tech_1_6*TblTech[[#This Row],[1-6]] + tech_3_3*TblTech[[#This Row],[3-3]]</f>
        <v>-0.1</v>
      </c>
      <c r="AL114" s="149" t="n">
        <f aca="false">race_mana_bonus+ 0 + TblImps[[#This Row],[Towers]] + tech_1_2*TblTech[[#This Row],[1-2]] + tech_3_4*TblTech[[#This Row],[3-4]]</f>
        <v>0</v>
      </c>
      <c r="AM114" s="149" t="n">
        <f aca="false">race_ore_bonus + IF(TblMagic[[#This Row],[Active Miner''s Sight]]&gt;0,miners_sight_bonus,IF(TblMagic[[#This Row],[Active Mining Strength]]&gt;0,mining_strength_bonus)) +  tech_1_6*TblTech[[#This Row],[1-6]]</f>
        <v>0</v>
      </c>
      <c r="AN114" s="149" t="n">
        <f aca="false">race_gem_bonus+ tech_3_2*TblTech[[#This Row],[3-2]] + tech_4_3*TblTech[[#This Row],[4-3]] + tech_6_2*TblTech[[#This Row],[6-2]]</f>
        <v>0.15</v>
      </c>
      <c r="AO114" s="132"/>
      <c r="AP114" s="69" t="n">
        <f aca="false">TblProd[[#This Row],[Food]]*food_decay * (1 + tech_2_1*TblTech[[#This Row],[2-1]] + tech_2_8*TblTech[[#This Row],[2-8]])</f>
        <v>3067.05</v>
      </c>
      <c r="AQ114" s="69" t="n">
        <f aca="false">(1+race_food_consumption)*TblPop[[#This Row],[Total]]*food_per_person*(1+tech_1_10*TblTech[[#This Row],[1-10]]+tech_7_5*TblTech[[#This Row],[7-5]])</f>
        <v>3234.75</v>
      </c>
      <c r="AR114" s="69" t="n">
        <f aca="false">TblProd[[#This Row],[Lumber]]*lumber_rot * (1 + tech_2_1*TblTech[[#This Row],[2-1]] + tech_2_8*TblTech[[#This Row],[2-8]] + tech_5_2*TblTech[[#This Row],[5-2]])</f>
        <v>456.33</v>
      </c>
      <c r="AS114" s="69" t="n">
        <f aca="false">TblProd[[#This Row],[Mana]]*mana_drain * (1 + tech_2_1*TblTech[[#This Row],[2-1]] + tech_2_8*TblTech[[#This Row],[2-8]])</f>
        <v>4079.88</v>
      </c>
      <c r="AT114" s="146"/>
      <c r="AU114" s="69" t="n">
        <f aca="false">TblExplore[[#This Row],[Platinum (2)]]+TblConstr[[#This Row],[Total Plat Cost]]+TblMili[[#This Row],[Plat Cost]]+TblRezone[[#This Row],[Platinum cost]]+TblImps[[#This Row],[P1]]-TblProd[[#This Row],[Bank Plat]]</f>
        <v>0</v>
      </c>
      <c r="AV114" s="69" t="n">
        <f aca="false">TblConstr[[#This Row],[Total Lum Cost]]+TblImps[[#This Row],[L1]]-TblProd[[#This Row],[Bank Lumber]] + Military!$CL$25*TblMili[[#This Row],[Sec. rec. Cost]]</f>
        <v>0</v>
      </c>
      <c r="AW114" s="69" t="n">
        <f aca="false">TblMagic[[#This Row],[Mana cost]] + Military!$CL$26*TblMili[[#This Row],[Sec. rec. Cost]]</f>
        <v>0</v>
      </c>
      <c r="AX114" s="69" t="n">
        <f aca="false">Military!$CL$24*TblMili[[#This Row],[Sec. rec. Cost]]+TblImps[[#This Row],[O1]]-TblProd[[#This Row],[Bank Ore]]</f>
        <v>0</v>
      </c>
      <c r="AY114" s="69" t="n">
        <f aca="false">TblImps[[#This Row],[G1]]-TblProd[[#This Row],[Bank Gems]]</f>
        <v>0</v>
      </c>
      <c r="AZ114" s="132"/>
      <c r="BA114" s="33" t="n">
        <f aca="false">IF(TblProd[[#This Row],[Set Guard]]&lt;&gt;"",TblProd[[#This Row],[Set Guard]],OFFSET(TblProd[[#This Row],[Guard]],-1,0))</f>
        <v>0</v>
      </c>
      <c r="BB114" s="145"/>
      <c r="BC114" s="151" t="n">
        <f aca="false">TblProd[[#This Row],[Hour]]</f>
        <v>39</v>
      </c>
      <c r="BD114" s="152" t="n">
        <f aca="false">-TblProd[[#This Row],[Bank Lumber]] / 2 + -TblProd[[#This Row],[Bank Gems]] * 2 + -TblProd[[#This Row],[Bank Ore]] / 2</f>
        <v>0</v>
      </c>
      <c r="BE114" s="152"/>
      <c r="BF114" s="152"/>
      <c r="BG114" s="152"/>
      <c r="BH114" s="153" t="n">
        <f aca="false">TblProd[[#This Row],[Time]]</f>
        <v>45434.3333333333</v>
      </c>
      <c r="BI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J114" s="69" t="n">
        <f aca="false">TblProd[[#This Row],[Platinum]]</f>
        <v>1564957</v>
      </c>
      <c r="BK114" s="69" t="n">
        <f aca="false">TblProd[[#This Row],[Food]]</f>
        <v>306705</v>
      </c>
      <c r="BL114" s="69" t="n">
        <f aca="false">TblProd[[#This Row],[Lumber]]</f>
        <v>45633</v>
      </c>
      <c r="BM114" s="69" t="n">
        <f aca="false">TblProd[[#This Row],[Mana]]</f>
        <v>203994</v>
      </c>
      <c r="BN114" s="69" t="n">
        <f aca="false">TblProd[[#This Row],[Ore]]</f>
        <v>-357</v>
      </c>
    </row>
    <row r="115" customFormat="false" ht="12.75" hidden="false" customHeight="false" outlineLevel="0" collapsed="false">
      <c r="A115" s="128" t="n">
        <v>40</v>
      </c>
      <c r="B115" s="144" t="n">
        <f aca="false">TblImps[[#This Row],[Time]]</f>
        <v>45434.375</v>
      </c>
      <c r="C115" s="145"/>
      <c r="D115" s="146"/>
      <c r="E115" s="69" t="n">
        <f aca="false">TblConstr[[#This Row],[Land]]</f>
        <v>700</v>
      </c>
      <c r="F115" s="69" t="n">
        <f aca="false">TblPop[[#This Row],[Peasants]]</f>
        <v>6817</v>
      </c>
      <c r="G115" s="69"/>
      <c r="H115" s="69" t="e">
        <f aca="false">TblMili[[#This Row],[Networth (2)]]</f>
        <v>#VALUE!</v>
      </c>
      <c r="I115" s="69" t="n">
        <f aca="false">OFFSET(TblProd[[#This Row],[Platinum]],-1,0)+OFFSET(TblProd[[#This Row],[Plat/hr]],-1,0) - TblProd[[#This Row],[Expenses Platinum]] + IF(TblProd[[#This Row],[Plat Bonus]],TblPop[[#This Row],[Peasants]]*4) + SUM(TblConstr[[#This Row],[Dest Hom]:[Dest Doc]])*TblConstr[[#This Row],[CPA Platinum -DB]]*tech_3_3_2*TblTech[[#This Row],[3-3]]</f>
        <v>1595924</v>
      </c>
      <c r="J115" s="69" t="n">
        <f aca="false">OFFSET(TblProd[[#This Row],[Food]],-1,0)+OFFSET(TblProd[[#This Row],[Food/hr]],-1,0)+ROUNDUP((TblConstr[[#This Row],[Farms]]*80+TblConstr[[#This Row],[Docks]]*35)*(1+OFFSET(TblProd[[#This Row],[Bonus Food/hr]],-1,0)),0)</f>
        <v>303765</v>
      </c>
      <c r="K115" s="69" t="n">
        <f aca="false">OFFSET(TblProd[[#This Row],[Lumber]],-1,0)+OFFSET(TblProd[[#This Row],[Lumber/hr]],-1,0) - TblProd[[#This Row],[Expenses Lumber]] + SUM(TblConstr[[#This Row],[Dest Hom]:[Dest Doc]])*TblConstr[[#This Row],[CPA Lumber -DB]]*tech_3_3_2*TblTech[[#This Row],[3-3]]</f>
        <v>46302</v>
      </c>
      <c r="L115" s="69" t="n">
        <f aca="false">OFFSET(TblProd[[#This Row],[Mana]],-1,0)+OFFSET(TblProd[[#This Row],[Mana/hr]],-1,0)- TblProd[[#This Row],[Expenses Mana]]</f>
        <v>200639</v>
      </c>
      <c r="M115" s="69" t="n">
        <f aca="false">OFFSET(TblProd[[#This Row],[Ore]],-1,0)+OFFSET(TblProd[[#This Row],[Ore/hr]],-1,0) -TblProd[[#This Row],[Expenses Ore]]</f>
        <v>-357</v>
      </c>
      <c r="N115" s="69" t="n">
        <f aca="false">OFFSET(TblProd[[#This Row],[Gems]],-1,0)+OFFSET(TblProd[[#This Row],[Gems/hr]],-1,0) - TblProd[[#This Row],[Expenses Gems]]</f>
        <v>-1000</v>
      </c>
      <c r="O115" s="69" t="n">
        <f aca="false">OFFSET(TblProd[[#This Row],[Boats]],-1,0)+OFFSET(TblProd[[#This Row],[Boats/hr]],-1,0)</f>
        <v>75.0500000000001</v>
      </c>
      <c r="P115" s="69" t="n">
        <f aca="false">OFFSET(TblProd[[#This Row],[Prestige]],-1,0)</f>
        <v>250</v>
      </c>
      <c r="Q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5" s="69" t="n">
        <f aca="false">MAX(3750,_xlfn.CEILING.MATH(TblProd[[#This Row],[Land]]*2.5+OFFSET(TblTech[[#This Row],[Sum of tech]],-1,0)*150))</f>
        <v>3750</v>
      </c>
      <c r="S115" s="132"/>
      <c r="T115" s="69" t="n">
        <f aca="false">ROUNDDOWN(TblProd[[#This Row],[Raw Plat/hr]]*(1+TblProd[[#This Row],[Bonus Plat/hr]]),0)</f>
        <v>30780</v>
      </c>
      <c r="U115" s="69" t="n">
        <f aca="false">ROUND(TblProd[[#This Row],[Raw Food/hr]]*(1+TblProd[[#This Row],[Bonus Food/hr]])-TblProd[[#This Row],[Food decay]]-TblProd[[#This Row],[Food eaten]],0)</f>
        <v>-2910</v>
      </c>
      <c r="V115" s="69" t="n">
        <f aca="false">ROUND(TblProd[[#This Row],[Raw Lumber/hr]]*(1+TblProd[[#This Row],[Bonus Lumber/hr]])-TblProd[[#This Row],[Lumber rot]],0)</f>
        <v>662</v>
      </c>
      <c r="W115" s="69" t="n">
        <f aca="false">ROUND(TblProd[[#This Row],[Raw Mana/hr]]*(1+TblProd[[#This Row],[Bonus Mana/hr]])-TblProd[[#This Row],[Mana drain]],0)</f>
        <v>-3288</v>
      </c>
      <c r="X115" s="69" t="n">
        <f aca="false">ROUNDDOWN(TblProd[[#This Row],[Raw Ore/hr]]*(1+TblProd[[#This Row],[Bonux Ore/hr]]),0)</f>
        <v>0</v>
      </c>
      <c r="Y115" s="69" t="n">
        <f aca="false">ROUNDDOWN(TblProd[[#This Row],[Raw Gems/hr]]*(1+TblProd[[#This Row],[Bonus Gems/hr]]),0)</f>
        <v>0</v>
      </c>
      <c r="Z115" s="148" t="n">
        <f aca="false">OFFSET(TblConstr[[#This Row],[Tot Doc]],1,0)*dock_boats_hr * (1 + tech_4_1*TblTech[[#This Row],[4-1]])</f>
        <v>1.2</v>
      </c>
      <c r="AA115" s="146"/>
      <c r="AB115" s="69" t="n">
        <f aca="false">TblPop[[#This Row],[Peasants]]*tax*TblPop[[#This Row],[Employment]] + (Construction!AZ116+Construction!BX116)*(alch_plat+(Magic!AM115&gt;0)*alchemist_flame_bonus)</f>
        <v>30780.9</v>
      </c>
      <c r="AC115" s="69" t="n">
        <f aca="false">TblConstr[[#This Row],[Tot Farm]]*farm_food + TblConstr[[#This Row],[Tot Doc]]*dock_food</f>
        <v>3280</v>
      </c>
      <c r="AD115" s="69" t="n">
        <f aca="false">TblConstr[[#This Row],[Tot Ly]]*ly_lumber + TblConstr[[#This Row],[Tot Hav]]*fh_lumber</f>
        <v>1250</v>
      </c>
      <c r="AE115" s="69" t="n">
        <f aca="false">OFFSET(TblConstr[[#This Row],[Tot Tow]],1,0)*(tower_mana + tech_4_5*TblTech[[#This Row],[4-5]]) + OFFSET(TblConstr[[#This Row],[Tot WG]],1,0)*wg_mana_prod</f>
        <v>725</v>
      </c>
      <c r="AF115" s="69" t="n">
        <f aca="false">OFFSET(TblConstr[[#This Row],[Tot OM]],1,0)*om_ore+IF(race="Dwarf",ROUNDDOWN(TblMili[[#This Row],[Unit 2]]*0.4,0),)</f>
        <v>0</v>
      </c>
      <c r="AG115" s="69" t="n">
        <f aca="false">OFFSET(TblConstr[[#This Row],[Tot DM]],1,0)*dm_gems</f>
        <v>0</v>
      </c>
      <c r="AH115" s="132"/>
      <c r="AI115" s="149" t="n">
        <f aca="false">MIN(race_platinum_bonus + IF(TblMagic[[#This Row],[Active Alch Frost]]&gt;0,alch_frost_bonus,IF(Magic!AD115&gt;0,midas_bonus)) + TblImps[[#This Row],[Science]] - TblProd[[#This Row],[Guard]]*(0.02 + tech_5_7*TblTech[[#This Row],[5-7]]) + tech_1_5*TblTech[[#This Row],[1-5]] + tech_4_4*TblTech[[#This Row],[4-4]], 0.5)</f>
        <v>0</v>
      </c>
      <c r="AJ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5" s="149" t="n">
        <f aca="false">race_lumber_bonus+ IF(TblMagic[[#This Row],[Active Gaia''s Blessing]]&gt;0,gaias_blessing_lumber)+ tech_1_3*TblTech[[#This Row],[1-3]] + tech_1_6*TblTech[[#This Row],[1-6]] + tech_3_3*TblTech[[#This Row],[3-3]]</f>
        <v>-0.1</v>
      </c>
      <c r="AL115" s="149" t="n">
        <f aca="false">race_mana_bonus+ 0 + TblImps[[#This Row],[Towers]] + tech_1_2*TblTech[[#This Row],[1-2]] + tech_3_4*TblTech[[#This Row],[3-4]]</f>
        <v>0</v>
      </c>
      <c r="AM115" s="149" t="n">
        <f aca="false">race_ore_bonus + IF(TblMagic[[#This Row],[Active Miner''s Sight]]&gt;0,miners_sight_bonus,IF(TblMagic[[#This Row],[Active Mining Strength]]&gt;0,mining_strength_bonus)) +  tech_1_6*TblTech[[#This Row],[1-6]]</f>
        <v>0</v>
      </c>
      <c r="AN115" s="149" t="n">
        <f aca="false">race_gem_bonus+ tech_3_2*TblTech[[#This Row],[3-2]] + tech_4_3*TblTech[[#This Row],[4-3]] + tech_6_2*TblTech[[#This Row],[6-2]]</f>
        <v>0.15</v>
      </c>
      <c r="AO115" s="132"/>
      <c r="AP115" s="69" t="n">
        <f aca="false">TblProd[[#This Row],[Food]]*food_decay * (1 + tech_2_1*TblTech[[#This Row],[2-1]] + tech_2_8*TblTech[[#This Row],[2-8]])</f>
        <v>3037.65</v>
      </c>
      <c r="AQ115" s="69" t="n">
        <f aca="false">(1+race_food_consumption)*TblPop[[#This Row],[Total]]*food_per_person*(1+tech_1_10*TblTech[[#This Row],[1-10]]+tech_7_5*TblTech[[#This Row],[7-5]])</f>
        <v>3234.75</v>
      </c>
      <c r="AR115" s="69" t="n">
        <f aca="false">TblProd[[#This Row],[Lumber]]*lumber_rot * (1 + tech_2_1*TblTech[[#This Row],[2-1]] + tech_2_8*TblTech[[#This Row],[2-8]] + tech_5_2*TblTech[[#This Row],[5-2]])</f>
        <v>463.02</v>
      </c>
      <c r="AS115" s="69" t="n">
        <f aca="false">TblProd[[#This Row],[Mana]]*mana_drain * (1 + tech_2_1*TblTech[[#This Row],[2-1]] + tech_2_8*TblTech[[#This Row],[2-8]])</f>
        <v>4012.78</v>
      </c>
      <c r="AT115" s="146"/>
      <c r="AU115" s="69" t="n">
        <f aca="false">TblExplore[[#This Row],[Platinum (2)]]+TblConstr[[#This Row],[Total Plat Cost]]+TblMili[[#This Row],[Plat Cost]]+TblRezone[[#This Row],[Platinum cost]]+TblImps[[#This Row],[P1]]-TblProd[[#This Row],[Bank Plat]]</f>
        <v>0</v>
      </c>
      <c r="AV115" s="69" t="n">
        <f aca="false">TblConstr[[#This Row],[Total Lum Cost]]+TblImps[[#This Row],[L1]]-TblProd[[#This Row],[Bank Lumber]] + Military!$CL$25*TblMili[[#This Row],[Sec. rec. Cost]]</f>
        <v>0</v>
      </c>
      <c r="AW115" s="69" t="n">
        <f aca="false">TblMagic[[#This Row],[Mana cost]] + Military!$CL$26*TblMili[[#This Row],[Sec. rec. Cost]]</f>
        <v>0</v>
      </c>
      <c r="AX115" s="69" t="n">
        <f aca="false">Military!$CL$24*TblMili[[#This Row],[Sec. rec. Cost]]+TblImps[[#This Row],[O1]]-TblProd[[#This Row],[Bank Ore]]</f>
        <v>0</v>
      </c>
      <c r="AY115" s="69" t="n">
        <f aca="false">TblImps[[#This Row],[G1]]-TblProd[[#This Row],[Bank Gems]]</f>
        <v>0</v>
      </c>
      <c r="AZ115" s="132"/>
      <c r="BA115" s="33" t="n">
        <f aca="false">IF(TblProd[[#This Row],[Set Guard]]&lt;&gt;"",TblProd[[#This Row],[Set Guard]],OFFSET(TblProd[[#This Row],[Guard]],-1,0))</f>
        <v>0</v>
      </c>
      <c r="BB115" s="145"/>
      <c r="BC115" s="151" t="n">
        <f aca="false">TblProd[[#This Row],[Hour]]</f>
        <v>40</v>
      </c>
      <c r="BD115" s="152" t="n">
        <f aca="false">-TblProd[[#This Row],[Bank Lumber]] / 2 + -TblProd[[#This Row],[Bank Gems]] * 2 + -TblProd[[#This Row],[Bank Ore]] / 2</f>
        <v>0</v>
      </c>
      <c r="BE115" s="152"/>
      <c r="BF115" s="152"/>
      <c r="BG115" s="152"/>
      <c r="BH115" s="153" t="n">
        <f aca="false">TblProd[[#This Row],[Time]]</f>
        <v>45434.375</v>
      </c>
      <c r="BI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J115" s="69" t="n">
        <f aca="false">TblProd[[#This Row],[Platinum]]</f>
        <v>1595924</v>
      </c>
      <c r="BK115" s="69" t="n">
        <f aca="false">TblProd[[#This Row],[Food]]</f>
        <v>303765</v>
      </c>
      <c r="BL115" s="69" t="n">
        <f aca="false">TblProd[[#This Row],[Lumber]]</f>
        <v>46302</v>
      </c>
      <c r="BM115" s="69" t="n">
        <f aca="false">TblProd[[#This Row],[Mana]]</f>
        <v>200639</v>
      </c>
      <c r="BN115" s="69" t="n">
        <f aca="false">TblProd[[#This Row],[Ore]]</f>
        <v>-357</v>
      </c>
    </row>
    <row r="116" customFormat="false" ht="12.75" hidden="false" customHeight="false" outlineLevel="0" collapsed="false">
      <c r="A116" s="128" t="n">
        <v>41</v>
      </c>
      <c r="B116" s="144" t="n">
        <f aca="false">TblImps[[#This Row],[Time]]</f>
        <v>45434.4166666667</v>
      </c>
      <c r="C116" s="145"/>
      <c r="D116" s="146"/>
      <c r="E116" s="69" t="n">
        <f aca="false">TblConstr[[#This Row],[Land]]</f>
        <v>700</v>
      </c>
      <c r="F116" s="69" t="n">
        <f aca="false">TblPop[[#This Row],[Peasants]]</f>
        <v>6749</v>
      </c>
      <c r="G116" s="69"/>
      <c r="H116" s="69" t="e">
        <f aca="false">TblMili[[#This Row],[Networth (2)]]</f>
        <v>#VALUE!</v>
      </c>
      <c r="I116" s="69" t="n">
        <f aca="false">OFFSET(TblProd[[#This Row],[Platinum]],-1,0)+OFFSET(TblProd[[#This Row],[Plat/hr]],-1,0) - TblProd[[#This Row],[Expenses Platinum]] + IF(TblProd[[#This Row],[Plat Bonus]],TblPop[[#This Row],[Peasants]]*4) + SUM(TblConstr[[#This Row],[Dest Hom]:[Dest Doc]])*TblConstr[[#This Row],[CPA Platinum -DB]]*tech_3_3_2*TblTech[[#This Row],[3-3]]</f>
        <v>1626704</v>
      </c>
      <c r="J116" s="69" t="n">
        <f aca="false">OFFSET(TblProd[[#This Row],[Food]],-1,0)+OFFSET(TblProd[[#This Row],[Food/hr]],-1,0)+ROUNDUP((TblConstr[[#This Row],[Farms]]*80+TblConstr[[#This Row],[Docks]]*35)*(1+OFFSET(TblProd[[#This Row],[Bonus Food/hr]],-1,0)),0)</f>
        <v>300855</v>
      </c>
      <c r="K116" s="69" t="n">
        <f aca="false">OFFSET(TblProd[[#This Row],[Lumber]],-1,0)+OFFSET(TblProd[[#This Row],[Lumber/hr]],-1,0) - TblProd[[#This Row],[Expenses Lumber]] + SUM(TblConstr[[#This Row],[Dest Hom]:[Dest Doc]])*TblConstr[[#This Row],[CPA Lumber -DB]]*tech_3_3_2*TblTech[[#This Row],[3-3]]</f>
        <v>46964</v>
      </c>
      <c r="L116" s="69" t="n">
        <f aca="false">OFFSET(TblProd[[#This Row],[Mana]],-1,0)+OFFSET(TblProd[[#This Row],[Mana/hr]],-1,0)- TblProd[[#This Row],[Expenses Mana]]</f>
        <v>197351</v>
      </c>
      <c r="M116" s="69" t="n">
        <f aca="false">OFFSET(TblProd[[#This Row],[Ore]],-1,0)+OFFSET(TblProd[[#This Row],[Ore/hr]],-1,0) -TblProd[[#This Row],[Expenses Ore]]</f>
        <v>-357</v>
      </c>
      <c r="N116" s="69" t="n">
        <f aca="false">OFFSET(TblProd[[#This Row],[Gems]],-1,0)+OFFSET(TblProd[[#This Row],[Gems/hr]],-1,0) - TblProd[[#This Row],[Expenses Gems]]</f>
        <v>-1000</v>
      </c>
      <c r="O116" s="69" t="n">
        <f aca="false">OFFSET(TblProd[[#This Row],[Boats]],-1,0)+OFFSET(TblProd[[#This Row],[Boats/hr]],-1,0)</f>
        <v>76.2500000000001</v>
      </c>
      <c r="P116" s="69" t="n">
        <f aca="false">OFFSET(TblProd[[#This Row],[Prestige]],-1,0)</f>
        <v>250</v>
      </c>
      <c r="Q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6" s="69" t="n">
        <f aca="false">MAX(3750,_xlfn.CEILING.MATH(TblProd[[#This Row],[Land]]*2.5+OFFSET(TblTech[[#This Row],[Sum of tech]],-1,0)*150))</f>
        <v>3750</v>
      </c>
      <c r="S116" s="132"/>
      <c r="T116" s="69" t="n">
        <f aca="false">ROUNDDOWN(TblProd[[#This Row],[Raw Plat/hr]]*(1+TblProd[[#This Row],[Bonus Plat/hr]]),0)</f>
        <v>30597</v>
      </c>
      <c r="U116" s="69" t="n">
        <f aca="false">ROUND(TblProd[[#This Row],[Raw Food/hr]]*(1+TblProd[[#This Row],[Bonus Food/hr]])-TblProd[[#This Row],[Food decay]]-TblProd[[#This Row],[Food eaten]],0)</f>
        <v>-2881</v>
      </c>
      <c r="V116" s="69" t="n">
        <f aca="false">ROUND(TblProd[[#This Row],[Raw Lumber/hr]]*(1+TblProd[[#This Row],[Bonus Lumber/hr]])-TblProd[[#This Row],[Lumber rot]],0)</f>
        <v>655</v>
      </c>
      <c r="W116" s="69" t="n">
        <f aca="false">ROUND(TblProd[[#This Row],[Raw Mana/hr]]*(1+TblProd[[#This Row],[Bonus Mana/hr]])-TblProd[[#This Row],[Mana drain]],0)</f>
        <v>-3222</v>
      </c>
      <c r="X116" s="69" t="n">
        <f aca="false">ROUNDDOWN(TblProd[[#This Row],[Raw Ore/hr]]*(1+TblProd[[#This Row],[Bonux Ore/hr]]),0)</f>
        <v>0</v>
      </c>
      <c r="Y116" s="69" t="n">
        <f aca="false">ROUNDDOWN(TblProd[[#This Row],[Raw Gems/hr]]*(1+TblProd[[#This Row],[Bonus Gems/hr]]),0)</f>
        <v>0</v>
      </c>
      <c r="Z116" s="148" t="n">
        <f aca="false">OFFSET(TblConstr[[#This Row],[Tot Doc]],1,0)*dock_boats_hr * (1 + tech_4_1*TblTech[[#This Row],[4-1]])</f>
        <v>1.2</v>
      </c>
      <c r="AA116" s="146"/>
      <c r="AB116" s="69" t="n">
        <f aca="false">TblPop[[#This Row],[Peasants]]*tax*TblPop[[#This Row],[Employment]] + (Construction!AZ117+Construction!BX117)*(alch_plat+(Magic!AM116&gt;0)*alchemist_flame_bonus)</f>
        <v>30597.3</v>
      </c>
      <c r="AC116" s="69" t="n">
        <f aca="false">TblConstr[[#This Row],[Tot Farm]]*farm_food + TblConstr[[#This Row],[Tot Doc]]*dock_food</f>
        <v>3280</v>
      </c>
      <c r="AD116" s="69" t="n">
        <f aca="false">TblConstr[[#This Row],[Tot Ly]]*ly_lumber + TblConstr[[#This Row],[Tot Hav]]*fh_lumber</f>
        <v>1250</v>
      </c>
      <c r="AE116" s="69" t="n">
        <f aca="false">OFFSET(TblConstr[[#This Row],[Tot Tow]],1,0)*(tower_mana + tech_4_5*TblTech[[#This Row],[4-5]]) + OFFSET(TblConstr[[#This Row],[Tot WG]],1,0)*wg_mana_prod</f>
        <v>725</v>
      </c>
      <c r="AF116" s="69" t="n">
        <f aca="false">OFFSET(TblConstr[[#This Row],[Tot OM]],1,0)*om_ore+IF(race="Dwarf",ROUNDDOWN(TblMili[[#This Row],[Unit 2]]*0.4,0),)</f>
        <v>0</v>
      </c>
      <c r="AG116" s="69" t="n">
        <f aca="false">OFFSET(TblConstr[[#This Row],[Tot DM]],1,0)*dm_gems</f>
        <v>0</v>
      </c>
      <c r="AH116" s="132"/>
      <c r="AI116" s="149" t="n">
        <f aca="false">MIN(race_platinum_bonus + IF(TblMagic[[#This Row],[Active Alch Frost]]&gt;0,alch_frost_bonus,IF(Magic!AD116&gt;0,midas_bonus)) + TblImps[[#This Row],[Science]] - TblProd[[#This Row],[Guard]]*(0.02 + tech_5_7*TblTech[[#This Row],[5-7]]) + tech_1_5*TblTech[[#This Row],[1-5]] + tech_4_4*TblTech[[#This Row],[4-4]], 0.5)</f>
        <v>0</v>
      </c>
      <c r="AJ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6" s="149" t="n">
        <f aca="false">race_lumber_bonus+ IF(TblMagic[[#This Row],[Active Gaia''s Blessing]]&gt;0,gaias_blessing_lumber)+ tech_1_3*TblTech[[#This Row],[1-3]] + tech_1_6*TblTech[[#This Row],[1-6]] + tech_3_3*TblTech[[#This Row],[3-3]]</f>
        <v>-0.1</v>
      </c>
      <c r="AL116" s="149" t="n">
        <f aca="false">race_mana_bonus+ 0 + TblImps[[#This Row],[Towers]] + tech_1_2*TblTech[[#This Row],[1-2]] + tech_3_4*TblTech[[#This Row],[3-4]]</f>
        <v>0</v>
      </c>
      <c r="AM116" s="149" t="n">
        <f aca="false">race_ore_bonus + IF(TblMagic[[#This Row],[Active Miner''s Sight]]&gt;0,miners_sight_bonus,IF(TblMagic[[#This Row],[Active Mining Strength]]&gt;0,mining_strength_bonus)) +  tech_1_6*TblTech[[#This Row],[1-6]]</f>
        <v>0</v>
      </c>
      <c r="AN116" s="149" t="n">
        <f aca="false">race_gem_bonus+ tech_3_2*TblTech[[#This Row],[3-2]] + tech_4_3*TblTech[[#This Row],[4-3]] + tech_6_2*TblTech[[#This Row],[6-2]]</f>
        <v>0.15</v>
      </c>
      <c r="AO116" s="132"/>
      <c r="AP116" s="69" t="n">
        <f aca="false">TblProd[[#This Row],[Food]]*food_decay * (1 + tech_2_1*TblTech[[#This Row],[2-1]] + tech_2_8*TblTech[[#This Row],[2-8]])</f>
        <v>3008.55</v>
      </c>
      <c r="AQ116" s="69" t="n">
        <f aca="false">(1+race_food_consumption)*TblPop[[#This Row],[Total]]*food_per_person*(1+tech_1_10*TblTech[[#This Row],[1-10]]+tech_7_5*TblTech[[#This Row],[7-5]])</f>
        <v>3234.75</v>
      </c>
      <c r="AR116" s="69" t="n">
        <f aca="false">TblProd[[#This Row],[Lumber]]*lumber_rot * (1 + tech_2_1*TblTech[[#This Row],[2-1]] + tech_2_8*TblTech[[#This Row],[2-8]] + tech_5_2*TblTech[[#This Row],[5-2]])</f>
        <v>469.64</v>
      </c>
      <c r="AS116" s="69" t="n">
        <f aca="false">TblProd[[#This Row],[Mana]]*mana_drain * (1 + tech_2_1*TblTech[[#This Row],[2-1]] + tech_2_8*TblTech[[#This Row],[2-8]])</f>
        <v>3947.02</v>
      </c>
      <c r="AT116" s="146"/>
      <c r="AU116" s="69" t="n">
        <f aca="false">TblExplore[[#This Row],[Platinum (2)]]+TblConstr[[#This Row],[Total Plat Cost]]+TblMili[[#This Row],[Plat Cost]]+TblRezone[[#This Row],[Platinum cost]]+TblImps[[#This Row],[P1]]-TblProd[[#This Row],[Bank Plat]]</f>
        <v>0</v>
      </c>
      <c r="AV116" s="69" t="n">
        <f aca="false">TblConstr[[#This Row],[Total Lum Cost]]+TblImps[[#This Row],[L1]]-TblProd[[#This Row],[Bank Lumber]] + Military!$CL$25*TblMili[[#This Row],[Sec. rec. Cost]]</f>
        <v>0</v>
      </c>
      <c r="AW116" s="69" t="n">
        <f aca="false">TblMagic[[#This Row],[Mana cost]] + Military!$CL$26*TblMili[[#This Row],[Sec. rec. Cost]]</f>
        <v>0</v>
      </c>
      <c r="AX116" s="69" t="n">
        <f aca="false">Military!$CL$24*TblMili[[#This Row],[Sec. rec. Cost]]+TblImps[[#This Row],[O1]]-TblProd[[#This Row],[Bank Ore]]</f>
        <v>0</v>
      </c>
      <c r="AY116" s="69" t="n">
        <f aca="false">TblImps[[#This Row],[G1]]-TblProd[[#This Row],[Bank Gems]]</f>
        <v>0</v>
      </c>
      <c r="AZ116" s="132"/>
      <c r="BA116" s="33" t="n">
        <f aca="false">IF(TblProd[[#This Row],[Set Guard]]&lt;&gt;"",TblProd[[#This Row],[Set Guard]],OFFSET(TblProd[[#This Row],[Guard]],-1,0))</f>
        <v>0</v>
      </c>
      <c r="BB116" s="145"/>
      <c r="BC116" s="151" t="n">
        <f aca="false">TblProd[[#This Row],[Hour]]</f>
        <v>41</v>
      </c>
      <c r="BD116" s="152" t="n">
        <f aca="false">-TblProd[[#This Row],[Bank Lumber]] / 2 + -TblProd[[#This Row],[Bank Gems]] * 2 + -TblProd[[#This Row],[Bank Ore]] / 2</f>
        <v>0</v>
      </c>
      <c r="BE116" s="152"/>
      <c r="BF116" s="152"/>
      <c r="BG116" s="152"/>
      <c r="BH116" s="153" t="n">
        <f aca="false">TblProd[[#This Row],[Time]]</f>
        <v>45434.4166666667</v>
      </c>
      <c r="BI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J116" s="69" t="n">
        <f aca="false">TblProd[[#This Row],[Platinum]]</f>
        <v>1626704</v>
      </c>
      <c r="BK116" s="69" t="n">
        <f aca="false">TblProd[[#This Row],[Food]]</f>
        <v>300855</v>
      </c>
      <c r="BL116" s="69" t="n">
        <f aca="false">TblProd[[#This Row],[Lumber]]</f>
        <v>46964</v>
      </c>
      <c r="BM116" s="69" t="n">
        <f aca="false">TblProd[[#This Row],[Mana]]</f>
        <v>197351</v>
      </c>
      <c r="BN116" s="69" t="n">
        <f aca="false">TblProd[[#This Row],[Ore]]</f>
        <v>-357</v>
      </c>
    </row>
    <row r="117" customFormat="false" ht="12.75" hidden="false" customHeight="false" outlineLevel="0" collapsed="false">
      <c r="A117" s="128" t="n">
        <v>42</v>
      </c>
      <c r="B117" s="144" t="n">
        <f aca="false">TblImps[[#This Row],[Time]]</f>
        <v>45434.4583333333</v>
      </c>
      <c r="C117" s="145"/>
      <c r="D117" s="146"/>
      <c r="E117" s="69" t="n">
        <f aca="false">TblConstr[[#This Row],[Land]]</f>
        <v>700</v>
      </c>
      <c r="F117" s="69" t="n">
        <f aca="false">TblPop[[#This Row],[Peasants]]</f>
        <v>6682</v>
      </c>
      <c r="G117" s="69"/>
      <c r="H117" s="69" t="e">
        <f aca="false">TblMili[[#This Row],[Networth (2)]]</f>
        <v>#VALUE!</v>
      </c>
      <c r="I117" s="69" t="n">
        <f aca="false">OFFSET(TblProd[[#This Row],[Platinum]],-1,0)+OFFSET(TblProd[[#This Row],[Plat/hr]],-1,0) - TblProd[[#This Row],[Expenses Platinum]] + IF(TblProd[[#This Row],[Plat Bonus]],TblPop[[#This Row],[Peasants]]*4) + SUM(TblConstr[[#This Row],[Dest Hom]:[Dest Doc]])*TblConstr[[#This Row],[CPA Platinum -DB]]*tech_3_3_2*TblTech[[#This Row],[3-3]]</f>
        <v>1657301</v>
      </c>
      <c r="J117" s="69" t="n">
        <f aca="false">OFFSET(TblProd[[#This Row],[Food]],-1,0)+OFFSET(TblProd[[#This Row],[Food/hr]],-1,0)+ROUNDUP((TblConstr[[#This Row],[Farms]]*80+TblConstr[[#This Row],[Docks]]*35)*(1+OFFSET(TblProd[[#This Row],[Bonus Food/hr]],-1,0)),0)</f>
        <v>297974</v>
      </c>
      <c r="K117" s="69" t="n">
        <f aca="false">OFFSET(TblProd[[#This Row],[Lumber]],-1,0)+OFFSET(TblProd[[#This Row],[Lumber/hr]],-1,0) - TblProd[[#This Row],[Expenses Lumber]] + SUM(TblConstr[[#This Row],[Dest Hom]:[Dest Doc]])*TblConstr[[#This Row],[CPA Lumber -DB]]*tech_3_3_2*TblTech[[#This Row],[3-3]]</f>
        <v>47619</v>
      </c>
      <c r="L117" s="69" t="n">
        <f aca="false">OFFSET(TblProd[[#This Row],[Mana]],-1,0)+OFFSET(TblProd[[#This Row],[Mana/hr]],-1,0)- TblProd[[#This Row],[Expenses Mana]]</f>
        <v>194129</v>
      </c>
      <c r="M117" s="69" t="n">
        <f aca="false">OFFSET(TblProd[[#This Row],[Ore]],-1,0)+OFFSET(TblProd[[#This Row],[Ore/hr]],-1,0) -TblProd[[#This Row],[Expenses Ore]]</f>
        <v>-357</v>
      </c>
      <c r="N117" s="69" t="n">
        <f aca="false">OFFSET(TblProd[[#This Row],[Gems]],-1,0)+OFFSET(TblProd[[#This Row],[Gems/hr]],-1,0) - TblProd[[#This Row],[Expenses Gems]]</f>
        <v>-1000</v>
      </c>
      <c r="O117" s="69" t="n">
        <f aca="false">OFFSET(TblProd[[#This Row],[Boats]],-1,0)+OFFSET(TblProd[[#This Row],[Boats/hr]],-1,0)</f>
        <v>77.4500000000001</v>
      </c>
      <c r="P117" s="69" t="n">
        <f aca="false">OFFSET(TblProd[[#This Row],[Prestige]],-1,0)</f>
        <v>250</v>
      </c>
      <c r="Q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7" s="69" t="n">
        <f aca="false">MAX(3750,_xlfn.CEILING.MATH(TblProd[[#This Row],[Land]]*2.5+OFFSET(TblTech[[#This Row],[Sum of tech]],-1,0)*150))</f>
        <v>3750</v>
      </c>
      <c r="S117" s="132"/>
      <c r="T117" s="69" t="n">
        <f aca="false">ROUNDDOWN(TblProd[[#This Row],[Raw Plat/hr]]*(1+TblProd[[#This Row],[Bonus Plat/hr]]),0)</f>
        <v>30416</v>
      </c>
      <c r="U117" s="69" t="n">
        <f aca="false">ROUND(TblProd[[#This Row],[Raw Food/hr]]*(1+TblProd[[#This Row],[Bonus Food/hr]])-TblProd[[#This Row],[Food decay]]-TblProd[[#This Row],[Food eaten]],0)</f>
        <v>-2852</v>
      </c>
      <c r="V117" s="69" t="n">
        <f aca="false">ROUND(TblProd[[#This Row],[Raw Lumber/hr]]*(1+TblProd[[#This Row],[Bonus Lumber/hr]])-TblProd[[#This Row],[Lumber rot]],0)</f>
        <v>649</v>
      </c>
      <c r="W117" s="69" t="n">
        <f aca="false">ROUND(TblProd[[#This Row],[Raw Mana/hr]]*(1+TblProd[[#This Row],[Bonus Mana/hr]])-TblProd[[#This Row],[Mana drain]],0)</f>
        <v>-3158</v>
      </c>
      <c r="X117" s="69" t="n">
        <f aca="false">ROUNDDOWN(TblProd[[#This Row],[Raw Ore/hr]]*(1+TblProd[[#This Row],[Bonux Ore/hr]]),0)</f>
        <v>0</v>
      </c>
      <c r="Y117" s="69" t="n">
        <f aca="false">ROUNDDOWN(TblProd[[#This Row],[Raw Gems/hr]]*(1+TblProd[[#This Row],[Bonus Gems/hr]]),0)</f>
        <v>0</v>
      </c>
      <c r="Z117" s="148" t="n">
        <f aca="false">OFFSET(TblConstr[[#This Row],[Tot Doc]],1,0)*dock_boats_hr * (1 + tech_4_1*TblTech[[#This Row],[4-1]])</f>
        <v>1.2</v>
      </c>
      <c r="AA117" s="146"/>
      <c r="AB117" s="69" t="n">
        <f aca="false">TblPop[[#This Row],[Peasants]]*tax*TblPop[[#This Row],[Employment]] + (Construction!AZ118+Construction!BX118)*(alch_plat+(Magic!AM117&gt;0)*alchemist_flame_bonus)</f>
        <v>30416.4</v>
      </c>
      <c r="AC117" s="69" t="n">
        <f aca="false">TblConstr[[#This Row],[Tot Farm]]*farm_food + TblConstr[[#This Row],[Tot Doc]]*dock_food</f>
        <v>3280</v>
      </c>
      <c r="AD117" s="69" t="n">
        <f aca="false">TblConstr[[#This Row],[Tot Ly]]*ly_lumber + TblConstr[[#This Row],[Tot Hav]]*fh_lumber</f>
        <v>1250</v>
      </c>
      <c r="AE117" s="69" t="n">
        <f aca="false">OFFSET(TblConstr[[#This Row],[Tot Tow]],1,0)*(tower_mana + tech_4_5*TblTech[[#This Row],[4-5]]) + OFFSET(TblConstr[[#This Row],[Tot WG]],1,0)*wg_mana_prod</f>
        <v>725</v>
      </c>
      <c r="AF117" s="69" t="n">
        <f aca="false">OFFSET(TblConstr[[#This Row],[Tot OM]],1,0)*om_ore+IF(race="Dwarf",ROUNDDOWN(TblMili[[#This Row],[Unit 2]]*0.4,0),)</f>
        <v>0</v>
      </c>
      <c r="AG117" s="69" t="n">
        <f aca="false">OFFSET(TblConstr[[#This Row],[Tot DM]],1,0)*dm_gems</f>
        <v>0</v>
      </c>
      <c r="AH117" s="132"/>
      <c r="AI117" s="149" t="n">
        <f aca="false">MIN(race_platinum_bonus + IF(TblMagic[[#This Row],[Active Alch Frost]]&gt;0,alch_frost_bonus,IF(Magic!AD117&gt;0,midas_bonus)) + TblImps[[#This Row],[Science]] - TblProd[[#This Row],[Guard]]*(0.02 + tech_5_7*TblTech[[#This Row],[5-7]]) + tech_1_5*TblTech[[#This Row],[1-5]] + tech_4_4*TblTech[[#This Row],[4-4]], 0.5)</f>
        <v>0</v>
      </c>
      <c r="AJ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7" s="149" t="n">
        <f aca="false">race_lumber_bonus+ IF(TblMagic[[#This Row],[Active Gaia''s Blessing]]&gt;0,gaias_blessing_lumber)+ tech_1_3*TblTech[[#This Row],[1-3]] + tech_1_6*TblTech[[#This Row],[1-6]] + tech_3_3*TblTech[[#This Row],[3-3]]</f>
        <v>-0.1</v>
      </c>
      <c r="AL117" s="149" t="n">
        <f aca="false">race_mana_bonus+ 0 + TblImps[[#This Row],[Towers]] + tech_1_2*TblTech[[#This Row],[1-2]] + tech_3_4*TblTech[[#This Row],[3-4]]</f>
        <v>0</v>
      </c>
      <c r="AM117" s="149" t="n">
        <f aca="false">race_ore_bonus + IF(TblMagic[[#This Row],[Active Miner''s Sight]]&gt;0,miners_sight_bonus,IF(TblMagic[[#This Row],[Active Mining Strength]]&gt;0,mining_strength_bonus)) +  tech_1_6*TblTech[[#This Row],[1-6]]</f>
        <v>0</v>
      </c>
      <c r="AN117" s="149" t="n">
        <f aca="false">race_gem_bonus+ tech_3_2*TblTech[[#This Row],[3-2]] + tech_4_3*TblTech[[#This Row],[4-3]] + tech_6_2*TblTech[[#This Row],[6-2]]</f>
        <v>0.15</v>
      </c>
      <c r="AO117" s="132"/>
      <c r="AP117" s="69" t="n">
        <f aca="false">TblProd[[#This Row],[Food]]*food_decay * (1 + tech_2_1*TblTech[[#This Row],[2-1]] + tech_2_8*TblTech[[#This Row],[2-8]])</f>
        <v>2979.74</v>
      </c>
      <c r="AQ117" s="69" t="n">
        <f aca="false">(1+race_food_consumption)*TblPop[[#This Row],[Total]]*food_per_person*(1+tech_1_10*TblTech[[#This Row],[1-10]]+tech_7_5*TblTech[[#This Row],[7-5]])</f>
        <v>3234.75</v>
      </c>
      <c r="AR117" s="69" t="n">
        <f aca="false">TblProd[[#This Row],[Lumber]]*lumber_rot * (1 + tech_2_1*TblTech[[#This Row],[2-1]] + tech_2_8*TblTech[[#This Row],[2-8]] + tech_5_2*TblTech[[#This Row],[5-2]])</f>
        <v>476.19</v>
      </c>
      <c r="AS117" s="69" t="n">
        <f aca="false">TblProd[[#This Row],[Mana]]*mana_drain * (1 + tech_2_1*TblTech[[#This Row],[2-1]] + tech_2_8*TblTech[[#This Row],[2-8]])</f>
        <v>3882.58</v>
      </c>
      <c r="AT117" s="146"/>
      <c r="AU117" s="69" t="n">
        <f aca="false">TblExplore[[#This Row],[Platinum (2)]]+TblConstr[[#This Row],[Total Plat Cost]]+TblMili[[#This Row],[Plat Cost]]+TblRezone[[#This Row],[Platinum cost]]+TblImps[[#This Row],[P1]]-TblProd[[#This Row],[Bank Plat]]</f>
        <v>0</v>
      </c>
      <c r="AV117" s="69" t="n">
        <f aca="false">TblConstr[[#This Row],[Total Lum Cost]]+TblImps[[#This Row],[L1]]-TblProd[[#This Row],[Bank Lumber]] + Military!$CL$25*TblMili[[#This Row],[Sec. rec. Cost]]</f>
        <v>0</v>
      </c>
      <c r="AW117" s="69" t="n">
        <f aca="false">TblMagic[[#This Row],[Mana cost]] + Military!$CL$26*TblMili[[#This Row],[Sec. rec. Cost]]</f>
        <v>0</v>
      </c>
      <c r="AX117" s="69" t="n">
        <f aca="false">Military!$CL$24*TblMili[[#This Row],[Sec. rec. Cost]]+TblImps[[#This Row],[O1]]-TblProd[[#This Row],[Bank Ore]]</f>
        <v>0</v>
      </c>
      <c r="AY117" s="69" t="n">
        <f aca="false">TblImps[[#This Row],[G1]]-TblProd[[#This Row],[Bank Gems]]</f>
        <v>0</v>
      </c>
      <c r="AZ117" s="132"/>
      <c r="BA117" s="33" t="n">
        <f aca="false">IF(TblProd[[#This Row],[Set Guard]]&lt;&gt;"",TblProd[[#This Row],[Set Guard]],OFFSET(TblProd[[#This Row],[Guard]],-1,0))</f>
        <v>0</v>
      </c>
      <c r="BB117" s="145"/>
      <c r="BC117" s="151" t="n">
        <f aca="false">TblProd[[#This Row],[Hour]]</f>
        <v>42</v>
      </c>
      <c r="BD117" s="152" t="n">
        <f aca="false">-TblProd[[#This Row],[Bank Lumber]] / 2 + -TblProd[[#This Row],[Bank Gems]] * 2 + -TblProd[[#This Row],[Bank Ore]] / 2</f>
        <v>0</v>
      </c>
      <c r="BE117" s="152"/>
      <c r="BF117" s="152"/>
      <c r="BG117" s="152"/>
      <c r="BH117" s="153" t="n">
        <f aca="false">TblProd[[#This Row],[Time]]</f>
        <v>45434.4583333333</v>
      </c>
      <c r="BI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J117" s="69" t="n">
        <f aca="false">TblProd[[#This Row],[Platinum]]</f>
        <v>1657301</v>
      </c>
      <c r="BK117" s="69" t="n">
        <f aca="false">TblProd[[#This Row],[Food]]</f>
        <v>297974</v>
      </c>
      <c r="BL117" s="69" t="n">
        <f aca="false">TblProd[[#This Row],[Lumber]]</f>
        <v>47619</v>
      </c>
      <c r="BM117" s="69" t="n">
        <f aca="false">TblProd[[#This Row],[Mana]]</f>
        <v>194129</v>
      </c>
      <c r="BN117" s="69" t="n">
        <f aca="false">TblProd[[#This Row],[Ore]]</f>
        <v>-357</v>
      </c>
    </row>
    <row r="118" customFormat="false" ht="12.75" hidden="false" customHeight="false" outlineLevel="0" collapsed="false">
      <c r="A118" s="128" t="n">
        <v>43</v>
      </c>
      <c r="B118" s="144" t="n">
        <f aca="false">TblImps[[#This Row],[Time]]</f>
        <v>45434.5</v>
      </c>
      <c r="C118" s="145"/>
      <c r="D118" s="146"/>
      <c r="E118" s="69" t="n">
        <f aca="false">TblConstr[[#This Row],[Land]]</f>
        <v>700</v>
      </c>
      <c r="F118" s="69" t="n">
        <f aca="false">TblPop[[#This Row],[Peasants]]</f>
        <v>6615</v>
      </c>
      <c r="G118" s="69"/>
      <c r="H118" s="69" t="e">
        <f aca="false">TblMili[[#This Row],[Networth (2)]]</f>
        <v>#VALUE!</v>
      </c>
      <c r="I118" s="69" t="n">
        <f aca="false">OFFSET(TblProd[[#This Row],[Platinum]],-1,0)+OFFSET(TblProd[[#This Row],[Plat/hr]],-1,0) - TblProd[[#This Row],[Expenses Platinum]] + IF(TblProd[[#This Row],[Plat Bonus]],TblPop[[#This Row],[Peasants]]*4) + SUM(TblConstr[[#This Row],[Dest Hom]:[Dest Doc]])*TblConstr[[#This Row],[CPA Platinum -DB]]*tech_3_3_2*TblTech[[#This Row],[3-3]]</f>
        <v>1687717</v>
      </c>
      <c r="J118" s="69" t="n">
        <f aca="false">OFFSET(TblProd[[#This Row],[Food]],-1,0)+OFFSET(TblProd[[#This Row],[Food/hr]],-1,0)+ROUNDUP((TblConstr[[#This Row],[Farms]]*80+TblConstr[[#This Row],[Docks]]*35)*(1+OFFSET(TblProd[[#This Row],[Bonus Food/hr]],-1,0)),0)</f>
        <v>295122</v>
      </c>
      <c r="K118" s="69" t="n">
        <f aca="false">OFFSET(TblProd[[#This Row],[Lumber]],-1,0)+OFFSET(TblProd[[#This Row],[Lumber/hr]],-1,0) - TblProd[[#This Row],[Expenses Lumber]] + SUM(TblConstr[[#This Row],[Dest Hom]:[Dest Doc]])*TblConstr[[#This Row],[CPA Lumber -DB]]*tech_3_3_2*TblTech[[#This Row],[3-3]]</f>
        <v>48268</v>
      </c>
      <c r="L118" s="69" t="n">
        <f aca="false">OFFSET(TblProd[[#This Row],[Mana]],-1,0)+OFFSET(TblProd[[#This Row],[Mana/hr]],-1,0)- TblProd[[#This Row],[Expenses Mana]]</f>
        <v>190971</v>
      </c>
      <c r="M118" s="69" t="n">
        <f aca="false">OFFSET(TblProd[[#This Row],[Ore]],-1,0)+OFFSET(TblProd[[#This Row],[Ore/hr]],-1,0) -TblProd[[#This Row],[Expenses Ore]]</f>
        <v>-357</v>
      </c>
      <c r="N118" s="69" t="n">
        <f aca="false">OFFSET(TblProd[[#This Row],[Gems]],-1,0)+OFFSET(TblProd[[#This Row],[Gems/hr]],-1,0) - TblProd[[#This Row],[Expenses Gems]]</f>
        <v>-1000</v>
      </c>
      <c r="O118" s="69" t="n">
        <f aca="false">OFFSET(TblProd[[#This Row],[Boats]],-1,0)+OFFSET(TblProd[[#This Row],[Boats/hr]],-1,0)</f>
        <v>78.6500000000001</v>
      </c>
      <c r="P118" s="69" t="n">
        <f aca="false">OFFSET(TblProd[[#This Row],[Prestige]],-1,0)</f>
        <v>250</v>
      </c>
      <c r="Q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8" s="69" t="n">
        <f aca="false">MAX(3750,_xlfn.CEILING.MATH(TblProd[[#This Row],[Land]]*2.5+OFFSET(TblTech[[#This Row],[Sum of tech]],-1,0)*150))</f>
        <v>3750</v>
      </c>
      <c r="S118" s="132"/>
      <c r="T118" s="69" t="n">
        <f aca="false">ROUNDDOWN(TblProd[[#This Row],[Raw Plat/hr]]*(1+TblProd[[#This Row],[Bonus Plat/hr]]),0)</f>
        <v>30235</v>
      </c>
      <c r="U118" s="69" t="n">
        <f aca="false">ROUND(TblProd[[#This Row],[Raw Food/hr]]*(1+TblProd[[#This Row],[Bonus Food/hr]])-TblProd[[#This Row],[Food decay]]-TblProd[[#This Row],[Food eaten]],0)</f>
        <v>-2824</v>
      </c>
      <c r="V118" s="69" t="n">
        <f aca="false">ROUND(TblProd[[#This Row],[Raw Lumber/hr]]*(1+TblProd[[#This Row],[Bonus Lumber/hr]])-TblProd[[#This Row],[Lumber rot]],0)</f>
        <v>642</v>
      </c>
      <c r="W118" s="69" t="n">
        <f aca="false">ROUND(TblProd[[#This Row],[Raw Mana/hr]]*(1+TblProd[[#This Row],[Bonus Mana/hr]])-TblProd[[#This Row],[Mana drain]],0)</f>
        <v>-3094</v>
      </c>
      <c r="X118" s="69" t="n">
        <f aca="false">ROUNDDOWN(TblProd[[#This Row],[Raw Ore/hr]]*(1+TblProd[[#This Row],[Bonux Ore/hr]]),0)</f>
        <v>0</v>
      </c>
      <c r="Y118" s="69" t="n">
        <f aca="false">ROUNDDOWN(TblProd[[#This Row],[Raw Gems/hr]]*(1+TblProd[[#This Row],[Bonus Gems/hr]]),0)</f>
        <v>0</v>
      </c>
      <c r="Z118" s="148" t="n">
        <f aca="false">OFFSET(TblConstr[[#This Row],[Tot Doc]],1,0)*dock_boats_hr * (1 + tech_4_1*TblTech[[#This Row],[4-1]])</f>
        <v>1.2</v>
      </c>
      <c r="AA118" s="146"/>
      <c r="AB118" s="69" t="n">
        <f aca="false">TblPop[[#This Row],[Peasants]]*tax*TblPop[[#This Row],[Employment]] + (Construction!AZ119+Construction!BX119)*(alch_plat+(Magic!AM118&gt;0)*alchemist_flame_bonus)</f>
        <v>30235.5</v>
      </c>
      <c r="AC118" s="69" t="n">
        <f aca="false">TblConstr[[#This Row],[Tot Farm]]*farm_food + TblConstr[[#This Row],[Tot Doc]]*dock_food</f>
        <v>3280</v>
      </c>
      <c r="AD118" s="69" t="n">
        <f aca="false">TblConstr[[#This Row],[Tot Ly]]*ly_lumber + TblConstr[[#This Row],[Tot Hav]]*fh_lumber</f>
        <v>1250</v>
      </c>
      <c r="AE118" s="69" t="n">
        <f aca="false">OFFSET(TblConstr[[#This Row],[Tot Tow]],1,0)*(tower_mana + tech_4_5*TblTech[[#This Row],[4-5]]) + OFFSET(TblConstr[[#This Row],[Tot WG]],1,0)*wg_mana_prod</f>
        <v>725</v>
      </c>
      <c r="AF118" s="69" t="n">
        <f aca="false">OFFSET(TblConstr[[#This Row],[Tot OM]],1,0)*om_ore+IF(race="Dwarf",ROUNDDOWN(TblMili[[#This Row],[Unit 2]]*0.4,0),)</f>
        <v>0</v>
      </c>
      <c r="AG118" s="69" t="n">
        <f aca="false">OFFSET(TblConstr[[#This Row],[Tot DM]],1,0)*dm_gems</f>
        <v>0</v>
      </c>
      <c r="AH118" s="132"/>
      <c r="AI118" s="149" t="n">
        <f aca="false">MIN(race_platinum_bonus + IF(TblMagic[[#This Row],[Active Alch Frost]]&gt;0,alch_frost_bonus,IF(Magic!AD118&gt;0,midas_bonus)) + TblImps[[#This Row],[Science]] - TblProd[[#This Row],[Guard]]*(0.02 + tech_5_7*TblTech[[#This Row],[5-7]]) + tech_1_5*TblTech[[#This Row],[1-5]] + tech_4_4*TblTech[[#This Row],[4-4]], 0.5)</f>
        <v>0</v>
      </c>
      <c r="AJ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8" s="149" t="n">
        <f aca="false">race_lumber_bonus+ IF(TblMagic[[#This Row],[Active Gaia''s Blessing]]&gt;0,gaias_blessing_lumber)+ tech_1_3*TblTech[[#This Row],[1-3]] + tech_1_6*TblTech[[#This Row],[1-6]] + tech_3_3*TblTech[[#This Row],[3-3]]</f>
        <v>-0.1</v>
      </c>
      <c r="AL118" s="149" t="n">
        <f aca="false">race_mana_bonus+ 0 + TblImps[[#This Row],[Towers]] + tech_1_2*TblTech[[#This Row],[1-2]] + tech_3_4*TblTech[[#This Row],[3-4]]</f>
        <v>0</v>
      </c>
      <c r="AM118" s="149" t="n">
        <f aca="false">race_ore_bonus + IF(TblMagic[[#This Row],[Active Miner''s Sight]]&gt;0,miners_sight_bonus,IF(TblMagic[[#This Row],[Active Mining Strength]]&gt;0,mining_strength_bonus)) +  tech_1_6*TblTech[[#This Row],[1-6]]</f>
        <v>0</v>
      </c>
      <c r="AN118" s="149" t="n">
        <f aca="false">race_gem_bonus+ tech_3_2*TblTech[[#This Row],[3-2]] + tech_4_3*TblTech[[#This Row],[4-3]] + tech_6_2*TblTech[[#This Row],[6-2]]</f>
        <v>0.15</v>
      </c>
      <c r="AO118" s="132"/>
      <c r="AP118" s="69" t="n">
        <f aca="false">TblProd[[#This Row],[Food]]*food_decay * (1 + tech_2_1*TblTech[[#This Row],[2-1]] + tech_2_8*TblTech[[#This Row],[2-8]])</f>
        <v>2951.22</v>
      </c>
      <c r="AQ118" s="69" t="n">
        <f aca="false">(1+race_food_consumption)*TblPop[[#This Row],[Total]]*food_per_person*(1+tech_1_10*TblTech[[#This Row],[1-10]]+tech_7_5*TblTech[[#This Row],[7-5]])</f>
        <v>3234.75</v>
      </c>
      <c r="AR118" s="69" t="n">
        <f aca="false">TblProd[[#This Row],[Lumber]]*lumber_rot * (1 + tech_2_1*TblTech[[#This Row],[2-1]] + tech_2_8*TblTech[[#This Row],[2-8]] + tech_5_2*TblTech[[#This Row],[5-2]])</f>
        <v>482.68</v>
      </c>
      <c r="AS118" s="69" t="n">
        <f aca="false">TblProd[[#This Row],[Mana]]*mana_drain * (1 + tech_2_1*TblTech[[#This Row],[2-1]] + tech_2_8*TblTech[[#This Row],[2-8]])</f>
        <v>3819.42</v>
      </c>
      <c r="AT118" s="146"/>
      <c r="AU118" s="69" t="n">
        <f aca="false">TblExplore[[#This Row],[Platinum (2)]]+TblConstr[[#This Row],[Total Plat Cost]]+TblMili[[#This Row],[Plat Cost]]+TblRezone[[#This Row],[Platinum cost]]+TblImps[[#This Row],[P1]]-TblProd[[#This Row],[Bank Plat]]</f>
        <v>0</v>
      </c>
      <c r="AV118" s="69" t="n">
        <f aca="false">TblConstr[[#This Row],[Total Lum Cost]]+TblImps[[#This Row],[L1]]-TblProd[[#This Row],[Bank Lumber]] + Military!$CL$25*TblMili[[#This Row],[Sec. rec. Cost]]</f>
        <v>0</v>
      </c>
      <c r="AW118" s="69" t="n">
        <f aca="false">TblMagic[[#This Row],[Mana cost]] + Military!$CL$26*TblMili[[#This Row],[Sec. rec. Cost]]</f>
        <v>0</v>
      </c>
      <c r="AX118" s="69" t="n">
        <f aca="false">Military!$CL$24*TblMili[[#This Row],[Sec. rec. Cost]]+TblImps[[#This Row],[O1]]-TblProd[[#This Row],[Bank Ore]]</f>
        <v>0</v>
      </c>
      <c r="AY118" s="69" t="n">
        <f aca="false">TblImps[[#This Row],[G1]]-TblProd[[#This Row],[Bank Gems]]</f>
        <v>0</v>
      </c>
      <c r="AZ118" s="132"/>
      <c r="BA118" s="33" t="n">
        <f aca="false">IF(TblProd[[#This Row],[Set Guard]]&lt;&gt;"",TblProd[[#This Row],[Set Guard]],OFFSET(TblProd[[#This Row],[Guard]],-1,0))</f>
        <v>0</v>
      </c>
      <c r="BB118" s="145"/>
      <c r="BC118" s="151" t="n">
        <f aca="false">TblProd[[#This Row],[Hour]]</f>
        <v>43</v>
      </c>
      <c r="BD118" s="152" t="n">
        <f aca="false">-TblProd[[#This Row],[Bank Lumber]] / 2 + -TblProd[[#This Row],[Bank Gems]] * 2 + -TblProd[[#This Row],[Bank Ore]] / 2</f>
        <v>0</v>
      </c>
      <c r="BE118" s="152"/>
      <c r="BF118" s="152"/>
      <c r="BG118" s="152"/>
      <c r="BH118" s="153" t="n">
        <f aca="false">TblProd[[#This Row],[Time]]</f>
        <v>45434.5</v>
      </c>
      <c r="BI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J118" s="69" t="n">
        <f aca="false">TblProd[[#This Row],[Platinum]]</f>
        <v>1687717</v>
      </c>
      <c r="BK118" s="69" t="n">
        <f aca="false">TblProd[[#This Row],[Food]]</f>
        <v>295122</v>
      </c>
      <c r="BL118" s="69" t="n">
        <f aca="false">TblProd[[#This Row],[Lumber]]</f>
        <v>48268</v>
      </c>
      <c r="BM118" s="69" t="n">
        <f aca="false">TblProd[[#This Row],[Mana]]</f>
        <v>190971</v>
      </c>
      <c r="BN118" s="69" t="n">
        <f aca="false">TblProd[[#This Row],[Ore]]</f>
        <v>-357</v>
      </c>
    </row>
    <row r="119" customFormat="false" ht="12.75" hidden="false" customHeight="false" outlineLevel="0" collapsed="false">
      <c r="A119" s="128" t="n">
        <v>44</v>
      </c>
      <c r="B119" s="144" t="n">
        <f aca="false">TblImps[[#This Row],[Time]]</f>
        <v>45434.5416666667</v>
      </c>
      <c r="C119" s="145"/>
      <c r="D119" s="146"/>
      <c r="E119" s="69" t="n">
        <f aca="false">TblConstr[[#This Row],[Land]]</f>
        <v>700</v>
      </c>
      <c r="F119" s="69" t="n">
        <f aca="false">TblPop[[#This Row],[Peasants]]</f>
        <v>6549</v>
      </c>
      <c r="G119" s="69"/>
      <c r="H119" s="69" t="e">
        <f aca="false">TblMili[[#This Row],[Networth (2)]]</f>
        <v>#VALUE!</v>
      </c>
      <c r="I119" s="69" t="n">
        <f aca="false">OFFSET(TblProd[[#This Row],[Platinum]],-1,0)+OFFSET(TblProd[[#This Row],[Plat/hr]],-1,0) - TblProd[[#This Row],[Expenses Platinum]] + IF(TblProd[[#This Row],[Plat Bonus]],TblPop[[#This Row],[Peasants]]*4) + SUM(TblConstr[[#This Row],[Dest Hom]:[Dest Doc]])*TblConstr[[#This Row],[CPA Platinum -DB]]*tech_3_3_2*TblTech[[#This Row],[3-3]]</f>
        <v>1717952</v>
      </c>
      <c r="J119" s="69" t="n">
        <f aca="false">OFFSET(TblProd[[#This Row],[Food]],-1,0)+OFFSET(TblProd[[#This Row],[Food/hr]],-1,0)+ROUNDUP((TblConstr[[#This Row],[Farms]]*80+TblConstr[[#This Row],[Docks]]*35)*(1+OFFSET(TblProd[[#This Row],[Bonus Food/hr]],-1,0)),0)</f>
        <v>292298</v>
      </c>
      <c r="K119" s="69" t="n">
        <f aca="false">OFFSET(TblProd[[#This Row],[Lumber]],-1,0)+OFFSET(TblProd[[#This Row],[Lumber/hr]],-1,0) - TblProd[[#This Row],[Expenses Lumber]] + SUM(TblConstr[[#This Row],[Dest Hom]:[Dest Doc]])*TblConstr[[#This Row],[CPA Lumber -DB]]*tech_3_3_2*TblTech[[#This Row],[3-3]]</f>
        <v>48910</v>
      </c>
      <c r="L119" s="69" t="n">
        <f aca="false">OFFSET(TblProd[[#This Row],[Mana]],-1,0)+OFFSET(TblProd[[#This Row],[Mana/hr]],-1,0)- TblProd[[#This Row],[Expenses Mana]]</f>
        <v>187877</v>
      </c>
      <c r="M119" s="69" t="n">
        <f aca="false">OFFSET(TblProd[[#This Row],[Ore]],-1,0)+OFFSET(TblProd[[#This Row],[Ore/hr]],-1,0) -TblProd[[#This Row],[Expenses Ore]]</f>
        <v>-357</v>
      </c>
      <c r="N119" s="69" t="n">
        <f aca="false">OFFSET(TblProd[[#This Row],[Gems]],-1,0)+OFFSET(TblProd[[#This Row],[Gems/hr]],-1,0) - TblProd[[#This Row],[Expenses Gems]]</f>
        <v>-1000</v>
      </c>
      <c r="O119" s="69" t="n">
        <f aca="false">OFFSET(TblProd[[#This Row],[Boats]],-1,0)+OFFSET(TblProd[[#This Row],[Boats/hr]],-1,0)</f>
        <v>79.8500000000001</v>
      </c>
      <c r="P119" s="69" t="n">
        <f aca="false">OFFSET(TblProd[[#This Row],[Prestige]],-1,0)</f>
        <v>250</v>
      </c>
      <c r="Q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9" s="69" t="n">
        <f aca="false">MAX(3750,_xlfn.CEILING.MATH(TblProd[[#This Row],[Land]]*2.5+OFFSET(TblTech[[#This Row],[Sum of tech]],-1,0)*150))</f>
        <v>3750</v>
      </c>
      <c r="S119" s="132"/>
      <c r="T119" s="69" t="n">
        <f aca="false">ROUNDDOWN(TblProd[[#This Row],[Raw Plat/hr]]*(1+TblProd[[#This Row],[Bonus Plat/hr]]),0)</f>
        <v>30057</v>
      </c>
      <c r="U119" s="69" t="n">
        <f aca="false">ROUND(TblProd[[#This Row],[Raw Food/hr]]*(1+TblProd[[#This Row],[Bonus Food/hr]])-TblProd[[#This Row],[Food decay]]-TblProd[[#This Row],[Food eaten]],0)</f>
        <v>-2796</v>
      </c>
      <c r="V119" s="69" t="n">
        <f aca="false">ROUND(TblProd[[#This Row],[Raw Lumber/hr]]*(1+TblProd[[#This Row],[Bonus Lumber/hr]])-TblProd[[#This Row],[Lumber rot]],0)</f>
        <v>636</v>
      </c>
      <c r="W119" s="69" t="n">
        <f aca="false">ROUND(TblProd[[#This Row],[Raw Mana/hr]]*(1+TblProd[[#This Row],[Bonus Mana/hr]])-TblProd[[#This Row],[Mana drain]],0)</f>
        <v>-3033</v>
      </c>
      <c r="X119" s="69" t="n">
        <f aca="false">ROUNDDOWN(TblProd[[#This Row],[Raw Ore/hr]]*(1+TblProd[[#This Row],[Bonux Ore/hr]]),0)</f>
        <v>0</v>
      </c>
      <c r="Y119" s="69" t="n">
        <f aca="false">ROUNDDOWN(TblProd[[#This Row],[Raw Gems/hr]]*(1+TblProd[[#This Row],[Bonus Gems/hr]]),0)</f>
        <v>0</v>
      </c>
      <c r="Z119" s="148" t="n">
        <f aca="false">OFFSET(TblConstr[[#This Row],[Tot Doc]],1,0)*dock_boats_hr * (1 + tech_4_1*TblTech[[#This Row],[4-1]])</f>
        <v>1.2</v>
      </c>
      <c r="AA119" s="146"/>
      <c r="AB119" s="69" t="n">
        <f aca="false">TblPop[[#This Row],[Peasants]]*tax*TblPop[[#This Row],[Employment]] + (Construction!AZ120+Construction!BX120)*(alch_plat+(Magic!AM119&gt;0)*alchemist_flame_bonus)</f>
        <v>30057.3</v>
      </c>
      <c r="AC119" s="69" t="n">
        <f aca="false">TblConstr[[#This Row],[Tot Farm]]*farm_food + TblConstr[[#This Row],[Tot Doc]]*dock_food</f>
        <v>3280</v>
      </c>
      <c r="AD119" s="69" t="n">
        <f aca="false">TblConstr[[#This Row],[Tot Ly]]*ly_lumber + TblConstr[[#This Row],[Tot Hav]]*fh_lumber</f>
        <v>1250</v>
      </c>
      <c r="AE119" s="69" t="n">
        <f aca="false">OFFSET(TblConstr[[#This Row],[Tot Tow]],1,0)*(tower_mana + tech_4_5*TblTech[[#This Row],[4-5]]) + OFFSET(TblConstr[[#This Row],[Tot WG]],1,0)*wg_mana_prod</f>
        <v>725</v>
      </c>
      <c r="AF119" s="69" t="n">
        <f aca="false">OFFSET(TblConstr[[#This Row],[Tot OM]],1,0)*om_ore+IF(race="Dwarf",ROUNDDOWN(TblMili[[#This Row],[Unit 2]]*0.4,0),)</f>
        <v>0</v>
      </c>
      <c r="AG119" s="69" t="n">
        <f aca="false">OFFSET(TblConstr[[#This Row],[Tot DM]],1,0)*dm_gems</f>
        <v>0</v>
      </c>
      <c r="AH119" s="132"/>
      <c r="AI119" s="149" t="n">
        <f aca="false">MIN(race_platinum_bonus + IF(TblMagic[[#This Row],[Active Alch Frost]]&gt;0,alch_frost_bonus,IF(Magic!AD119&gt;0,midas_bonus)) + TblImps[[#This Row],[Science]] - TblProd[[#This Row],[Guard]]*(0.02 + tech_5_7*TblTech[[#This Row],[5-7]]) + tech_1_5*TblTech[[#This Row],[1-5]] + tech_4_4*TblTech[[#This Row],[4-4]], 0.5)</f>
        <v>0</v>
      </c>
      <c r="AJ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9" s="149" t="n">
        <f aca="false">race_lumber_bonus+ IF(TblMagic[[#This Row],[Active Gaia''s Blessing]]&gt;0,gaias_blessing_lumber)+ tech_1_3*TblTech[[#This Row],[1-3]] + tech_1_6*TblTech[[#This Row],[1-6]] + tech_3_3*TblTech[[#This Row],[3-3]]</f>
        <v>-0.1</v>
      </c>
      <c r="AL119" s="149" t="n">
        <f aca="false">race_mana_bonus+ 0 + TblImps[[#This Row],[Towers]] + tech_1_2*TblTech[[#This Row],[1-2]] + tech_3_4*TblTech[[#This Row],[3-4]]</f>
        <v>0</v>
      </c>
      <c r="AM119" s="149" t="n">
        <f aca="false">race_ore_bonus + IF(TblMagic[[#This Row],[Active Miner''s Sight]]&gt;0,miners_sight_bonus,IF(TblMagic[[#This Row],[Active Mining Strength]]&gt;0,mining_strength_bonus)) +  tech_1_6*TblTech[[#This Row],[1-6]]</f>
        <v>0</v>
      </c>
      <c r="AN119" s="149" t="n">
        <f aca="false">race_gem_bonus+ tech_3_2*TblTech[[#This Row],[3-2]] + tech_4_3*TblTech[[#This Row],[4-3]] + tech_6_2*TblTech[[#This Row],[6-2]]</f>
        <v>0.15</v>
      </c>
      <c r="AO119" s="132"/>
      <c r="AP119" s="69" t="n">
        <f aca="false">TblProd[[#This Row],[Food]]*food_decay * (1 + tech_2_1*TblTech[[#This Row],[2-1]] + tech_2_8*TblTech[[#This Row],[2-8]])</f>
        <v>2922.98</v>
      </c>
      <c r="AQ119" s="69" t="n">
        <f aca="false">(1+race_food_consumption)*TblPop[[#This Row],[Total]]*food_per_person*(1+tech_1_10*TblTech[[#This Row],[1-10]]+tech_7_5*TblTech[[#This Row],[7-5]])</f>
        <v>3234.75</v>
      </c>
      <c r="AR119" s="69" t="n">
        <f aca="false">TblProd[[#This Row],[Lumber]]*lumber_rot * (1 + tech_2_1*TblTech[[#This Row],[2-1]] + tech_2_8*TblTech[[#This Row],[2-8]] + tech_5_2*TblTech[[#This Row],[5-2]])</f>
        <v>489.1</v>
      </c>
      <c r="AS119" s="69" t="n">
        <f aca="false">TblProd[[#This Row],[Mana]]*mana_drain * (1 + tech_2_1*TblTech[[#This Row],[2-1]] + tech_2_8*TblTech[[#This Row],[2-8]])</f>
        <v>3757.54</v>
      </c>
      <c r="AT119" s="146"/>
      <c r="AU119" s="69" t="n">
        <f aca="false">TblExplore[[#This Row],[Platinum (2)]]+TblConstr[[#This Row],[Total Plat Cost]]+TblMili[[#This Row],[Plat Cost]]+TblRezone[[#This Row],[Platinum cost]]+TblImps[[#This Row],[P1]]-TblProd[[#This Row],[Bank Plat]]</f>
        <v>0</v>
      </c>
      <c r="AV119" s="69" t="n">
        <f aca="false">TblConstr[[#This Row],[Total Lum Cost]]+TblImps[[#This Row],[L1]]-TblProd[[#This Row],[Bank Lumber]] + Military!$CL$25*TblMili[[#This Row],[Sec. rec. Cost]]</f>
        <v>0</v>
      </c>
      <c r="AW119" s="69" t="n">
        <f aca="false">TblMagic[[#This Row],[Mana cost]] + Military!$CL$26*TblMili[[#This Row],[Sec. rec. Cost]]</f>
        <v>0</v>
      </c>
      <c r="AX119" s="69" t="n">
        <f aca="false">Military!$CL$24*TblMili[[#This Row],[Sec. rec. Cost]]+TblImps[[#This Row],[O1]]-TblProd[[#This Row],[Bank Ore]]</f>
        <v>0</v>
      </c>
      <c r="AY119" s="69" t="n">
        <f aca="false">TblImps[[#This Row],[G1]]-TblProd[[#This Row],[Bank Gems]]</f>
        <v>0</v>
      </c>
      <c r="AZ119" s="132"/>
      <c r="BA119" s="33" t="n">
        <f aca="false">IF(TblProd[[#This Row],[Set Guard]]&lt;&gt;"",TblProd[[#This Row],[Set Guard]],OFFSET(TblProd[[#This Row],[Guard]],-1,0))</f>
        <v>0</v>
      </c>
      <c r="BB119" s="145"/>
      <c r="BC119" s="151" t="n">
        <f aca="false">TblProd[[#This Row],[Hour]]</f>
        <v>44</v>
      </c>
      <c r="BD119" s="152" t="n">
        <f aca="false">-TblProd[[#This Row],[Bank Lumber]] / 2 + -TblProd[[#This Row],[Bank Gems]] * 2 + -TblProd[[#This Row],[Bank Ore]] / 2</f>
        <v>0</v>
      </c>
      <c r="BE119" s="152"/>
      <c r="BF119" s="152"/>
      <c r="BG119" s="152"/>
      <c r="BH119" s="153" t="n">
        <f aca="false">TblProd[[#This Row],[Time]]</f>
        <v>45434.5416666667</v>
      </c>
      <c r="BI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J119" s="69" t="n">
        <f aca="false">TblProd[[#This Row],[Platinum]]</f>
        <v>1717952</v>
      </c>
      <c r="BK119" s="69" t="n">
        <f aca="false">TblProd[[#This Row],[Food]]</f>
        <v>292298</v>
      </c>
      <c r="BL119" s="69" t="n">
        <f aca="false">TblProd[[#This Row],[Lumber]]</f>
        <v>48910</v>
      </c>
      <c r="BM119" s="69" t="n">
        <f aca="false">TblProd[[#This Row],[Mana]]</f>
        <v>187877</v>
      </c>
      <c r="BN119" s="69" t="n">
        <f aca="false">TblProd[[#This Row],[Ore]]</f>
        <v>-357</v>
      </c>
    </row>
    <row r="120" customFormat="false" ht="12.75" hidden="false" customHeight="false" outlineLevel="0" collapsed="false">
      <c r="A120" s="128" t="n">
        <v>45</v>
      </c>
      <c r="B120" s="144" t="n">
        <f aca="false">TblImps[[#This Row],[Time]]</f>
        <v>45434.5833333333</v>
      </c>
      <c r="C120" s="145"/>
      <c r="D120" s="146"/>
      <c r="E120" s="69" t="n">
        <f aca="false">TblConstr[[#This Row],[Land]]</f>
        <v>700</v>
      </c>
      <c r="F120" s="69" t="n">
        <f aca="false">TblPop[[#This Row],[Peasants]]</f>
        <v>6484</v>
      </c>
      <c r="G120" s="69"/>
      <c r="H120" s="69" t="e">
        <f aca="false">TblMili[[#This Row],[Networth (2)]]</f>
        <v>#VALUE!</v>
      </c>
      <c r="I120" s="69" t="n">
        <f aca="false">OFFSET(TblProd[[#This Row],[Platinum]],-1,0)+OFFSET(TblProd[[#This Row],[Plat/hr]],-1,0) - TblProd[[#This Row],[Expenses Platinum]] + IF(TblProd[[#This Row],[Plat Bonus]],TblPop[[#This Row],[Peasants]]*4) + SUM(TblConstr[[#This Row],[Dest Hom]:[Dest Doc]])*TblConstr[[#This Row],[CPA Platinum -DB]]*tech_3_3_2*TblTech[[#This Row],[3-3]]</f>
        <v>1748009</v>
      </c>
      <c r="J120" s="69" t="n">
        <f aca="false">OFFSET(TblProd[[#This Row],[Food]],-1,0)+OFFSET(TblProd[[#This Row],[Food/hr]],-1,0)+ROUNDUP((TblConstr[[#This Row],[Farms]]*80+TblConstr[[#This Row],[Docks]]*35)*(1+OFFSET(TblProd[[#This Row],[Bonus Food/hr]],-1,0)),0)</f>
        <v>289502</v>
      </c>
      <c r="K120" s="69" t="n">
        <f aca="false">OFFSET(TblProd[[#This Row],[Lumber]],-1,0)+OFFSET(TblProd[[#This Row],[Lumber/hr]],-1,0) - TblProd[[#This Row],[Expenses Lumber]] + SUM(TblConstr[[#This Row],[Dest Hom]:[Dest Doc]])*TblConstr[[#This Row],[CPA Lumber -DB]]*tech_3_3_2*TblTech[[#This Row],[3-3]]</f>
        <v>49546</v>
      </c>
      <c r="L120" s="69" t="n">
        <f aca="false">OFFSET(TblProd[[#This Row],[Mana]],-1,0)+OFFSET(TblProd[[#This Row],[Mana/hr]],-1,0)- TblProd[[#This Row],[Expenses Mana]]</f>
        <v>184844</v>
      </c>
      <c r="M120" s="69" t="n">
        <f aca="false">OFFSET(TblProd[[#This Row],[Ore]],-1,0)+OFFSET(TblProd[[#This Row],[Ore/hr]],-1,0) -TblProd[[#This Row],[Expenses Ore]]</f>
        <v>-357</v>
      </c>
      <c r="N120" s="69" t="n">
        <f aca="false">OFFSET(TblProd[[#This Row],[Gems]],-1,0)+OFFSET(TblProd[[#This Row],[Gems/hr]],-1,0) - TblProd[[#This Row],[Expenses Gems]]</f>
        <v>-1000</v>
      </c>
      <c r="O120" s="69" t="n">
        <f aca="false">OFFSET(TblProd[[#This Row],[Boats]],-1,0)+OFFSET(TblProd[[#This Row],[Boats/hr]],-1,0)</f>
        <v>81.0500000000001</v>
      </c>
      <c r="P120" s="69" t="n">
        <f aca="false">OFFSET(TblProd[[#This Row],[Prestige]],-1,0)</f>
        <v>250</v>
      </c>
      <c r="Q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0" s="69" t="n">
        <f aca="false">MAX(3750,_xlfn.CEILING.MATH(TblProd[[#This Row],[Land]]*2.5+OFFSET(TblTech[[#This Row],[Sum of tech]],-1,0)*150))</f>
        <v>3750</v>
      </c>
      <c r="S120" s="132"/>
      <c r="T120" s="69" t="n">
        <f aca="false">ROUNDDOWN(TblProd[[#This Row],[Raw Plat/hr]]*(1+TblProd[[#This Row],[Bonus Plat/hr]]),0)</f>
        <v>29881</v>
      </c>
      <c r="U120" s="69" t="n">
        <f aca="false">ROUND(TblProd[[#This Row],[Raw Food/hr]]*(1+TblProd[[#This Row],[Bonus Food/hr]])-TblProd[[#This Row],[Food decay]]-TblProd[[#This Row],[Food eaten]],0)</f>
        <v>-2768</v>
      </c>
      <c r="V120" s="69" t="n">
        <f aca="false">ROUND(TblProd[[#This Row],[Raw Lumber/hr]]*(1+TblProd[[#This Row],[Bonus Lumber/hr]])-TblProd[[#This Row],[Lumber rot]],0)</f>
        <v>630</v>
      </c>
      <c r="W120" s="69" t="n">
        <f aca="false">ROUND(TblProd[[#This Row],[Raw Mana/hr]]*(1+TblProd[[#This Row],[Bonus Mana/hr]])-TblProd[[#This Row],[Mana drain]],0)</f>
        <v>-2972</v>
      </c>
      <c r="X120" s="69" t="n">
        <f aca="false">ROUNDDOWN(TblProd[[#This Row],[Raw Ore/hr]]*(1+TblProd[[#This Row],[Bonux Ore/hr]]),0)</f>
        <v>0</v>
      </c>
      <c r="Y120" s="69" t="n">
        <f aca="false">ROUNDDOWN(TblProd[[#This Row],[Raw Gems/hr]]*(1+TblProd[[#This Row],[Bonus Gems/hr]]),0)</f>
        <v>0</v>
      </c>
      <c r="Z120" s="148" t="n">
        <f aca="false">OFFSET(TblConstr[[#This Row],[Tot Doc]],1,0)*dock_boats_hr * (1 + tech_4_1*TblTech[[#This Row],[4-1]])</f>
        <v>1.2</v>
      </c>
      <c r="AA120" s="146"/>
      <c r="AB120" s="69" t="n">
        <f aca="false">TblPop[[#This Row],[Peasants]]*tax*TblPop[[#This Row],[Employment]] + (Construction!AZ121+Construction!BX121)*(alch_plat+(Magic!AM120&gt;0)*alchemist_flame_bonus)</f>
        <v>29881.8</v>
      </c>
      <c r="AC120" s="69" t="n">
        <f aca="false">TblConstr[[#This Row],[Tot Farm]]*farm_food + TblConstr[[#This Row],[Tot Doc]]*dock_food</f>
        <v>3280</v>
      </c>
      <c r="AD120" s="69" t="n">
        <f aca="false">TblConstr[[#This Row],[Tot Ly]]*ly_lumber + TblConstr[[#This Row],[Tot Hav]]*fh_lumber</f>
        <v>1250</v>
      </c>
      <c r="AE120" s="69" t="n">
        <f aca="false">OFFSET(TblConstr[[#This Row],[Tot Tow]],1,0)*(tower_mana + tech_4_5*TblTech[[#This Row],[4-5]]) + OFFSET(TblConstr[[#This Row],[Tot WG]],1,0)*wg_mana_prod</f>
        <v>725</v>
      </c>
      <c r="AF120" s="69" t="n">
        <f aca="false">OFFSET(TblConstr[[#This Row],[Tot OM]],1,0)*om_ore+IF(race="Dwarf",ROUNDDOWN(TblMili[[#This Row],[Unit 2]]*0.4,0),)</f>
        <v>0</v>
      </c>
      <c r="AG120" s="69" t="n">
        <f aca="false">OFFSET(TblConstr[[#This Row],[Tot DM]],1,0)*dm_gems</f>
        <v>0</v>
      </c>
      <c r="AH120" s="132"/>
      <c r="AI120" s="149" t="n">
        <f aca="false">MIN(race_platinum_bonus + IF(TblMagic[[#This Row],[Active Alch Frost]]&gt;0,alch_frost_bonus,IF(Magic!AD120&gt;0,midas_bonus)) + TblImps[[#This Row],[Science]] - TblProd[[#This Row],[Guard]]*(0.02 + tech_5_7*TblTech[[#This Row],[5-7]]) + tech_1_5*TblTech[[#This Row],[1-5]] + tech_4_4*TblTech[[#This Row],[4-4]], 0.5)</f>
        <v>0</v>
      </c>
      <c r="AJ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0" s="149" t="n">
        <f aca="false">race_lumber_bonus+ IF(TblMagic[[#This Row],[Active Gaia''s Blessing]]&gt;0,gaias_blessing_lumber)+ tech_1_3*TblTech[[#This Row],[1-3]] + tech_1_6*TblTech[[#This Row],[1-6]] + tech_3_3*TblTech[[#This Row],[3-3]]</f>
        <v>-0.1</v>
      </c>
      <c r="AL120" s="149" t="n">
        <f aca="false">race_mana_bonus+ 0 + TblImps[[#This Row],[Towers]] + tech_1_2*TblTech[[#This Row],[1-2]] + tech_3_4*TblTech[[#This Row],[3-4]]</f>
        <v>0</v>
      </c>
      <c r="AM120" s="149" t="n">
        <f aca="false">race_ore_bonus + IF(TblMagic[[#This Row],[Active Miner''s Sight]]&gt;0,miners_sight_bonus,IF(TblMagic[[#This Row],[Active Mining Strength]]&gt;0,mining_strength_bonus)) +  tech_1_6*TblTech[[#This Row],[1-6]]</f>
        <v>0</v>
      </c>
      <c r="AN120" s="149" t="n">
        <f aca="false">race_gem_bonus+ tech_3_2*TblTech[[#This Row],[3-2]] + tech_4_3*TblTech[[#This Row],[4-3]] + tech_6_2*TblTech[[#This Row],[6-2]]</f>
        <v>0.15</v>
      </c>
      <c r="AO120" s="132"/>
      <c r="AP120" s="69" t="n">
        <f aca="false">TblProd[[#This Row],[Food]]*food_decay * (1 + tech_2_1*TblTech[[#This Row],[2-1]] + tech_2_8*TblTech[[#This Row],[2-8]])</f>
        <v>2895.02</v>
      </c>
      <c r="AQ120" s="69" t="n">
        <f aca="false">(1+race_food_consumption)*TblPop[[#This Row],[Total]]*food_per_person*(1+tech_1_10*TblTech[[#This Row],[1-10]]+tech_7_5*TblTech[[#This Row],[7-5]])</f>
        <v>3234.75</v>
      </c>
      <c r="AR120" s="69" t="n">
        <f aca="false">TblProd[[#This Row],[Lumber]]*lumber_rot * (1 + tech_2_1*TblTech[[#This Row],[2-1]] + tech_2_8*TblTech[[#This Row],[2-8]] + tech_5_2*TblTech[[#This Row],[5-2]])</f>
        <v>495.46</v>
      </c>
      <c r="AS120" s="69" t="n">
        <f aca="false">TblProd[[#This Row],[Mana]]*mana_drain * (1 + tech_2_1*TblTech[[#This Row],[2-1]] + tech_2_8*TblTech[[#This Row],[2-8]])</f>
        <v>3696.88</v>
      </c>
      <c r="AT120" s="146"/>
      <c r="AU120" s="69" t="n">
        <f aca="false">TblExplore[[#This Row],[Platinum (2)]]+TblConstr[[#This Row],[Total Plat Cost]]+TblMili[[#This Row],[Plat Cost]]+TblRezone[[#This Row],[Platinum cost]]+TblImps[[#This Row],[P1]]-TblProd[[#This Row],[Bank Plat]]</f>
        <v>0</v>
      </c>
      <c r="AV120" s="69" t="n">
        <f aca="false">TblConstr[[#This Row],[Total Lum Cost]]+TblImps[[#This Row],[L1]]-TblProd[[#This Row],[Bank Lumber]] + Military!$CL$25*TblMili[[#This Row],[Sec. rec. Cost]]</f>
        <v>0</v>
      </c>
      <c r="AW120" s="69" t="n">
        <f aca="false">TblMagic[[#This Row],[Mana cost]] + Military!$CL$26*TblMili[[#This Row],[Sec. rec. Cost]]</f>
        <v>0</v>
      </c>
      <c r="AX120" s="69" t="n">
        <f aca="false">Military!$CL$24*TblMili[[#This Row],[Sec. rec. Cost]]+TblImps[[#This Row],[O1]]-TblProd[[#This Row],[Bank Ore]]</f>
        <v>0</v>
      </c>
      <c r="AY120" s="69" t="n">
        <f aca="false">TblImps[[#This Row],[G1]]-TblProd[[#This Row],[Bank Gems]]</f>
        <v>0</v>
      </c>
      <c r="AZ120" s="132"/>
      <c r="BA120" s="33" t="n">
        <f aca="false">IF(TblProd[[#This Row],[Set Guard]]&lt;&gt;"",TblProd[[#This Row],[Set Guard]],OFFSET(TblProd[[#This Row],[Guard]],-1,0))</f>
        <v>0</v>
      </c>
      <c r="BB120" s="145"/>
      <c r="BC120" s="151" t="n">
        <f aca="false">TblProd[[#This Row],[Hour]]</f>
        <v>45</v>
      </c>
      <c r="BD120" s="152" t="n">
        <f aca="false">-TblProd[[#This Row],[Bank Lumber]] / 2 + -TblProd[[#This Row],[Bank Gems]] * 2 + -TblProd[[#This Row],[Bank Ore]] / 2</f>
        <v>0</v>
      </c>
      <c r="BE120" s="152"/>
      <c r="BF120" s="152"/>
      <c r="BG120" s="152"/>
      <c r="BH120" s="153" t="n">
        <f aca="false">TblProd[[#This Row],[Time]]</f>
        <v>45434.5833333333</v>
      </c>
      <c r="BI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J120" s="69" t="n">
        <f aca="false">TblProd[[#This Row],[Platinum]]</f>
        <v>1748009</v>
      </c>
      <c r="BK120" s="69" t="n">
        <f aca="false">TblProd[[#This Row],[Food]]</f>
        <v>289502</v>
      </c>
      <c r="BL120" s="69" t="n">
        <f aca="false">TblProd[[#This Row],[Lumber]]</f>
        <v>49546</v>
      </c>
      <c r="BM120" s="69" t="n">
        <f aca="false">TblProd[[#This Row],[Mana]]</f>
        <v>184844</v>
      </c>
      <c r="BN120" s="69" t="n">
        <f aca="false">TblProd[[#This Row],[Ore]]</f>
        <v>-357</v>
      </c>
    </row>
    <row r="121" customFormat="false" ht="12.75" hidden="false" customHeight="false" outlineLevel="0" collapsed="false">
      <c r="A121" s="128" t="n">
        <v>46</v>
      </c>
      <c r="B121" s="144" t="n">
        <f aca="false">TblImps[[#This Row],[Time]]</f>
        <v>45434.625</v>
      </c>
      <c r="C121" s="145"/>
      <c r="D121" s="146"/>
      <c r="E121" s="69" t="n">
        <f aca="false">TblConstr[[#This Row],[Land]]</f>
        <v>700</v>
      </c>
      <c r="F121" s="69" t="n">
        <f aca="false">TblPop[[#This Row],[Peasants]]</f>
        <v>6419</v>
      </c>
      <c r="G121" s="69"/>
      <c r="H121" s="69" t="e">
        <f aca="false">TblMili[[#This Row],[Networth (2)]]</f>
        <v>#VALUE!</v>
      </c>
      <c r="I121" s="69" t="n">
        <f aca="false">OFFSET(TblProd[[#This Row],[Platinum]],-1,0)+OFFSET(TblProd[[#This Row],[Plat/hr]],-1,0) - TblProd[[#This Row],[Expenses Platinum]] + IF(TblProd[[#This Row],[Plat Bonus]],TblPop[[#This Row],[Peasants]]*4) + SUM(TblConstr[[#This Row],[Dest Hom]:[Dest Doc]])*TblConstr[[#This Row],[CPA Platinum -DB]]*tech_3_3_2*TblTech[[#This Row],[3-3]]</f>
        <v>1777890</v>
      </c>
      <c r="J121" s="69" t="n">
        <f aca="false">OFFSET(TblProd[[#This Row],[Food]],-1,0)+OFFSET(TblProd[[#This Row],[Food/hr]],-1,0)+ROUNDUP((TblConstr[[#This Row],[Farms]]*80+TblConstr[[#This Row],[Docks]]*35)*(1+OFFSET(TblProd[[#This Row],[Bonus Food/hr]],-1,0)),0)</f>
        <v>286734</v>
      </c>
      <c r="K121" s="69" t="n">
        <f aca="false">OFFSET(TblProd[[#This Row],[Lumber]],-1,0)+OFFSET(TblProd[[#This Row],[Lumber/hr]],-1,0) - TblProd[[#This Row],[Expenses Lumber]] + SUM(TblConstr[[#This Row],[Dest Hom]:[Dest Doc]])*TblConstr[[#This Row],[CPA Lumber -DB]]*tech_3_3_2*TblTech[[#This Row],[3-3]]</f>
        <v>50176</v>
      </c>
      <c r="L121" s="69" t="n">
        <f aca="false">OFFSET(TblProd[[#This Row],[Mana]],-1,0)+OFFSET(TblProd[[#This Row],[Mana/hr]],-1,0)- TblProd[[#This Row],[Expenses Mana]]</f>
        <v>181872</v>
      </c>
      <c r="M121" s="69" t="n">
        <f aca="false">OFFSET(TblProd[[#This Row],[Ore]],-1,0)+OFFSET(TblProd[[#This Row],[Ore/hr]],-1,0) -TblProd[[#This Row],[Expenses Ore]]</f>
        <v>-357</v>
      </c>
      <c r="N121" s="69" t="n">
        <f aca="false">OFFSET(TblProd[[#This Row],[Gems]],-1,0)+OFFSET(TblProd[[#This Row],[Gems/hr]],-1,0) - TblProd[[#This Row],[Expenses Gems]]</f>
        <v>-1000</v>
      </c>
      <c r="O121" s="69" t="n">
        <f aca="false">OFFSET(TblProd[[#This Row],[Boats]],-1,0)+OFFSET(TblProd[[#This Row],[Boats/hr]],-1,0)</f>
        <v>82.2500000000001</v>
      </c>
      <c r="P121" s="69" t="n">
        <f aca="false">OFFSET(TblProd[[#This Row],[Prestige]],-1,0)</f>
        <v>250</v>
      </c>
      <c r="Q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1" s="69" t="n">
        <f aca="false">MAX(3750,_xlfn.CEILING.MATH(TblProd[[#This Row],[Land]]*2.5+OFFSET(TblTech[[#This Row],[Sum of tech]],-1,0)*150))</f>
        <v>3750</v>
      </c>
      <c r="S121" s="132"/>
      <c r="T121" s="69" t="n">
        <f aca="false">ROUNDDOWN(TblProd[[#This Row],[Raw Plat/hr]]*(1+TblProd[[#This Row],[Bonus Plat/hr]]),0)</f>
        <v>29706</v>
      </c>
      <c r="U121" s="69" t="n">
        <f aca="false">ROUND(TblProd[[#This Row],[Raw Food/hr]]*(1+TblProd[[#This Row],[Bonus Food/hr]])-TblProd[[#This Row],[Food decay]]-TblProd[[#This Row],[Food eaten]],0)</f>
        <v>-2740</v>
      </c>
      <c r="V121" s="69" t="n">
        <f aca="false">ROUND(TblProd[[#This Row],[Raw Lumber/hr]]*(1+TblProd[[#This Row],[Bonus Lumber/hr]])-TblProd[[#This Row],[Lumber rot]],0)</f>
        <v>623</v>
      </c>
      <c r="W121" s="69" t="n">
        <f aca="false">ROUND(TblProd[[#This Row],[Raw Mana/hr]]*(1+TblProd[[#This Row],[Bonus Mana/hr]])-TblProd[[#This Row],[Mana drain]],0)</f>
        <v>-2912</v>
      </c>
      <c r="X121" s="69" t="n">
        <f aca="false">ROUNDDOWN(TblProd[[#This Row],[Raw Ore/hr]]*(1+TblProd[[#This Row],[Bonux Ore/hr]]),0)</f>
        <v>0</v>
      </c>
      <c r="Y121" s="69" t="n">
        <f aca="false">ROUNDDOWN(TblProd[[#This Row],[Raw Gems/hr]]*(1+TblProd[[#This Row],[Bonus Gems/hr]]),0)</f>
        <v>0</v>
      </c>
      <c r="Z121" s="148" t="n">
        <f aca="false">OFFSET(TblConstr[[#This Row],[Tot Doc]],1,0)*dock_boats_hr * (1 + tech_4_1*TblTech[[#This Row],[4-1]])</f>
        <v>1.2</v>
      </c>
      <c r="AA121" s="146"/>
      <c r="AB121" s="69" t="n">
        <f aca="false">TblPop[[#This Row],[Peasants]]*tax*TblPop[[#This Row],[Employment]] + (Construction!AZ122+Construction!BX122)*(alch_plat+(Magic!AM121&gt;0)*alchemist_flame_bonus)</f>
        <v>29706.3</v>
      </c>
      <c r="AC121" s="69" t="n">
        <f aca="false">TblConstr[[#This Row],[Tot Farm]]*farm_food + TblConstr[[#This Row],[Tot Doc]]*dock_food</f>
        <v>3280</v>
      </c>
      <c r="AD121" s="69" t="n">
        <f aca="false">TblConstr[[#This Row],[Tot Ly]]*ly_lumber + TblConstr[[#This Row],[Tot Hav]]*fh_lumber</f>
        <v>1250</v>
      </c>
      <c r="AE121" s="69" t="n">
        <f aca="false">OFFSET(TblConstr[[#This Row],[Tot Tow]],1,0)*(tower_mana + tech_4_5*TblTech[[#This Row],[4-5]]) + OFFSET(TblConstr[[#This Row],[Tot WG]],1,0)*wg_mana_prod</f>
        <v>725</v>
      </c>
      <c r="AF121" s="69" t="n">
        <f aca="false">OFFSET(TblConstr[[#This Row],[Tot OM]],1,0)*om_ore+IF(race="Dwarf",ROUNDDOWN(TblMili[[#This Row],[Unit 2]]*0.4,0),)</f>
        <v>0</v>
      </c>
      <c r="AG121" s="69" t="n">
        <f aca="false">OFFSET(TblConstr[[#This Row],[Tot DM]],1,0)*dm_gems</f>
        <v>0</v>
      </c>
      <c r="AH121" s="132"/>
      <c r="AI121" s="149" t="n">
        <f aca="false">MIN(race_platinum_bonus + IF(TblMagic[[#This Row],[Active Alch Frost]]&gt;0,alch_frost_bonus,IF(Magic!AD121&gt;0,midas_bonus)) + TblImps[[#This Row],[Science]] - TblProd[[#This Row],[Guard]]*(0.02 + tech_5_7*TblTech[[#This Row],[5-7]]) + tech_1_5*TblTech[[#This Row],[1-5]] + tech_4_4*TblTech[[#This Row],[4-4]], 0.5)</f>
        <v>0</v>
      </c>
      <c r="AJ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1" s="149" t="n">
        <f aca="false">race_lumber_bonus+ IF(TblMagic[[#This Row],[Active Gaia''s Blessing]]&gt;0,gaias_blessing_lumber)+ tech_1_3*TblTech[[#This Row],[1-3]] + tech_1_6*TblTech[[#This Row],[1-6]] + tech_3_3*TblTech[[#This Row],[3-3]]</f>
        <v>-0.1</v>
      </c>
      <c r="AL121" s="149" t="n">
        <f aca="false">race_mana_bonus+ 0 + TblImps[[#This Row],[Towers]] + tech_1_2*TblTech[[#This Row],[1-2]] + tech_3_4*TblTech[[#This Row],[3-4]]</f>
        <v>0</v>
      </c>
      <c r="AM121" s="149" t="n">
        <f aca="false">race_ore_bonus + IF(TblMagic[[#This Row],[Active Miner''s Sight]]&gt;0,miners_sight_bonus,IF(TblMagic[[#This Row],[Active Mining Strength]]&gt;0,mining_strength_bonus)) +  tech_1_6*TblTech[[#This Row],[1-6]]</f>
        <v>0</v>
      </c>
      <c r="AN121" s="149" t="n">
        <f aca="false">race_gem_bonus+ tech_3_2*TblTech[[#This Row],[3-2]] + tech_4_3*TblTech[[#This Row],[4-3]] + tech_6_2*TblTech[[#This Row],[6-2]]</f>
        <v>0.15</v>
      </c>
      <c r="AO121" s="132"/>
      <c r="AP121" s="69" t="n">
        <f aca="false">TblProd[[#This Row],[Food]]*food_decay * (1 + tech_2_1*TblTech[[#This Row],[2-1]] + tech_2_8*TblTech[[#This Row],[2-8]])</f>
        <v>2867.34</v>
      </c>
      <c r="AQ121" s="69" t="n">
        <f aca="false">(1+race_food_consumption)*TblPop[[#This Row],[Total]]*food_per_person*(1+tech_1_10*TblTech[[#This Row],[1-10]]+tech_7_5*TblTech[[#This Row],[7-5]])</f>
        <v>3234.75</v>
      </c>
      <c r="AR121" s="69" t="n">
        <f aca="false">TblProd[[#This Row],[Lumber]]*lumber_rot * (1 + tech_2_1*TblTech[[#This Row],[2-1]] + tech_2_8*TblTech[[#This Row],[2-8]] + tech_5_2*TblTech[[#This Row],[5-2]])</f>
        <v>501.76</v>
      </c>
      <c r="AS121" s="69" t="n">
        <f aca="false">TblProd[[#This Row],[Mana]]*mana_drain * (1 + tech_2_1*TblTech[[#This Row],[2-1]] + tech_2_8*TblTech[[#This Row],[2-8]])</f>
        <v>3637.44</v>
      </c>
      <c r="AT121" s="146"/>
      <c r="AU121" s="69" t="n">
        <f aca="false">TblExplore[[#This Row],[Platinum (2)]]+TblConstr[[#This Row],[Total Plat Cost]]+TblMili[[#This Row],[Plat Cost]]+TblRezone[[#This Row],[Platinum cost]]+TblImps[[#This Row],[P1]]-TblProd[[#This Row],[Bank Plat]]</f>
        <v>0</v>
      </c>
      <c r="AV121" s="69" t="n">
        <f aca="false">TblConstr[[#This Row],[Total Lum Cost]]+TblImps[[#This Row],[L1]]-TblProd[[#This Row],[Bank Lumber]] + Military!$CL$25*TblMili[[#This Row],[Sec. rec. Cost]]</f>
        <v>0</v>
      </c>
      <c r="AW121" s="69" t="n">
        <f aca="false">TblMagic[[#This Row],[Mana cost]] + Military!$CL$26*TblMili[[#This Row],[Sec. rec. Cost]]</f>
        <v>0</v>
      </c>
      <c r="AX121" s="69" t="n">
        <f aca="false">Military!$CL$24*TblMili[[#This Row],[Sec. rec. Cost]]+TblImps[[#This Row],[O1]]-TblProd[[#This Row],[Bank Ore]]</f>
        <v>0</v>
      </c>
      <c r="AY121" s="69" t="n">
        <f aca="false">TblImps[[#This Row],[G1]]-TblProd[[#This Row],[Bank Gems]]</f>
        <v>0</v>
      </c>
      <c r="AZ121" s="132"/>
      <c r="BA121" s="33" t="n">
        <f aca="false">IF(TblProd[[#This Row],[Set Guard]]&lt;&gt;"",TblProd[[#This Row],[Set Guard]],OFFSET(TblProd[[#This Row],[Guard]],-1,0))</f>
        <v>0</v>
      </c>
      <c r="BB121" s="145"/>
      <c r="BC121" s="151" t="n">
        <f aca="false">TblProd[[#This Row],[Hour]]</f>
        <v>46</v>
      </c>
      <c r="BD121" s="152" t="n">
        <f aca="false">-TblProd[[#This Row],[Bank Lumber]] / 2 + -TblProd[[#This Row],[Bank Gems]] * 2 + -TblProd[[#This Row],[Bank Ore]] / 2</f>
        <v>0</v>
      </c>
      <c r="BE121" s="152"/>
      <c r="BF121" s="152"/>
      <c r="BG121" s="152"/>
      <c r="BH121" s="153" t="n">
        <f aca="false">TblProd[[#This Row],[Time]]</f>
        <v>45434.625</v>
      </c>
      <c r="BI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J121" s="69" t="n">
        <f aca="false">TblProd[[#This Row],[Platinum]]</f>
        <v>1777890</v>
      </c>
      <c r="BK121" s="69" t="n">
        <f aca="false">TblProd[[#This Row],[Food]]</f>
        <v>286734</v>
      </c>
      <c r="BL121" s="69" t="n">
        <f aca="false">TblProd[[#This Row],[Lumber]]</f>
        <v>50176</v>
      </c>
      <c r="BM121" s="69" t="n">
        <f aca="false">TblProd[[#This Row],[Mana]]</f>
        <v>181872</v>
      </c>
      <c r="BN121" s="69" t="n">
        <f aca="false">TblProd[[#This Row],[Ore]]</f>
        <v>-357</v>
      </c>
    </row>
    <row r="122" customFormat="false" ht="12.75" hidden="false" customHeight="false" outlineLevel="0" collapsed="false">
      <c r="A122" s="128" t="n">
        <v>47</v>
      </c>
      <c r="B122" s="144" t="n">
        <f aca="false">TblImps[[#This Row],[Time]]</f>
        <v>45434.6666666667</v>
      </c>
      <c r="C122" s="145"/>
      <c r="D122" s="146"/>
      <c r="E122" s="69" t="n">
        <f aca="false">TblConstr[[#This Row],[Land]]</f>
        <v>700</v>
      </c>
      <c r="F122" s="69" t="n">
        <f aca="false">TblPop[[#This Row],[Peasants]]</f>
        <v>6355</v>
      </c>
      <c r="G122" s="69"/>
      <c r="H122" s="69" t="e">
        <f aca="false">TblMili[[#This Row],[Networth (2)]]</f>
        <v>#VALUE!</v>
      </c>
      <c r="I122" s="69" t="n">
        <f aca="false">OFFSET(TblProd[[#This Row],[Platinum]],-1,0)+OFFSET(TblProd[[#This Row],[Plat/hr]],-1,0) - TblProd[[#This Row],[Expenses Platinum]] + IF(TblProd[[#This Row],[Plat Bonus]],TblPop[[#This Row],[Peasants]]*4) + SUM(TblConstr[[#This Row],[Dest Hom]:[Dest Doc]])*TblConstr[[#This Row],[CPA Platinum -DB]]*tech_3_3_2*TblTech[[#This Row],[3-3]]</f>
        <v>1807596</v>
      </c>
      <c r="J122" s="69" t="n">
        <f aca="false">OFFSET(TblProd[[#This Row],[Food]],-1,0)+OFFSET(TblProd[[#This Row],[Food/hr]],-1,0)+ROUNDUP((TblConstr[[#This Row],[Farms]]*80+TblConstr[[#This Row],[Docks]]*35)*(1+OFFSET(TblProd[[#This Row],[Bonus Food/hr]],-1,0)),0)</f>
        <v>283994</v>
      </c>
      <c r="K122" s="69" t="n">
        <f aca="false">OFFSET(TblProd[[#This Row],[Lumber]],-1,0)+OFFSET(TblProd[[#This Row],[Lumber/hr]],-1,0) - TblProd[[#This Row],[Expenses Lumber]] + SUM(TblConstr[[#This Row],[Dest Hom]:[Dest Doc]])*TblConstr[[#This Row],[CPA Lumber -DB]]*tech_3_3_2*TblTech[[#This Row],[3-3]]</f>
        <v>50799</v>
      </c>
      <c r="L122" s="69" t="n">
        <f aca="false">OFFSET(TblProd[[#This Row],[Mana]],-1,0)+OFFSET(TblProd[[#This Row],[Mana/hr]],-1,0)- TblProd[[#This Row],[Expenses Mana]]</f>
        <v>178960</v>
      </c>
      <c r="M122" s="69" t="n">
        <f aca="false">OFFSET(TblProd[[#This Row],[Ore]],-1,0)+OFFSET(TblProd[[#This Row],[Ore/hr]],-1,0) -TblProd[[#This Row],[Expenses Ore]]</f>
        <v>-357</v>
      </c>
      <c r="N122" s="69" t="n">
        <f aca="false">OFFSET(TblProd[[#This Row],[Gems]],-1,0)+OFFSET(TblProd[[#This Row],[Gems/hr]],-1,0) - TblProd[[#This Row],[Expenses Gems]]</f>
        <v>-1000</v>
      </c>
      <c r="O122" s="69" t="n">
        <f aca="false">OFFSET(TblProd[[#This Row],[Boats]],-1,0)+OFFSET(TblProd[[#This Row],[Boats/hr]],-1,0)</f>
        <v>83.4500000000001</v>
      </c>
      <c r="P122" s="69" t="n">
        <f aca="false">OFFSET(TblProd[[#This Row],[Prestige]],-1,0)</f>
        <v>250</v>
      </c>
      <c r="Q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2" s="69" t="n">
        <f aca="false">MAX(3750,_xlfn.CEILING.MATH(TblProd[[#This Row],[Land]]*2.5+OFFSET(TblTech[[#This Row],[Sum of tech]],-1,0)*150))</f>
        <v>3750</v>
      </c>
      <c r="S122" s="132"/>
      <c r="T122" s="69" t="n">
        <f aca="false">ROUNDDOWN(TblProd[[#This Row],[Raw Plat/hr]]*(1+TblProd[[#This Row],[Bonus Plat/hr]]),0)</f>
        <v>29533</v>
      </c>
      <c r="U122" s="69" t="n">
        <f aca="false">ROUND(TblProd[[#This Row],[Raw Food/hr]]*(1+TblProd[[#This Row],[Bonus Food/hr]])-TblProd[[#This Row],[Food decay]]-TblProd[[#This Row],[Food eaten]],0)</f>
        <v>-2713</v>
      </c>
      <c r="V122" s="69" t="n">
        <f aca="false">ROUND(TblProd[[#This Row],[Raw Lumber/hr]]*(1+TblProd[[#This Row],[Bonus Lumber/hr]])-TblProd[[#This Row],[Lumber rot]],0)</f>
        <v>617</v>
      </c>
      <c r="W122" s="69" t="n">
        <f aca="false">ROUND(TblProd[[#This Row],[Raw Mana/hr]]*(1+TblProd[[#This Row],[Bonus Mana/hr]])-TblProd[[#This Row],[Mana drain]],0)</f>
        <v>-2854</v>
      </c>
      <c r="X122" s="69" t="n">
        <f aca="false">ROUNDDOWN(TblProd[[#This Row],[Raw Ore/hr]]*(1+TblProd[[#This Row],[Bonux Ore/hr]]),0)</f>
        <v>0</v>
      </c>
      <c r="Y122" s="69" t="n">
        <f aca="false">ROUNDDOWN(TblProd[[#This Row],[Raw Gems/hr]]*(1+TblProd[[#This Row],[Bonus Gems/hr]]),0)</f>
        <v>0</v>
      </c>
      <c r="Z122" s="148" t="n">
        <f aca="false">OFFSET(TblConstr[[#This Row],[Tot Doc]],1,0)*dock_boats_hr * (1 + tech_4_1*TblTech[[#This Row],[4-1]])</f>
        <v>1.2</v>
      </c>
      <c r="AA122" s="146"/>
      <c r="AB122" s="69" t="n">
        <f aca="false">TblPop[[#This Row],[Peasants]]*tax*TblPop[[#This Row],[Employment]] + (Construction!AZ123+Construction!BX123)*(alch_plat+(Magic!AM122&gt;0)*alchemist_flame_bonus)</f>
        <v>29533.5</v>
      </c>
      <c r="AC122" s="69" t="n">
        <f aca="false">TblConstr[[#This Row],[Tot Farm]]*farm_food + TblConstr[[#This Row],[Tot Doc]]*dock_food</f>
        <v>3280</v>
      </c>
      <c r="AD122" s="69" t="n">
        <f aca="false">TblConstr[[#This Row],[Tot Ly]]*ly_lumber + TblConstr[[#This Row],[Tot Hav]]*fh_lumber</f>
        <v>1250</v>
      </c>
      <c r="AE122" s="69" t="n">
        <f aca="false">OFFSET(TblConstr[[#This Row],[Tot Tow]],1,0)*(tower_mana + tech_4_5*TblTech[[#This Row],[4-5]]) + OFFSET(TblConstr[[#This Row],[Tot WG]],1,0)*wg_mana_prod</f>
        <v>725</v>
      </c>
      <c r="AF122" s="69" t="n">
        <f aca="false">OFFSET(TblConstr[[#This Row],[Tot OM]],1,0)*om_ore+IF(race="Dwarf",ROUNDDOWN(TblMili[[#This Row],[Unit 2]]*0.4,0),)</f>
        <v>0</v>
      </c>
      <c r="AG122" s="69" t="n">
        <f aca="false">OFFSET(TblConstr[[#This Row],[Tot DM]],1,0)*dm_gems</f>
        <v>0</v>
      </c>
      <c r="AH122" s="132"/>
      <c r="AI122" s="149" t="n">
        <f aca="false">MIN(race_platinum_bonus + IF(TblMagic[[#This Row],[Active Alch Frost]]&gt;0,alch_frost_bonus,IF(Magic!AD122&gt;0,midas_bonus)) + TblImps[[#This Row],[Science]] - TblProd[[#This Row],[Guard]]*(0.02 + tech_5_7*TblTech[[#This Row],[5-7]]) + tech_1_5*TblTech[[#This Row],[1-5]] + tech_4_4*TblTech[[#This Row],[4-4]], 0.5)</f>
        <v>0</v>
      </c>
      <c r="AJ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2" s="149" t="n">
        <f aca="false">race_lumber_bonus+ IF(TblMagic[[#This Row],[Active Gaia''s Blessing]]&gt;0,gaias_blessing_lumber)+ tech_1_3*TblTech[[#This Row],[1-3]] + tech_1_6*TblTech[[#This Row],[1-6]] + tech_3_3*TblTech[[#This Row],[3-3]]</f>
        <v>-0.1</v>
      </c>
      <c r="AL122" s="149" t="n">
        <f aca="false">race_mana_bonus+ 0 + TblImps[[#This Row],[Towers]] + tech_1_2*TblTech[[#This Row],[1-2]] + tech_3_4*TblTech[[#This Row],[3-4]]</f>
        <v>0</v>
      </c>
      <c r="AM122" s="149" t="n">
        <f aca="false">race_ore_bonus + IF(TblMagic[[#This Row],[Active Miner''s Sight]]&gt;0,miners_sight_bonus,IF(TblMagic[[#This Row],[Active Mining Strength]]&gt;0,mining_strength_bonus)) +  tech_1_6*TblTech[[#This Row],[1-6]]</f>
        <v>0</v>
      </c>
      <c r="AN122" s="149" t="n">
        <f aca="false">race_gem_bonus+ tech_3_2*TblTech[[#This Row],[3-2]] + tech_4_3*TblTech[[#This Row],[4-3]] + tech_6_2*TblTech[[#This Row],[6-2]]</f>
        <v>0.15</v>
      </c>
      <c r="AO122" s="132"/>
      <c r="AP122" s="69" t="n">
        <f aca="false">TblProd[[#This Row],[Food]]*food_decay * (1 + tech_2_1*TblTech[[#This Row],[2-1]] + tech_2_8*TblTech[[#This Row],[2-8]])</f>
        <v>2839.94</v>
      </c>
      <c r="AQ122" s="69" t="n">
        <f aca="false">(1+race_food_consumption)*TblPop[[#This Row],[Total]]*food_per_person*(1+tech_1_10*TblTech[[#This Row],[1-10]]+tech_7_5*TblTech[[#This Row],[7-5]])</f>
        <v>3234.75</v>
      </c>
      <c r="AR122" s="69" t="n">
        <f aca="false">TblProd[[#This Row],[Lumber]]*lumber_rot * (1 + tech_2_1*TblTech[[#This Row],[2-1]] + tech_2_8*TblTech[[#This Row],[2-8]] + tech_5_2*TblTech[[#This Row],[5-2]])</f>
        <v>507.99</v>
      </c>
      <c r="AS122" s="69" t="n">
        <f aca="false">TblProd[[#This Row],[Mana]]*mana_drain * (1 + tech_2_1*TblTech[[#This Row],[2-1]] + tech_2_8*TblTech[[#This Row],[2-8]])</f>
        <v>3579.2</v>
      </c>
      <c r="AT122" s="146"/>
      <c r="AU122" s="69" t="n">
        <f aca="false">TblExplore[[#This Row],[Platinum (2)]]+TblConstr[[#This Row],[Total Plat Cost]]+TblMili[[#This Row],[Plat Cost]]+TblRezone[[#This Row],[Platinum cost]]+TblImps[[#This Row],[P1]]-TblProd[[#This Row],[Bank Plat]]</f>
        <v>0</v>
      </c>
      <c r="AV122" s="69" t="n">
        <f aca="false">TblConstr[[#This Row],[Total Lum Cost]]+TblImps[[#This Row],[L1]]-TblProd[[#This Row],[Bank Lumber]] + Military!$CL$25*TblMili[[#This Row],[Sec. rec. Cost]]</f>
        <v>0</v>
      </c>
      <c r="AW122" s="69" t="n">
        <f aca="false">TblMagic[[#This Row],[Mana cost]] + Military!$CL$26*TblMili[[#This Row],[Sec. rec. Cost]]</f>
        <v>0</v>
      </c>
      <c r="AX122" s="69" t="n">
        <f aca="false">Military!$CL$24*TblMili[[#This Row],[Sec. rec. Cost]]+TblImps[[#This Row],[O1]]-TblProd[[#This Row],[Bank Ore]]</f>
        <v>0</v>
      </c>
      <c r="AY122" s="69" t="n">
        <f aca="false">TblImps[[#This Row],[G1]]-TblProd[[#This Row],[Bank Gems]]</f>
        <v>0</v>
      </c>
      <c r="AZ122" s="132"/>
      <c r="BA122" s="33" t="n">
        <f aca="false">IF(TblProd[[#This Row],[Set Guard]]&lt;&gt;"",TblProd[[#This Row],[Set Guard]],OFFSET(TblProd[[#This Row],[Guard]],-1,0))</f>
        <v>0</v>
      </c>
      <c r="BB122" s="145"/>
      <c r="BC122" s="151" t="n">
        <f aca="false">TblProd[[#This Row],[Hour]]</f>
        <v>47</v>
      </c>
      <c r="BD122" s="152" t="n">
        <f aca="false">-TblProd[[#This Row],[Bank Lumber]] / 2 + -TblProd[[#This Row],[Bank Gems]] * 2 + -TblProd[[#This Row],[Bank Ore]] / 2</f>
        <v>0</v>
      </c>
      <c r="BE122" s="152"/>
      <c r="BF122" s="152"/>
      <c r="BG122" s="152"/>
      <c r="BH122" s="153" t="n">
        <f aca="false">TblProd[[#This Row],[Time]]</f>
        <v>45434.6666666667</v>
      </c>
      <c r="BI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J122" s="69" t="n">
        <f aca="false">TblProd[[#This Row],[Platinum]]</f>
        <v>1807596</v>
      </c>
      <c r="BK122" s="69" t="n">
        <f aca="false">TblProd[[#This Row],[Food]]</f>
        <v>283994</v>
      </c>
      <c r="BL122" s="69" t="n">
        <f aca="false">TblProd[[#This Row],[Lumber]]</f>
        <v>50799</v>
      </c>
      <c r="BM122" s="69" t="n">
        <f aca="false">TblProd[[#This Row],[Mana]]</f>
        <v>178960</v>
      </c>
      <c r="BN122" s="69" t="n">
        <f aca="false">TblProd[[#This Row],[Ore]]</f>
        <v>-357</v>
      </c>
    </row>
    <row r="123" customFormat="false" ht="12.75" hidden="false" customHeight="false" outlineLevel="0" collapsed="false">
      <c r="A123" s="128" t="n">
        <v>48</v>
      </c>
      <c r="B123" s="144" t="n">
        <f aca="false">TblImps[[#This Row],[Time]]</f>
        <v>45434.7083333333</v>
      </c>
      <c r="C123" s="145"/>
      <c r="D123" s="146"/>
      <c r="E123" s="69" t="n">
        <f aca="false">TblConstr[[#This Row],[Land]]</f>
        <v>700</v>
      </c>
      <c r="F123" s="69" t="n">
        <f aca="false">TblPop[[#This Row],[Peasants]]</f>
        <v>6291</v>
      </c>
      <c r="G123" s="69"/>
      <c r="H123" s="69" t="e">
        <f aca="false">TblMili[[#This Row],[Networth (2)]]</f>
        <v>#VALUE!</v>
      </c>
      <c r="I123" s="69" t="n">
        <f aca="false">OFFSET(TblProd[[#This Row],[Platinum]],-1,0)+OFFSET(TblProd[[#This Row],[Plat/hr]],-1,0) - TblProd[[#This Row],[Expenses Platinum]] + IF(TblProd[[#This Row],[Plat Bonus]],TblPop[[#This Row],[Peasants]]*4) + SUM(TblConstr[[#This Row],[Dest Hom]:[Dest Doc]])*TblConstr[[#This Row],[CPA Platinum -DB]]*tech_3_3_2*TblTech[[#This Row],[3-3]]</f>
        <v>1837129</v>
      </c>
      <c r="J123" s="69" t="n">
        <f aca="false">OFFSET(TblProd[[#This Row],[Food]],-1,0)+OFFSET(TblProd[[#This Row],[Food/hr]],-1,0)+ROUNDUP((TblConstr[[#This Row],[Farms]]*80+TblConstr[[#This Row],[Docks]]*35)*(1+OFFSET(TblProd[[#This Row],[Bonus Food/hr]],-1,0)),0)</f>
        <v>281281</v>
      </c>
      <c r="K123" s="69" t="n">
        <f aca="false">OFFSET(TblProd[[#This Row],[Lumber]],-1,0)+OFFSET(TblProd[[#This Row],[Lumber/hr]],-1,0) - TblProd[[#This Row],[Expenses Lumber]] + SUM(TblConstr[[#This Row],[Dest Hom]:[Dest Doc]])*TblConstr[[#This Row],[CPA Lumber -DB]]*tech_3_3_2*TblTech[[#This Row],[3-3]]</f>
        <v>51416</v>
      </c>
      <c r="L123" s="69" t="n">
        <f aca="false">OFFSET(TblProd[[#This Row],[Mana]],-1,0)+OFFSET(TblProd[[#This Row],[Mana/hr]],-1,0)- TblProd[[#This Row],[Expenses Mana]]</f>
        <v>176106</v>
      </c>
      <c r="M123" s="69" t="n">
        <f aca="false">OFFSET(TblProd[[#This Row],[Ore]],-1,0)+OFFSET(TblProd[[#This Row],[Ore/hr]],-1,0) -TblProd[[#This Row],[Expenses Ore]]</f>
        <v>-357</v>
      </c>
      <c r="N123" s="69" t="n">
        <f aca="false">OFFSET(TblProd[[#This Row],[Gems]],-1,0)+OFFSET(TblProd[[#This Row],[Gems/hr]],-1,0) - TblProd[[#This Row],[Expenses Gems]]</f>
        <v>-1000</v>
      </c>
      <c r="O123" s="69" t="n">
        <f aca="false">OFFSET(TblProd[[#This Row],[Boats]],-1,0)+OFFSET(TblProd[[#This Row],[Boats/hr]],-1,0)</f>
        <v>84.6500000000001</v>
      </c>
      <c r="P123" s="69" t="n">
        <f aca="false">OFFSET(TblProd[[#This Row],[Prestige]],-1,0)</f>
        <v>250</v>
      </c>
      <c r="Q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3" s="69" t="n">
        <f aca="false">MAX(3750,_xlfn.CEILING.MATH(TblProd[[#This Row],[Land]]*2.5+OFFSET(TblTech[[#This Row],[Sum of tech]],-1,0)*150))</f>
        <v>3750</v>
      </c>
      <c r="S123" s="132"/>
      <c r="T123" s="69" t="n">
        <f aca="false">ROUNDDOWN(TblProd[[#This Row],[Raw Plat/hr]]*(1+TblProd[[#This Row],[Bonus Plat/hr]]),0)</f>
        <v>29360</v>
      </c>
      <c r="U123" s="69" t="n">
        <f aca="false">ROUND(TblProd[[#This Row],[Raw Food/hr]]*(1+TblProd[[#This Row],[Bonus Food/hr]])-TblProd[[#This Row],[Food decay]]-TblProd[[#This Row],[Food eaten]],0)</f>
        <v>-2686</v>
      </c>
      <c r="V123" s="69" t="n">
        <f aca="false">ROUND(TblProd[[#This Row],[Raw Lumber/hr]]*(1+TblProd[[#This Row],[Bonus Lumber/hr]])-TblProd[[#This Row],[Lumber rot]],0)</f>
        <v>611</v>
      </c>
      <c r="W123" s="69" t="n">
        <f aca="false">ROUND(TblProd[[#This Row],[Raw Mana/hr]]*(1+TblProd[[#This Row],[Bonus Mana/hr]])-TblProd[[#This Row],[Mana drain]],0)</f>
        <v>-2797</v>
      </c>
      <c r="X123" s="69" t="n">
        <f aca="false">ROUNDDOWN(TblProd[[#This Row],[Raw Ore/hr]]*(1+TblProd[[#This Row],[Bonux Ore/hr]]),0)</f>
        <v>0</v>
      </c>
      <c r="Y123" s="69" t="n">
        <f aca="false">ROUNDDOWN(TblProd[[#This Row],[Raw Gems/hr]]*(1+TblProd[[#This Row],[Bonus Gems/hr]]),0)</f>
        <v>0</v>
      </c>
      <c r="Z123" s="148" t="n">
        <f aca="false">OFFSET(TblConstr[[#This Row],[Tot Doc]],1,0)*dock_boats_hr * (1 + tech_4_1*TblTech[[#This Row],[4-1]])</f>
        <v>1.2</v>
      </c>
      <c r="AA123" s="146"/>
      <c r="AB123" s="69" t="n">
        <f aca="false">TblPop[[#This Row],[Peasants]]*tax*TblPop[[#This Row],[Employment]] + (Construction!AZ124+Construction!BX124)*(alch_plat+(Magic!AM123&gt;0)*alchemist_flame_bonus)</f>
        <v>29360.7</v>
      </c>
      <c r="AC123" s="69" t="n">
        <f aca="false">TblConstr[[#This Row],[Tot Farm]]*farm_food + TblConstr[[#This Row],[Tot Doc]]*dock_food</f>
        <v>3280</v>
      </c>
      <c r="AD123" s="69" t="n">
        <f aca="false">TblConstr[[#This Row],[Tot Ly]]*ly_lumber + TblConstr[[#This Row],[Tot Hav]]*fh_lumber</f>
        <v>1250</v>
      </c>
      <c r="AE123" s="69" t="n">
        <f aca="false">OFFSET(TblConstr[[#This Row],[Tot Tow]],1,0)*(tower_mana + tech_4_5*TblTech[[#This Row],[4-5]]) + OFFSET(TblConstr[[#This Row],[Tot WG]],1,0)*wg_mana_prod</f>
        <v>725</v>
      </c>
      <c r="AF123" s="69" t="n">
        <f aca="false">OFFSET(TblConstr[[#This Row],[Tot OM]],1,0)*om_ore+IF(race="Dwarf",ROUNDDOWN(TblMili[[#This Row],[Unit 2]]*0.4,0),)</f>
        <v>0</v>
      </c>
      <c r="AG123" s="69" t="n">
        <f aca="false">OFFSET(TblConstr[[#This Row],[Tot DM]],1,0)*dm_gems</f>
        <v>0</v>
      </c>
      <c r="AH123" s="132"/>
      <c r="AI123" s="149" t="n">
        <f aca="false">MIN(race_platinum_bonus + IF(TblMagic[[#This Row],[Active Alch Frost]]&gt;0,alch_frost_bonus,IF(Magic!AD123&gt;0,midas_bonus)) + TblImps[[#This Row],[Science]] - TblProd[[#This Row],[Guard]]*(0.02 + tech_5_7*TblTech[[#This Row],[5-7]]) + tech_1_5*TblTech[[#This Row],[1-5]] + tech_4_4*TblTech[[#This Row],[4-4]], 0.5)</f>
        <v>0</v>
      </c>
      <c r="AJ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3" s="149" t="n">
        <f aca="false">race_lumber_bonus+ IF(TblMagic[[#This Row],[Active Gaia''s Blessing]]&gt;0,gaias_blessing_lumber)+ tech_1_3*TblTech[[#This Row],[1-3]] + tech_1_6*TblTech[[#This Row],[1-6]] + tech_3_3*TblTech[[#This Row],[3-3]]</f>
        <v>-0.1</v>
      </c>
      <c r="AL123" s="149" t="n">
        <f aca="false">race_mana_bonus+ 0 + TblImps[[#This Row],[Towers]] + tech_1_2*TblTech[[#This Row],[1-2]] + tech_3_4*TblTech[[#This Row],[3-4]]</f>
        <v>0</v>
      </c>
      <c r="AM123" s="149" t="n">
        <f aca="false">race_ore_bonus + IF(TblMagic[[#This Row],[Active Miner''s Sight]]&gt;0,miners_sight_bonus,IF(TblMagic[[#This Row],[Active Mining Strength]]&gt;0,mining_strength_bonus)) +  tech_1_6*TblTech[[#This Row],[1-6]]</f>
        <v>0</v>
      </c>
      <c r="AN123" s="149" t="n">
        <f aca="false">race_gem_bonus+ tech_3_2*TblTech[[#This Row],[3-2]] + tech_4_3*TblTech[[#This Row],[4-3]] + tech_6_2*TblTech[[#This Row],[6-2]]</f>
        <v>0.15</v>
      </c>
      <c r="AO123" s="132"/>
      <c r="AP123" s="69" t="n">
        <f aca="false">TblProd[[#This Row],[Food]]*food_decay * (1 + tech_2_1*TblTech[[#This Row],[2-1]] + tech_2_8*TblTech[[#This Row],[2-8]])</f>
        <v>2812.81</v>
      </c>
      <c r="AQ123" s="69" t="n">
        <f aca="false">(1+race_food_consumption)*TblPop[[#This Row],[Total]]*food_per_person*(1+tech_1_10*TblTech[[#This Row],[1-10]]+tech_7_5*TblTech[[#This Row],[7-5]])</f>
        <v>3234.75</v>
      </c>
      <c r="AR123" s="69" t="n">
        <f aca="false">TblProd[[#This Row],[Lumber]]*lumber_rot * (1 + tech_2_1*TblTech[[#This Row],[2-1]] + tech_2_8*TblTech[[#This Row],[2-8]] + tech_5_2*TblTech[[#This Row],[5-2]])</f>
        <v>514.16</v>
      </c>
      <c r="AS123" s="69" t="n">
        <f aca="false">TblProd[[#This Row],[Mana]]*mana_drain * (1 + tech_2_1*TblTech[[#This Row],[2-1]] + tech_2_8*TblTech[[#This Row],[2-8]])</f>
        <v>3522.12</v>
      </c>
      <c r="AT123" s="146"/>
      <c r="AU123" s="69" t="n">
        <f aca="false">TblExplore[[#This Row],[Platinum (2)]]+TblConstr[[#This Row],[Total Plat Cost]]+TblMili[[#This Row],[Plat Cost]]+TblRezone[[#This Row],[Platinum cost]]+TblImps[[#This Row],[P1]]-TblProd[[#This Row],[Bank Plat]]</f>
        <v>0</v>
      </c>
      <c r="AV123" s="69" t="n">
        <f aca="false">TblConstr[[#This Row],[Total Lum Cost]]+TblImps[[#This Row],[L1]]-TblProd[[#This Row],[Bank Lumber]] + Military!$CL$25*TblMili[[#This Row],[Sec. rec. Cost]]</f>
        <v>0</v>
      </c>
      <c r="AW123" s="69" t="n">
        <f aca="false">TblMagic[[#This Row],[Mana cost]] + Military!$CL$26*TblMili[[#This Row],[Sec. rec. Cost]]</f>
        <v>0</v>
      </c>
      <c r="AX123" s="69" t="n">
        <f aca="false">Military!$CL$24*TblMili[[#This Row],[Sec. rec. Cost]]+TblImps[[#This Row],[O1]]-TblProd[[#This Row],[Bank Ore]]</f>
        <v>0</v>
      </c>
      <c r="AY123" s="69" t="n">
        <f aca="false">TblImps[[#This Row],[G1]]-TblProd[[#This Row],[Bank Gems]]</f>
        <v>0</v>
      </c>
      <c r="AZ123" s="132"/>
      <c r="BA123" s="33" t="n">
        <f aca="false">IF(TblProd[[#This Row],[Set Guard]]&lt;&gt;"",TblProd[[#This Row],[Set Guard]],OFFSET(TblProd[[#This Row],[Guard]],-1,0))</f>
        <v>0</v>
      </c>
      <c r="BB123" s="145"/>
      <c r="BC123" s="151" t="n">
        <f aca="false">TblProd[[#This Row],[Hour]]</f>
        <v>48</v>
      </c>
      <c r="BD123" s="152" t="n">
        <f aca="false">-TblProd[[#This Row],[Bank Lumber]] / 2 + -TblProd[[#This Row],[Bank Gems]] * 2 + -TblProd[[#This Row],[Bank Ore]] / 2</f>
        <v>0</v>
      </c>
      <c r="BE123" s="152"/>
      <c r="BF123" s="152"/>
      <c r="BG123" s="152"/>
      <c r="BH123" s="153" t="n">
        <f aca="false">TblProd[[#This Row],[Time]]</f>
        <v>45434.7083333333</v>
      </c>
      <c r="BI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J123" s="69" t="n">
        <f aca="false">TblProd[[#This Row],[Platinum]]</f>
        <v>1837129</v>
      </c>
      <c r="BK123" s="69" t="n">
        <f aca="false">TblProd[[#This Row],[Food]]</f>
        <v>281281</v>
      </c>
      <c r="BL123" s="69" t="n">
        <f aca="false">TblProd[[#This Row],[Lumber]]</f>
        <v>51416</v>
      </c>
      <c r="BM123" s="69" t="n">
        <f aca="false">TblProd[[#This Row],[Mana]]</f>
        <v>176106</v>
      </c>
      <c r="BN123" s="69" t="n">
        <f aca="false">TblProd[[#This Row],[Ore]]</f>
        <v>-357</v>
      </c>
    </row>
    <row r="124" customFormat="false" ht="12.75" hidden="false" customHeight="false" outlineLevel="0" collapsed="false">
      <c r="A124" s="128" t="n">
        <v>49</v>
      </c>
      <c r="B124" s="144" t="n">
        <f aca="false">TblImps[[#This Row],[Time]]</f>
        <v>45434.75</v>
      </c>
      <c r="C124" s="145"/>
      <c r="D124" s="146"/>
      <c r="E124" s="69" t="n">
        <f aca="false">TblConstr[[#This Row],[Land]]</f>
        <v>700</v>
      </c>
      <c r="F124" s="69" t="n">
        <f aca="false">TblPop[[#This Row],[Peasants]]</f>
        <v>6228</v>
      </c>
      <c r="G124" s="69"/>
      <c r="H124" s="69" t="e">
        <f aca="false">TblMili[[#This Row],[Networth (2)]]</f>
        <v>#VALUE!</v>
      </c>
      <c r="I124" s="69" t="n">
        <f aca="false">OFFSET(TblProd[[#This Row],[Platinum]],-1,0)+OFFSET(TblProd[[#This Row],[Plat/hr]],-1,0) - TblProd[[#This Row],[Expenses Platinum]] + IF(TblProd[[#This Row],[Plat Bonus]],TblPop[[#This Row],[Peasants]]*4) + SUM(TblConstr[[#This Row],[Dest Hom]:[Dest Doc]])*TblConstr[[#This Row],[CPA Platinum -DB]]*tech_3_3_2*TblTech[[#This Row],[3-3]]</f>
        <v>1866489</v>
      </c>
      <c r="J124" s="69" t="n">
        <f aca="false">OFFSET(TblProd[[#This Row],[Food]],-1,0)+OFFSET(TblProd[[#This Row],[Food/hr]],-1,0)+ROUNDUP((TblConstr[[#This Row],[Farms]]*80+TblConstr[[#This Row],[Docks]]*35)*(1+OFFSET(TblProd[[#This Row],[Bonus Food/hr]],-1,0)),0)</f>
        <v>278595</v>
      </c>
      <c r="K124" s="69" t="n">
        <f aca="false">OFFSET(TblProd[[#This Row],[Lumber]],-1,0)+OFFSET(TblProd[[#This Row],[Lumber/hr]],-1,0) - TblProd[[#This Row],[Expenses Lumber]] + SUM(TblConstr[[#This Row],[Dest Hom]:[Dest Doc]])*TblConstr[[#This Row],[CPA Lumber -DB]]*tech_3_3_2*TblTech[[#This Row],[3-3]]</f>
        <v>52027</v>
      </c>
      <c r="L124" s="69" t="n">
        <f aca="false">OFFSET(TblProd[[#This Row],[Mana]],-1,0)+OFFSET(TblProd[[#This Row],[Mana/hr]],-1,0)- TblProd[[#This Row],[Expenses Mana]]</f>
        <v>173309</v>
      </c>
      <c r="M124" s="69" t="n">
        <f aca="false">OFFSET(TblProd[[#This Row],[Ore]],-1,0)+OFFSET(TblProd[[#This Row],[Ore/hr]],-1,0) -TblProd[[#This Row],[Expenses Ore]]</f>
        <v>-357</v>
      </c>
      <c r="N124" s="69" t="n">
        <f aca="false">OFFSET(TblProd[[#This Row],[Gems]],-1,0)+OFFSET(TblProd[[#This Row],[Gems/hr]],-1,0) - TblProd[[#This Row],[Expenses Gems]]</f>
        <v>-1000</v>
      </c>
      <c r="O124" s="69" t="n">
        <f aca="false">OFFSET(TblProd[[#This Row],[Boats]],-1,0)+OFFSET(TblProd[[#This Row],[Boats/hr]],-1,0)</f>
        <v>85.8500000000001</v>
      </c>
      <c r="P124" s="69" t="n">
        <f aca="false">OFFSET(TblProd[[#This Row],[Prestige]],-1,0)</f>
        <v>250</v>
      </c>
      <c r="Q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4" s="69" t="n">
        <f aca="false">MAX(3750,_xlfn.CEILING.MATH(TblProd[[#This Row],[Land]]*2.5+OFFSET(TblTech[[#This Row],[Sum of tech]],-1,0)*150))</f>
        <v>3750</v>
      </c>
      <c r="S124" s="132"/>
      <c r="T124" s="69" t="n">
        <f aca="false">ROUNDDOWN(TblProd[[#This Row],[Raw Plat/hr]]*(1+TblProd[[#This Row],[Bonus Plat/hr]]),0)</f>
        <v>29190</v>
      </c>
      <c r="U124" s="69" t="n">
        <f aca="false">ROUND(TblProd[[#This Row],[Raw Food/hr]]*(1+TblProd[[#This Row],[Bonus Food/hr]])-TblProd[[#This Row],[Food decay]]-TblProd[[#This Row],[Food eaten]],0)</f>
        <v>-2659</v>
      </c>
      <c r="V124" s="69" t="n">
        <f aca="false">ROUND(TblProd[[#This Row],[Raw Lumber/hr]]*(1+TblProd[[#This Row],[Bonus Lumber/hr]])-TblProd[[#This Row],[Lumber rot]],0)</f>
        <v>605</v>
      </c>
      <c r="W124" s="69" t="n">
        <f aca="false">ROUND(TblProd[[#This Row],[Raw Mana/hr]]*(1+TblProd[[#This Row],[Bonus Mana/hr]])-TblProd[[#This Row],[Mana drain]],0)</f>
        <v>-2741</v>
      </c>
      <c r="X124" s="69" t="n">
        <f aca="false">ROUNDDOWN(TblProd[[#This Row],[Raw Ore/hr]]*(1+TblProd[[#This Row],[Bonux Ore/hr]]),0)</f>
        <v>0</v>
      </c>
      <c r="Y124" s="69" t="n">
        <f aca="false">ROUNDDOWN(TblProd[[#This Row],[Raw Gems/hr]]*(1+TblProd[[#This Row],[Bonus Gems/hr]]),0)</f>
        <v>0</v>
      </c>
      <c r="Z124" s="148" t="n">
        <f aca="false">OFFSET(TblConstr[[#This Row],[Tot Doc]],1,0)*dock_boats_hr * (1 + tech_4_1*TblTech[[#This Row],[4-1]])</f>
        <v>1.2</v>
      </c>
      <c r="AA124" s="146"/>
      <c r="AB124" s="69" t="n">
        <f aca="false">TblPop[[#This Row],[Peasants]]*tax*TblPop[[#This Row],[Employment]] + (Construction!AZ125+Construction!BX125)*(alch_plat+(Magic!AM124&gt;0)*alchemist_flame_bonus)</f>
        <v>29190.6</v>
      </c>
      <c r="AC124" s="69" t="n">
        <f aca="false">TblConstr[[#This Row],[Tot Farm]]*farm_food + TblConstr[[#This Row],[Tot Doc]]*dock_food</f>
        <v>3280</v>
      </c>
      <c r="AD124" s="69" t="n">
        <f aca="false">TblConstr[[#This Row],[Tot Ly]]*ly_lumber + TblConstr[[#This Row],[Tot Hav]]*fh_lumber</f>
        <v>1250</v>
      </c>
      <c r="AE124" s="69" t="n">
        <f aca="false">OFFSET(TblConstr[[#This Row],[Tot Tow]],1,0)*(tower_mana + tech_4_5*TblTech[[#This Row],[4-5]]) + OFFSET(TblConstr[[#This Row],[Tot WG]],1,0)*wg_mana_prod</f>
        <v>725</v>
      </c>
      <c r="AF124" s="69" t="n">
        <f aca="false">OFFSET(TblConstr[[#This Row],[Tot OM]],1,0)*om_ore+IF(race="Dwarf",ROUNDDOWN(TblMili[[#This Row],[Unit 2]]*0.4,0),)</f>
        <v>0</v>
      </c>
      <c r="AG124" s="69" t="n">
        <f aca="false">OFFSET(TblConstr[[#This Row],[Tot DM]],1,0)*dm_gems</f>
        <v>0</v>
      </c>
      <c r="AH124" s="132"/>
      <c r="AI124" s="149" t="n">
        <f aca="false">MIN(race_platinum_bonus + IF(TblMagic[[#This Row],[Active Alch Frost]]&gt;0,alch_frost_bonus,IF(Magic!AD124&gt;0,midas_bonus)) + TblImps[[#This Row],[Science]] - TblProd[[#This Row],[Guard]]*(0.02 + tech_5_7*TblTech[[#This Row],[5-7]]) + tech_1_5*TblTech[[#This Row],[1-5]] + tech_4_4*TblTech[[#This Row],[4-4]], 0.5)</f>
        <v>0</v>
      </c>
      <c r="AJ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4" s="149" t="n">
        <f aca="false">race_lumber_bonus+ IF(TblMagic[[#This Row],[Active Gaia''s Blessing]]&gt;0,gaias_blessing_lumber)+ tech_1_3*TblTech[[#This Row],[1-3]] + tech_1_6*TblTech[[#This Row],[1-6]] + tech_3_3*TblTech[[#This Row],[3-3]]</f>
        <v>-0.1</v>
      </c>
      <c r="AL124" s="149" t="n">
        <f aca="false">race_mana_bonus+ 0 + TblImps[[#This Row],[Towers]] + tech_1_2*TblTech[[#This Row],[1-2]] + tech_3_4*TblTech[[#This Row],[3-4]]</f>
        <v>0</v>
      </c>
      <c r="AM124" s="149" t="n">
        <f aca="false">race_ore_bonus + IF(TblMagic[[#This Row],[Active Miner''s Sight]]&gt;0,miners_sight_bonus,IF(TblMagic[[#This Row],[Active Mining Strength]]&gt;0,mining_strength_bonus)) +  tech_1_6*TblTech[[#This Row],[1-6]]</f>
        <v>0</v>
      </c>
      <c r="AN124" s="149" t="n">
        <f aca="false">race_gem_bonus+ tech_3_2*TblTech[[#This Row],[3-2]] + tech_4_3*TblTech[[#This Row],[4-3]] + tech_6_2*TblTech[[#This Row],[6-2]]</f>
        <v>0.15</v>
      </c>
      <c r="AO124" s="132"/>
      <c r="AP124" s="69" t="n">
        <f aca="false">TblProd[[#This Row],[Food]]*food_decay * (1 + tech_2_1*TblTech[[#This Row],[2-1]] + tech_2_8*TblTech[[#This Row],[2-8]])</f>
        <v>2785.95</v>
      </c>
      <c r="AQ124" s="69" t="n">
        <f aca="false">(1+race_food_consumption)*TblPop[[#This Row],[Total]]*food_per_person*(1+tech_1_10*TblTech[[#This Row],[1-10]]+tech_7_5*TblTech[[#This Row],[7-5]])</f>
        <v>3234.75</v>
      </c>
      <c r="AR124" s="69" t="n">
        <f aca="false">TblProd[[#This Row],[Lumber]]*lumber_rot * (1 + tech_2_1*TblTech[[#This Row],[2-1]] + tech_2_8*TblTech[[#This Row],[2-8]] + tech_5_2*TblTech[[#This Row],[5-2]])</f>
        <v>520.27</v>
      </c>
      <c r="AS124" s="69" t="n">
        <f aca="false">TblProd[[#This Row],[Mana]]*mana_drain * (1 + tech_2_1*TblTech[[#This Row],[2-1]] + tech_2_8*TblTech[[#This Row],[2-8]])</f>
        <v>3466.18</v>
      </c>
      <c r="AT124" s="146"/>
      <c r="AU124" s="69" t="n">
        <f aca="false">TblExplore[[#This Row],[Platinum (2)]]+TblConstr[[#This Row],[Total Plat Cost]]+TblMili[[#This Row],[Plat Cost]]+TblRezone[[#This Row],[Platinum cost]]+TblImps[[#This Row],[P1]]-TblProd[[#This Row],[Bank Plat]]</f>
        <v>0</v>
      </c>
      <c r="AV124" s="69" t="n">
        <f aca="false">TblConstr[[#This Row],[Total Lum Cost]]+TblImps[[#This Row],[L1]]-TblProd[[#This Row],[Bank Lumber]] + Military!$CL$25*TblMili[[#This Row],[Sec. rec. Cost]]</f>
        <v>0</v>
      </c>
      <c r="AW124" s="69" t="n">
        <f aca="false">TblMagic[[#This Row],[Mana cost]] + Military!$CL$26*TblMili[[#This Row],[Sec. rec. Cost]]</f>
        <v>0</v>
      </c>
      <c r="AX124" s="69" t="n">
        <f aca="false">Military!$CL$24*TblMili[[#This Row],[Sec. rec. Cost]]+TblImps[[#This Row],[O1]]-TblProd[[#This Row],[Bank Ore]]</f>
        <v>0</v>
      </c>
      <c r="AY124" s="69" t="n">
        <f aca="false">TblImps[[#This Row],[G1]]-TblProd[[#This Row],[Bank Gems]]</f>
        <v>0</v>
      </c>
      <c r="AZ124" s="132"/>
      <c r="BA124" s="33" t="n">
        <f aca="false">IF(TblProd[[#This Row],[Set Guard]]&lt;&gt;"",TblProd[[#This Row],[Set Guard]],OFFSET(TblProd[[#This Row],[Guard]],-1,0))</f>
        <v>0</v>
      </c>
      <c r="BB124" s="145"/>
      <c r="BC124" s="151" t="n">
        <f aca="false">TblProd[[#This Row],[Hour]]</f>
        <v>49</v>
      </c>
      <c r="BD124" s="152" t="n">
        <f aca="false">-TblProd[[#This Row],[Bank Lumber]] / 2 + -TblProd[[#This Row],[Bank Gems]] * 2 + -TblProd[[#This Row],[Bank Ore]] / 2</f>
        <v>0</v>
      </c>
      <c r="BE124" s="152"/>
      <c r="BF124" s="152"/>
      <c r="BG124" s="152"/>
      <c r="BH124" s="153" t="n">
        <f aca="false">TblProd[[#This Row],[Time]]</f>
        <v>45434.75</v>
      </c>
      <c r="BI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J124" s="69" t="n">
        <f aca="false">TblProd[[#This Row],[Platinum]]</f>
        <v>1866489</v>
      </c>
      <c r="BK124" s="69" t="n">
        <f aca="false">TblProd[[#This Row],[Food]]</f>
        <v>278595</v>
      </c>
      <c r="BL124" s="69" t="n">
        <f aca="false">TblProd[[#This Row],[Lumber]]</f>
        <v>52027</v>
      </c>
      <c r="BM124" s="69" t="n">
        <f aca="false">TblProd[[#This Row],[Mana]]</f>
        <v>173309</v>
      </c>
      <c r="BN124" s="69" t="n">
        <f aca="false">TblProd[[#This Row],[Ore]]</f>
        <v>-357</v>
      </c>
    </row>
    <row r="125" customFormat="false" ht="12.75" hidden="false" customHeight="false" outlineLevel="0" collapsed="false">
      <c r="A125" s="128" t="n">
        <v>50</v>
      </c>
      <c r="B125" s="144" t="n">
        <f aca="false">TblImps[[#This Row],[Time]]</f>
        <v>45434.7916666667</v>
      </c>
      <c r="C125" s="145"/>
      <c r="D125" s="146"/>
      <c r="E125" s="69" t="n">
        <f aca="false">TblConstr[[#This Row],[Land]]</f>
        <v>700</v>
      </c>
      <c r="F125" s="69" t="n">
        <f aca="false">TblPop[[#This Row],[Peasants]]</f>
        <v>6166</v>
      </c>
      <c r="G125" s="69"/>
      <c r="H125" s="69" t="e">
        <f aca="false">TblMili[[#This Row],[Networth (2)]]</f>
        <v>#VALUE!</v>
      </c>
      <c r="I125" s="69" t="n">
        <f aca="false">OFFSET(TblProd[[#This Row],[Platinum]],-1,0)+OFFSET(TblProd[[#This Row],[Plat/hr]],-1,0) - TblProd[[#This Row],[Expenses Platinum]] + IF(TblProd[[#This Row],[Plat Bonus]],TblPop[[#This Row],[Peasants]]*4) + SUM(TblConstr[[#This Row],[Dest Hom]:[Dest Doc]])*TblConstr[[#This Row],[CPA Platinum -DB]]*tech_3_3_2*TblTech[[#This Row],[3-3]]</f>
        <v>1895679</v>
      </c>
      <c r="J125" s="69" t="n">
        <f aca="false">OFFSET(TblProd[[#This Row],[Food]],-1,0)+OFFSET(TblProd[[#This Row],[Food/hr]],-1,0)+ROUNDUP((TblConstr[[#This Row],[Farms]]*80+TblConstr[[#This Row],[Docks]]*35)*(1+OFFSET(TblProd[[#This Row],[Bonus Food/hr]],-1,0)),0)</f>
        <v>275936</v>
      </c>
      <c r="K125" s="69" t="n">
        <f aca="false">OFFSET(TblProd[[#This Row],[Lumber]],-1,0)+OFFSET(TblProd[[#This Row],[Lumber/hr]],-1,0) - TblProd[[#This Row],[Expenses Lumber]] + SUM(TblConstr[[#This Row],[Dest Hom]:[Dest Doc]])*TblConstr[[#This Row],[CPA Lumber -DB]]*tech_3_3_2*TblTech[[#This Row],[3-3]]</f>
        <v>52632</v>
      </c>
      <c r="L125" s="69" t="n">
        <f aca="false">OFFSET(TblProd[[#This Row],[Mana]],-1,0)+OFFSET(TblProd[[#This Row],[Mana/hr]],-1,0)- TblProd[[#This Row],[Expenses Mana]]</f>
        <v>170568</v>
      </c>
      <c r="M125" s="69" t="n">
        <f aca="false">OFFSET(TblProd[[#This Row],[Ore]],-1,0)+OFFSET(TblProd[[#This Row],[Ore/hr]],-1,0) -TblProd[[#This Row],[Expenses Ore]]</f>
        <v>-357</v>
      </c>
      <c r="N125" s="69" t="n">
        <f aca="false">OFFSET(TblProd[[#This Row],[Gems]],-1,0)+OFFSET(TblProd[[#This Row],[Gems/hr]],-1,0) - TblProd[[#This Row],[Expenses Gems]]</f>
        <v>-1000</v>
      </c>
      <c r="O125" s="69" t="n">
        <f aca="false">OFFSET(TblProd[[#This Row],[Boats]],-1,0)+OFFSET(TblProd[[#This Row],[Boats/hr]],-1,0)</f>
        <v>87.0500000000001</v>
      </c>
      <c r="P125" s="69" t="n">
        <f aca="false">OFFSET(TblProd[[#This Row],[Prestige]],-1,0)</f>
        <v>250</v>
      </c>
      <c r="Q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5" s="69" t="n">
        <f aca="false">MAX(3750,_xlfn.CEILING.MATH(TblProd[[#This Row],[Land]]*2.5+OFFSET(TblTech[[#This Row],[Sum of tech]],-1,0)*150))</f>
        <v>3750</v>
      </c>
      <c r="S125" s="132"/>
      <c r="T125" s="69" t="n">
        <f aca="false">ROUNDDOWN(TblProd[[#This Row],[Raw Plat/hr]]*(1+TblProd[[#This Row],[Bonus Plat/hr]]),0)</f>
        <v>29023</v>
      </c>
      <c r="U125" s="69" t="n">
        <f aca="false">ROUND(TblProd[[#This Row],[Raw Food/hr]]*(1+TblProd[[#This Row],[Bonus Food/hr]])-TblProd[[#This Row],[Food decay]]-TblProd[[#This Row],[Food eaten]],0)</f>
        <v>-2632</v>
      </c>
      <c r="V125" s="69" t="n">
        <f aca="false">ROUND(TblProd[[#This Row],[Raw Lumber/hr]]*(1+TblProd[[#This Row],[Bonus Lumber/hr]])-TblProd[[#This Row],[Lumber rot]],0)</f>
        <v>599</v>
      </c>
      <c r="W125" s="69" t="n">
        <f aca="false">ROUND(TblProd[[#This Row],[Raw Mana/hr]]*(1+TblProd[[#This Row],[Bonus Mana/hr]])-TblProd[[#This Row],[Mana drain]],0)</f>
        <v>-2686</v>
      </c>
      <c r="X125" s="69" t="n">
        <f aca="false">ROUNDDOWN(TblProd[[#This Row],[Raw Ore/hr]]*(1+TblProd[[#This Row],[Bonux Ore/hr]]),0)</f>
        <v>0</v>
      </c>
      <c r="Y125" s="69" t="n">
        <f aca="false">ROUNDDOWN(TblProd[[#This Row],[Raw Gems/hr]]*(1+TblProd[[#This Row],[Bonus Gems/hr]]),0)</f>
        <v>0</v>
      </c>
      <c r="Z125" s="148" t="n">
        <f aca="false">OFFSET(TblConstr[[#This Row],[Tot Doc]],1,0)*dock_boats_hr * (1 + tech_4_1*TblTech[[#This Row],[4-1]])</f>
        <v>1.2</v>
      </c>
      <c r="AA125" s="146"/>
      <c r="AB125" s="69" t="n">
        <f aca="false">TblPop[[#This Row],[Peasants]]*tax*TblPop[[#This Row],[Employment]] + (Construction!AZ126+Construction!BX126)*(alch_plat+(Magic!AM125&gt;0)*alchemist_flame_bonus)</f>
        <v>29023.2</v>
      </c>
      <c r="AC125" s="69" t="n">
        <f aca="false">TblConstr[[#This Row],[Tot Farm]]*farm_food + TblConstr[[#This Row],[Tot Doc]]*dock_food</f>
        <v>3280</v>
      </c>
      <c r="AD125" s="69" t="n">
        <f aca="false">TblConstr[[#This Row],[Tot Ly]]*ly_lumber + TblConstr[[#This Row],[Tot Hav]]*fh_lumber</f>
        <v>1250</v>
      </c>
      <c r="AE125" s="69" t="n">
        <f aca="false">OFFSET(TblConstr[[#This Row],[Tot Tow]],1,0)*(tower_mana + tech_4_5*TblTech[[#This Row],[4-5]]) + OFFSET(TblConstr[[#This Row],[Tot WG]],1,0)*wg_mana_prod</f>
        <v>725</v>
      </c>
      <c r="AF125" s="69" t="n">
        <f aca="false">OFFSET(TblConstr[[#This Row],[Tot OM]],1,0)*om_ore+IF(race="Dwarf",ROUNDDOWN(TblMili[[#This Row],[Unit 2]]*0.4,0),)</f>
        <v>0</v>
      </c>
      <c r="AG125" s="69" t="n">
        <f aca="false">OFFSET(TblConstr[[#This Row],[Tot DM]],1,0)*dm_gems</f>
        <v>0</v>
      </c>
      <c r="AH125" s="132"/>
      <c r="AI125" s="149" t="n">
        <f aca="false">MIN(race_platinum_bonus + IF(TblMagic[[#This Row],[Active Alch Frost]]&gt;0,alch_frost_bonus,IF(Magic!AD125&gt;0,midas_bonus)) + TblImps[[#This Row],[Science]] - TblProd[[#This Row],[Guard]]*(0.02 + tech_5_7*TblTech[[#This Row],[5-7]]) + tech_1_5*TblTech[[#This Row],[1-5]] + tech_4_4*TblTech[[#This Row],[4-4]], 0.5)</f>
        <v>0</v>
      </c>
      <c r="AJ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5" s="149" t="n">
        <f aca="false">race_lumber_bonus+ IF(TblMagic[[#This Row],[Active Gaia''s Blessing]]&gt;0,gaias_blessing_lumber)+ tech_1_3*TblTech[[#This Row],[1-3]] + tech_1_6*TblTech[[#This Row],[1-6]] + tech_3_3*TblTech[[#This Row],[3-3]]</f>
        <v>-0.1</v>
      </c>
      <c r="AL125" s="149" t="n">
        <f aca="false">race_mana_bonus+ 0 + TblImps[[#This Row],[Towers]] + tech_1_2*TblTech[[#This Row],[1-2]] + tech_3_4*TblTech[[#This Row],[3-4]]</f>
        <v>0</v>
      </c>
      <c r="AM125" s="149" t="n">
        <f aca="false">race_ore_bonus + IF(TblMagic[[#This Row],[Active Miner''s Sight]]&gt;0,miners_sight_bonus,IF(TblMagic[[#This Row],[Active Mining Strength]]&gt;0,mining_strength_bonus)) +  tech_1_6*TblTech[[#This Row],[1-6]]</f>
        <v>0</v>
      </c>
      <c r="AN125" s="149" t="n">
        <f aca="false">race_gem_bonus+ tech_3_2*TblTech[[#This Row],[3-2]] + tech_4_3*TblTech[[#This Row],[4-3]] + tech_6_2*TblTech[[#This Row],[6-2]]</f>
        <v>0.15</v>
      </c>
      <c r="AO125" s="132"/>
      <c r="AP125" s="69" t="n">
        <f aca="false">TblProd[[#This Row],[Food]]*food_decay * (1 + tech_2_1*TblTech[[#This Row],[2-1]] + tech_2_8*TblTech[[#This Row],[2-8]])</f>
        <v>2759.36</v>
      </c>
      <c r="AQ125" s="69" t="n">
        <f aca="false">(1+race_food_consumption)*TblPop[[#This Row],[Total]]*food_per_person*(1+tech_1_10*TblTech[[#This Row],[1-10]]+tech_7_5*TblTech[[#This Row],[7-5]])</f>
        <v>3234.75</v>
      </c>
      <c r="AR125" s="69" t="n">
        <f aca="false">TblProd[[#This Row],[Lumber]]*lumber_rot * (1 + tech_2_1*TblTech[[#This Row],[2-1]] + tech_2_8*TblTech[[#This Row],[2-8]] + tech_5_2*TblTech[[#This Row],[5-2]])</f>
        <v>526.32</v>
      </c>
      <c r="AS125" s="69" t="n">
        <f aca="false">TblProd[[#This Row],[Mana]]*mana_drain * (1 + tech_2_1*TblTech[[#This Row],[2-1]] + tech_2_8*TblTech[[#This Row],[2-8]])</f>
        <v>3411.36</v>
      </c>
      <c r="AT125" s="146"/>
      <c r="AU125" s="69" t="n">
        <f aca="false">TblExplore[[#This Row],[Platinum (2)]]+TblConstr[[#This Row],[Total Plat Cost]]+TblMili[[#This Row],[Plat Cost]]+TblRezone[[#This Row],[Platinum cost]]+TblImps[[#This Row],[P1]]-TblProd[[#This Row],[Bank Plat]]</f>
        <v>0</v>
      </c>
      <c r="AV125" s="69" t="n">
        <f aca="false">TblConstr[[#This Row],[Total Lum Cost]]+TblImps[[#This Row],[L1]]-TblProd[[#This Row],[Bank Lumber]] + Military!$CL$25*TblMili[[#This Row],[Sec. rec. Cost]]</f>
        <v>0</v>
      </c>
      <c r="AW125" s="69" t="n">
        <f aca="false">TblMagic[[#This Row],[Mana cost]] + Military!$CL$26*TblMili[[#This Row],[Sec. rec. Cost]]</f>
        <v>0</v>
      </c>
      <c r="AX125" s="69" t="n">
        <f aca="false">Military!$CL$24*TblMili[[#This Row],[Sec. rec. Cost]]+TblImps[[#This Row],[O1]]-TblProd[[#This Row],[Bank Ore]]</f>
        <v>0</v>
      </c>
      <c r="AY125" s="69" t="n">
        <f aca="false">TblImps[[#This Row],[G1]]-TblProd[[#This Row],[Bank Gems]]</f>
        <v>0</v>
      </c>
      <c r="AZ125" s="132"/>
      <c r="BA125" s="33" t="n">
        <f aca="false">IF(TblProd[[#This Row],[Set Guard]]&lt;&gt;"",TblProd[[#This Row],[Set Guard]],OFFSET(TblProd[[#This Row],[Guard]],-1,0))</f>
        <v>0</v>
      </c>
      <c r="BB125" s="145"/>
      <c r="BC125" s="151" t="n">
        <f aca="false">TblProd[[#This Row],[Hour]]</f>
        <v>50</v>
      </c>
      <c r="BD125" s="152" t="n">
        <f aca="false">-TblProd[[#This Row],[Bank Lumber]] / 2 + -TblProd[[#This Row],[Bank Gems]] * 2 + -TblProd[[#This Row],[Bank Ore]] / 2</f>
        <v>0</v>
      </c>
      <c r="BE125" s="152"/>
      <c r="BF125" s="152"/>
      <c r="BG125" s="152"/>
      <c r="BH125" s="153" t="n">
        <f aca="false">TblProd[[#This Row],[Time]]</f>
        <v>45434.7916666667</v>
      </c>
      <c r="BI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J125" s="69" t="n">
        <f aca="false">TblProd[[#This Row],[Platinum]]</f>
        <v>1895679</v>
      </c>
      <c r="BK125" s="69" t="n">
        <f aca="false">TblProd[[#This Row],[Food]]</f>
        <v>275936</v>
      </c>
      <c r="BL125" s="69" t="n">
        <f aca="false">TblProd[[#This Row],[Lumber]]</f>
        <v>52632</v>
      </c>
      <c r="BM125" s="69" t="n">
        <f aca="false">TblProd[[#This Row],[Mana]]</f>
        <v>170568</v>
      </c>
      <c r="BN125" s="69" t="n">
        <f aca="false">TblProd[[#This Row],[Ore]]</f>
        <v>-357</v>
      </c>
    </row>
    <row r="126" customFormat="false" ht="12.75" hidden="false" customHeight="false" outlineLevel="0" collapsed="false">
      <c r="A126" s="128" t="n">
        <v>51</v>
      </c>
      <c r="B126" s="144" t="n">
        <f aca="false">TblImps[[#This Row],[Time]]</f>
        <v>45434.8333333333</v>
      </c>
      <c r="C126" s="145"/>
      <c r="D126" s="146"/>
      <c r="E126" s="69" t="n">
        <f aca="false">TblConstr[[#This Row],[Land]]</f>
        <v>700</v>
      </c>
      <c r="F126" s="69" t="n">
        <f aca="false">TblPop[[#This Row],[Peasants]]</f>
        <v>6104</v>
      </c>
      <c r="G126" s="69"/>
      <c r="H126" s="69" t="e">
        <f aca="false">TblMili[[#This Row],[Networth (2)]]</f>
        <v>#VALUE!</v>
      </c>
      <c r="I126" s="69" t="n">
        <f aca="false">OFFSET(TblProd[[#This Row],[Platinum]],-1,0)+OFFSET(TblProd[[#This Row],[Plat/hr]],-1,0) - TblProd[[#This Row],[Expenses Platinum]] + IF(TblProd[[#This Row],[Plat Bonus]],TblPop[[#This Row],[Peasants]]*4) + SUM(TblConstr[[#This Row],[Dest Hom]:[Dest Doc]])*TblConstr[[#This Row],[CPA Platinum -DB]]*tech_3_3_2*TblTech[[#This Row],[3-3]]</f>
        <v>1924702</v>
      </c>
      <c r="J126" s="69" t="n">
        <f aca="false">OFFSET(TblProd[[#This Row],[Food]],-1,0)+OFFSET(TblProd[[#This Row],[Food/hr]],-1,0)+ROUNDUP((TblConstr[[#This Row],[Farms]]*80+TblConstr[[#This Row],[Docks]]*35)*(1+OFFSET(TblProd[[#This Row],[Bonus Food/hr]],-1,0)),0)</f>
        <v>273304</v>
      </c>
      <c r="K126" s="69" t="n">
        <f aca="false">OFFSET(TblProd[[#This Row],[Lumber]],-1,0)+OFFSET(TblProd[[#This Row],[Lumber/hr]],-1,0) - TblProd[[#This Row],[Expenses Lumber]] + SUM(TblConstr[[#This Row],[Dest Hom]:[Dest Doc]])*TblConstr[[#This Row],[CPA Lumber -DB]]*tech_3_3_2*TblTech[[#This Row],[3-3]]</f>
        <v>53231</v>
      </c>
      <c r="L126" s="69" t="n">
        <f aca="false">OFFSET(TblProd[[#This Row],[Mana]],-1,0)+OFFSET(TblProd[[#This Row],[Mana/hr]],-1,0)- TblProd[[#This Row],[Expenses Mana]]</f>
        <v>167882</v>
      </c>
      <c r="M126" s="69" t="n">
        <f aca="false">OFFSET(TblProd[[#This Row],[Ore]],-1,0)+OFFSET(TblProd[[#This Row],[Ore/hr]],-1,0) -TblProd[[#This Row],[Expenses Ore]]</f>
        <v>-357</v>
      </c>
      <c r="N126" s="69" t="n">
        <f aca="false">OFFSET(TblProd[[#This Row],[Gems]],-1,0)+OFFSET(TblProd[[#This Row],[Gems/hr]],-1,0) - TblProd[[#This Row],[Expenses Gems]]</f>
        <v>-1000</v>
      </c>
      <c r="O126" s="69" t="n">
        <f aca="false">OFFSET(TblProd[[#This Row],[Boats]],-1,0)+OFFSET(TblProd[[#This Row],[Boats/hr]],-1,0)</f>
        <v>88.2500000000001</v>
      </c>
      <c r="P126" s="69" t="n">
        <f aca="false">OFFSET(TblProd[[#This Row],[Prestige]],-1,0)</f>
        <v>250</v>
      </c>
      <c r="Q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6" s="69" t="n">
        <f aca="false">MAX(3750,_xlfn.CEILING.MATH(TblProd[[#This Row],[Land]]*2.5+OFFSET(TblTech[[#This Row],[Sum of tech]],-1,0)*150))</f>
        <v>3750</v>
      </c>
      <c r="S126" s="132"/>
      <c r="T126" s="69" t="n">
        <f aca="false">ROUNDDOWN(TblProd[[#This Row],[Raw Plat/hr]]*(1+TblProd[[#This Row],[Bonus Plat/hr]]),0)</f>
        <v>28855</v>
      </c>
      <c r="U126" s="69" t="n">
        <f aca="false">ROUND(TblProd[[#This Row],[Raw Food/hr]]*(1+TblProd[[#This Row],[Bonus Food/hr]])-TblProd[[#This Row],[Food decay]]-TblProd[[#This Row],[Food eaten]],0)</f>
        <v>-2606</v>
      </c>
      <c r="V126" s="69" t="n">
        <f aca="false">ROUND(TblProd[[#This Row],[Raw Lumber/hr]]*(1+TblProd[[#This Row],[Bonus Lumber/hr]])-TblProd[[#This Row],[Lumber rot]],0)</f>
        <v>593</v>
      </c>
      <c r="W126" s="69" t="n">
        <f aca="false">ROUND(TblProd[[#This Row],[Raw Mana/hr]]*(1+TblProd[[#This Row],[Bonus Mana/hr]])-TblProd[[#This Row],[Mana drain]],0)</f>
        <v>-2633</v>
      </c>
      <c r="X126" s="69" t="n">
        <f aca="false">ROUNDDOWN(TblProd[[#This Row],[Raw Ore/hr]]*(1+TblProd[[#This Row],[Bonux Ore/hr]]),0)</f>
        <v>0</v>
      </c>
      <c r="Y126" s="69" t="n">
        <f aca="false">ROUNDDOWN(TblProd[[#This Row],[Raw Gems/hr]]*(1+TblProd[[#This Row],[Bonus Gems/hr]]),0)</f>
        <v>0</v>
      </c>
      <c r="Z126" s="148" t="n">
        <f aca="false">OFFSET(TblConstr[[#This Row],[Tot Doc]],1,0)*dock_boats_hr * (1 + tech_4_1*TblTech[[#This Row],[4-1]])</f>
        <v>1.2</v>
      </c>
      <c r="AA126" s="146"/>
      <c r="AB126" s="69" t="n">
        <f aca="false">TblPop[[#This Row],[Peasants]]*tax*TblPop[[#This Row],[Employment]] + (Construction!AZ127+Construction!BX127)*(alch_plat+(Magic!AM126&gt;0)*alchemist_flame_bonus)</f>
        <v>28855.8</v>
      </c>
      <c r="AC126" s="69" t="n">
        <f aca="false">TblConstr[[#This Row],[Tot Farm]]*farm_food + TblConstr[[#This Row],[Tot Doc]]*dock_food</f>
        <v>3280</v>
      </c>
      <c r="AD126" s="69" t="n">
        <f aca="false">TblConstr[[#This Row],[Tot Ly]]*ly_lumber + TblConstr[[#This Row],[Tot Hav]]*fh_lumber</f>
        <v>1250</v>
      </c>
      <c r="AE126" s="69" t="n">
        <f aca="false">OFFSET(TblConstr[[#This Row],[Tot Tow]],1,0)*(tower_mana + tech_4_5*TblTech[[#This Row],[4-5]]) + OFFSET(TblConstr[[#This Row],[Tot WG]],1,0)*wg_mana_prod</f>
        <v>725</v>
      </c>
      <c r="AF126" s="69" t="n">
        <f aca="false">OFFSET(TblConstr[[#This Row],[Tot OM]],1,0)*om_ore+IF(race="Dwarf",ROUNDDOWN(TblMili[[#This Row],[Unit 2]]*0.4,0),)</f>
        <v>0</v>
      </c>
      <c r="AG126" s="69" t="n">
        <f aca="false">OFFSET(TblConstr[[#This Row],[Tot DM]],1,0)*dm_gems</f>
        <v>0</v>
      </c>
      <c r="AH126" s="132"/>
      <c r="AI126" s="149" t="n">
        <f aca="false">MIN(race_platinum_bonus + IF(TblMagic[[#This Row],[Active Alch Frost]]&gt;0,alch_frost_bonus,IF(Magic!AD126&gt;0,midas_bonus)) + TblImps[[#This Row],[Science]] - TblProd[[#This Row],[Guard]]*(0.02 + tech_5_7*TblTech[[#This Row],[5-7]]) + tech_1_5*TblTech[[#This Row],[1-5]] + tech_4_4*TblTech[[#This Row],[4-4]], 0.5)</f>
        <v>0</v>
      </c>
      <c r="AJ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6" s="149" t="n">
        <f aca="false">race_lumber_bonus+ IF(TblMagic[[#This Row],[Active Gaia''s Blessing]]&gt;0,gaias_blessing_lumber)+ tech_1_3*TblTech[[#This Row],[1-3]] + tech_1_6*TblTech[[#This Row],[1-6]] + tech_3_3*TblTech[[#This Row],[3-3]]</f>
        <v>-0.1</v>
      </c>
      <c r="AL126" s="149" t="n">
        <f aca="false">race_mana_bonus+ 0 + TblImps[[#This Row],[Towers]] + tech_1_2*TblTech[[#This Row],[1-2]] + tech_3_4*TblTech[[#This Row],[3-4]]</f>
        <v>0</v>
      </c>
      <c r="AM126" s="149" t="n">
        <f aca="false">race_ore_bonus + IF(TblMagic[[#This Row],[Active Miner''s Sight]]&gt;0,miners_sight_bonus,IF(TblMagic[[#This Row],[Active Mining Strength]]&gt;0,mining_strength_bonus)) +  tech_1_6*TblTech[[#This Row],[1-6]]</f>
        <v>0</v>
      </c>
      <c r="AN126" s="149" t="n">
        <f aca="false">race_gem_bonus+ tech_3_2*TblTech[[#This Row],[3-2]] + tech_4_3*TblTech[[#This Row],[4-3]] + tech_6_2*TblTech[[#This Row],[6-2]]</f>
        <v>0.15</v>
      </c>
      <c r="AO126" s="132"/>
      <c r="AP126" s="69" t="n">
        <f aca="false">TblProd[[#This Row],[Food]]*food_decay * (1 + tech_2_1*TblTech[[#This Row],[2-1]] + tech_2_8*TblTech[[#This Row],[2-8]])</f>
        <v>2733.04</v>
      </c>
      <c r="AQ126" s="69" t="n">
        <f aca="false">(1+race_food_consumption)*TblPop[[#This Row],[Total]]*food_per_person*(1+tech_1_10*TblTech[[#This Row],[1-10]]+tech_7_5*TblTech[[#This Row],[7-5]])</f>
        <v>3234.75</v>
      </c>
      <c r="AR126" s="69" t="n">
        <f aca="false">TblProd[[#This Row],[Lumber]]*lumber_rot * (1 + tech_2_1*TblTech[[#This Row],[2-1]] + tech_2_8*TblTech[[#This Row],[2-8]] + tech_5_2*TblTech[[#This Row],[5-2]])</f>
        <v>532.31</v>
      </c>
      <c r="AS126" s="69" t="n">
        <f aca="false">TblProd[[#This Row],[Mana]]*mana_drain * (1 + tech_2_1*TblTech[[#This Row],[2-1]] + tech_2_8*TblTech[[#This Row],[2-8]])</f>
        <v>3357.64</v>
      </c>
      <c r="AT126" s="146"/>
      <c r="AU126" s="69" t="n">
        <f aca="false">TblExplore[[#This Row],[Platinum (2)]]+TblConstr[[#This Row],[Total Plat Cost]]+TblMili[[#This Row],[Plat Cost]]+TblRezone[[#This Row],[Platinum cost]]+TblImps[[#This Row],[P1]]-TblProd[[#This Row],[Bank Plat]]</f>
        <v>0</v>
      </c>
      <c r="AV126" s="69" t="n">
        <f aca="false">TblConstr[[#This Row],[Total Lum Cost]]+TblImps[[#This Row],[L1]]-TblProd[[#This Row],[Bank Lumber]] + Military!$CL$25*TblMili[[#This Row],[Sec. rec. Cost]]</f>
        <v>0</v>
      </c>
      <c r="AW126" s="69" t="n">
        <f aca="false">TblMagic[[#This Row],[Mana cost]] + Military!$CL$26*TblMili[[#This Row],[Sec. rec. Cost]]</f>
        <v>0</v>
      </c>
      <c r="AX126" s="69" t="n">
        <f aca="false">Military!$CL$24*TblMili[[#This Row],[Sec. rec. Cost]]+TblImps[[#This Row],[O1]]-TblProd[[#This Row],[Bank Ore]]</f>
        <v>0</v>
      </c>
      <c r="AY126" s="69" t="n">
        <f aca="false">TblImps[[#This Row],[G1]]-TblProd[[#This Row],[Bank Gems]]</f>
        <v>0</v>
      </c>
      <c r="AZ126" s="132"/>
      <c r="BA126" s="33" t="n">
        <f aca="false">IF(TblProd[[#This Row],[Set Guard]]&lt;&gt;"",TblProd[[#This Row],[Set Guard]],OFFSET(TblProd[[#This Row],[Guard]],-1,0))</f>
        <v>0</v>
      </c>
      <c r="BB126" s="145"/>
      <c r="BC126" s="151" t="n">
        <f aca="false">TblProd[[#This Row],[Hour]]</f>
        <v>51</v>
      </c>
      <c r="BD126" s="152" t="n">
        <f aca="false">-TblProd[[#This Row],[Bank Lumber]] / 2 + -TblProd[[#This Row],[Bank Gems]] * 2 + -TblProd[[#This Row],[Bank Ore]] / 2</f>
        <v>0</v>
      </c>
      <c r="BE126" s="152"/>
      <c r="BF126" s="152"/>
      <c r="BG126" s="152"/>
      <c r="BH126" s="153" t="n">
        <f aca="false">TblProd[[#This Row],[Time]]</f>
        <v>45434.8333333333</v>
      </c>
      <c r="BI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J126" s="69" t="n">
        <f aca="false">TblProd[[#This Row],[Platinum]]</f>
        <v>1924702</v>
      </c>
      <c r="BK126" s="69" t="n">
        <f aca="false">TblProd[[#This Row],[Food]]</f>
        <v>273304</v>
      </c>
      <c r="BL126" s="69" t="n">
        <f aca="false">TblProd[[#This Row],[Lumber]]</f>
        <v>53231</v>
      </c>
      <c r="BM126" s="69" t="n">
        <f aca="false">TblProd[[#This Row],[Mana]]</f>
        <v>167882</v>
      </c>
      <c r="BN126" s="69" t="n">
        <f aca="false">TblProd[[#This Row],[Ore]]</f>
        <v>-357</v>
      </c>
    </row>
    <row r="127" customFormat="false" ht="12.75" hidden="false" customHeight="false" outlineLevel="0" collapsed="false">
      <c r="A127" s="128" t="n">
        <v>52</v>
      </c>
      <c r="B127" s="144" t="n">
        <f aca="false">TblImps[[#This Row],[Time]]</f>
        <v>45434.875</v>
      </c>
      <c r="C127" s="145"/>
      <c r="D127" s="146"/>
      <c r="E127" s="69" t="n">
        <f aca="false">TblConstr[[#This Row],[Land]]</f>
        <v>700</v>
      </c>
      <c r="F127" s="69" t="n">
        <f aca="false">TblPop[[#This Row],[Peasants]]</f>
        <v>6043</v>
      </c>
      <c r="G127" s="69"/>
      <c r="H127" s="69" t="e">
        <f aca="false">TblMili[[#This Row],[Networth (2)]]</f>
        <v>#VALUE!</v>
      </c>
      <c r="I127" s="69" t="n">
        <f aca="false">OFFSET(TblProd[[#This Row],[Platinum]],-1,0)+OFFSET(TblProd[[#This Row],[Plat/hr]],-1,0) - TblProd[[#This Row],[Expenses Platinum]] + IF(TblProd[[#This Row],[Plat Bonus]],TblPop[[#This Row],[Peasants]]*4) + SUM(TblConstr[[#This Row],[Dest Hom]:[Dest Doc]])*TblConstr[[#This Row],[CPA Platinum -DB]]*tech_3_3_2*TblTech[[#This Row],[3-3]]</f>
        <v>1953557</v>
      </c>
      <c r="J127" s="69" t="n">
        <f aca="false">OFFSET(TblProd[[#This Row],[Food]],-1,0)+OFFSET(TblProd[[#This Row],[Food/hr]],-1,0)+ROUNDUP((TblConstr[[#This Row],[Farms]]*80+TblConstr[[#This Row],[Docks]]*35)*(1+OFFSET(TblProd[[#This Row],[Bonus Food/hr]],-1,0)),0)</f>
        <v>270698</v>
      </c>
      <c r="K127" s="69" t="n">
        <f aca="false">OFFSET(TblProd[[#This Row],[Lumber]],-1,0)+OFFSET(TblProd[[#This Row],[Lumber/hr]],-1,0) - TblProd[[#This Row],[Expenses Lumber]] + SUM(TblConstr[[#This Row],[Dest Hom]:[Dest Doc]])*TblConstr[[#This Row],[CPA Lumber -DB]]*tech_3_3_2*TblTech[[#This Row],[3-3]]</f>
        <v>53824</v>
      </c>
      <c r="L127" s="69" t="n">
        <f aca="false">OFFSET(TblProd[[#This Row],[Mana]],-1,0)+OFFSET(TblProd[[#This Row],[Mana/hr]],-1,0)- TblProd[[#This Row],[Expenses Mana]]</f>
        <v>165249</v>
      </c>
      <c r="M127" s="69" t="n">
        <f aca="false">OFFSET(TblProd[[#This Row],[Ore]],-1,0)+OFFSET(TblProd[[#This Row],[Ore/hr]],-1,0) -TblProd[[#This Row],[Expenses Ore]]</f>
        <v>-357</v>
      </c>
      <c r="N127" s="69" t="n">
        <f aca="false">OFFSET(TblProd[[#This Row],[Gems]],-1,0)+OFFSET(TblProd[[#This Row],[Gems/hr]],-1,0) - TblProd[[#This Row],[Expenses Gems]]</f>
        <v>-1000</v>
      </c>
      <c r="O127" s="69" t="n">
        <f aca="false">OFFSET(TblProd[[#This Row],[Boats]],-1,0)+OFFSET(TblProd[[#This Row],[Boats/hr]],-1,0)</f>
        <v>89.4500000000001</v>
      </c>
      <c r="P127" s="69" t="n">
        <f aca="false">OFFSET(TblProd[[#This Row],[Prestige]],-1,0)</f>
        <v>250</v>
      </c>
      <c r="Q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7" s="69" t="n">
        <f aca="false">MAX(3750,_xlfn.CEILING.MATH(TblProd[[#This Row],[Land]]*2.5+OFFSET(TblTech[[#This Row],[Sum of tech]],-1,0)*150))</f>
        <v>3750</v>
      </c>
      <c r="S127" s="132"/>
      <c r="T127" s="69" t="n">
        <f aca="false">ROUNDDOWN(TblProd[[#This Row],[Raw Plat/hr]]*(1+TblProd[[#This Row],[Bonus Plat/hr]]),0)</f>
        <v>28691</v>
      </c>
      <c r="U127" s="69" t="n">
        <f aca="false">ROUND(TblProd[[#This Row],[Raw Food/hr]]*(1+TblProd[[#This Row],[Bonus Food/hr]])-TblProd[[#This Row],[Food decay]]-TblProd[[#This Row],[Food eaten]],0)</f>
        <v>-2580</v>
      </c>
      <c r="V127" s="69" t="n">
        <f aca="false">ROUND(TblProd[[#This Row],[Raw Lumber/hr]]*(1+TblProd[[#This Row],[Bonus Lumber/hr]])-TblProd[[#This Row],[Lumber rot]],0)</f>
        <v>587</v>
      </c>
      <c r="W127" s="69" t="n">
        <f aca="false">ROUND(TblProd[[#This Row],[Raw Mana/hr]]*(1+TblProd[[#This Row],[Bonus Mana/hr]])-TblProd[[#This Row],[Mana drain]],0)</f>
        <v>-2580</v>
      </c>
      <c r="X127" s="69" t="n">
        <f aca="false">ROUNDDOWN(TblProd[[#This Row],[Raw Ore/hr]]*(1+TblProd[[#This Row],[Bonux Ore/hr]]),0)</f>
        <v>0</v>
      </c>
      <c r="Y127" s="69" t="n">
        <f aca="false">ROUNDDOWN(TblProd[[#This Row],[Raw Gems/hr]]*(1+TblProd[[#This Row],[Bonus Gems/hr]]),0)</f>
        <v>0</v>
      </c>
      <c r="Z127" s="148" t="n">
        <f aca="false">OFFSET(TblConstr[[#This Row],[Tot Doc]],1,0)*dock_boats_hr * (1 + tech_4_1*TblTech[[#This Row],[4-1]])</f>
        <v>1.2</v>
      </c>
      <c r="AA127" s="146"/>
      <c r="AB127" s="69" t="n">
        <f aca="false">TblPop[[#This Row],[Peasants]]*tax*TblPop[[#This Row],[Employment]] + (Construction!AZ128+Construction!BX128)*(alch_plat+(Magic!AM127&gt;0)*alchemist_flame_bonus)</f>
        <v>28691.1</v>
      </c>
      <c r="AC127" s="69" t="n">
        <f aca="false">TblConstr[[#This Row],[Tot Farm]]*farm_food + TblConstr[[#This Row],[Tot Doc]]*dock_food</f>
        <v>3280</v>
      </c>
      <c r="AD127" s="69" t="n">
        <f aca="false">TblConstr[[#This Row],[Tot Ly]]*ly_lumber + TblConstr[[#This Row],[Tot Hav]]*fh_lumber</f>
        <v>1250</v>
      </c>
      <c r="AE127" s="69" t="n">
        <f aca="false">OFFSET(TblConstr[[#This Row],[Tot Tow]],1,0)*(tower_mana + tech_4_5*TblTech[[#This Row],[4-5]]) + OFFSET(TblConstr[[#This Row],[Tot WG]],1,0)*wg_mana_prod</f>
        <v>725</v>
      </c>
      <c r="AF127" s="69" t="n">
        <f aca="false">OFFSET(TblConstr[[#This Row],[Tot OM]],1,0)*om_ore+IF(race="Dwarf",ROUNDDOWN(TblMili[[#This Row],[Unit 2]]*0.4,0),)</f>
        <v>0</v>
      </c>
      <c r="AG127" s="69" t="n">
        <f aca="false">OFFSET(TblConstr[[#This Row],[Tot DM]],1,0)*dm_gems</f>
        <v>0</v>
      </c>
      <c r="AH127" s="132"/>
      <c r="AI127" s="149" t="n">
        <f aca="false">MIN(race_platinum_bonus + IF(TblMagic[[#This Row],[Active Alch Frost]]&gt;0,alch_frost_bonus,IF(Magic!AD127&gt;0,midas_bonus)) + TblImps[[#This Row],[Science]] - TblProd[[#This Row],[Guard]]*(0.02 + tech_5_7*TblTech[[#This Row],[5-7]]) + tech_1_5*TblTech[[#This Row],[1-5]] + tech_4_4*TblTech[[#This Row],[4-4]], 0.5)</f>
        <v>0</v>
      </c>
      <c r="AJ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7" s="149" t="n">
        <f aca="false">race_lumber_bonus+ IF(TblMagic[[#This Row],[Active Gaia''s Blessing]]&gt;0,gaias_blessing_lumber)+ tech_1_3*TblTech[[#This Row],[1-3]] + tech_1_6*TblTech[[#This Row],[1-6]] + tech_3_3*TblTech[[#This Row],[3-3]]</f>
        <v>-0.1</v>
      </c>
      <c r="AL127" s="149" t="n">
        <f aca="false">race_mana_bonus+ 0 + TblImps[[#This Row],[Towers]] + tech_1_2*TblTech[[#This Row],[1-2]] + tech_3_4*TblTech[[#This Row],[3-4]]</f>
        <v>0</v>
      </c>
      <c r="AM127" s="149" t="n">
        <f aca="false">race_ore_bonus + IF(TblMagic[[#This Row],[Active Miner''s Sight]]&gt;0,miners_sight_bonus,IF(TblMagic[[#This Row],[Active Mining Strength]]&gt;0,mining_strength_bonus)) +  tech_1_6*TblTech[[#This Row],[1-6]]</f>
        <v>0</v>
      </c>
      <c r="AN127" s="149" t="n">
        <f aca="false">race_gem_bonus+ tech_3_2*TblTech[[#This Row],[3-2]] + tech_4_3*TblTech[[#This Row],[4-3]] + tech_6_2*TblTech[[#This Row],[6-2]]</f>
        <v>0.15</v>
      </c>
      <c r="AO127" s="132"/>
      <c r="AP127" s="69" t="n">
        <f aca="false">TblProd[[#This Row],[Food]]*food_decay * (1 + tech_2_1*TblTech[[#This Row],[2-1]] + tech_2_8*TblTech[[#This Row],[2-8]])</f>
        <v>2706.98</v>
      </c>
      <c r="AQ127" s="69" t="n">
        <f aca="false">(1+race_food_consumption)*TblPop[[#This Row],[Total]]*food_per_person*(1+tech_1_10*TblTech[[#This Row],[1-10]]+tech_7_5*TblTech[[#This Row],[7-5]])</f>
        <v>3234.75</v>
      </c>
      <c r="AR127" s="69" t="n">
        <f aca="false">TblProd[[#This Row],[Lumber]]*lumber_rot * (1 + tech_2_1*TblTech[[#This Row],[2-1]] + tech_2_8*TblTech[[#This Row],[2-8]] + tech_5_2*TblTech[[#This Row],[5-2]])</f>
        <v>538.24</v>
      </c>
      <c r="AS127" s="69" t="n">
        <f aca="false">TblProd[[#This Row],[Mana]]*mana_drain * (1 + tech_2_1*TblTech[[#This Row],[2-1]] + tech_2_8*TblTech[[#This Row],[2-8]])</f>
        <v>3304.98</v>
      </c>
      <c r="AT127" s="146"/>
      <c r="AU127" s="69" t="n">
        <f aca="false">TblExplore[[#This Row],[Platinum (2)]]+TblConstr[[#This Row],[Total Plat Cost]]+TblMili[[#This Row],[Plat Cost]]+TblRezone[[#This Row],[Platinum cost]]+TblImps[[#This Row],[P1]]-TblProd[[#This Row],[Bank Plat]]</f>
        <v>0</v>
      </c>
      <c r="AV127" s="69" t="n">
        <f aca="false">TblConstr[[#This Row],[Total Lum Cost]]+TblImps[[#This Row],[L1]]-TblProd[[#This Row],[Bank Lumber]] + Military!$CL$25*TblMili[[#This Row],[Sec. rec. Cost]]</f>
        <v>0</v>
      </c>
      <c r="AW127" s="69" t="n">
        <f aca="false">TblMagic[[#This Row],[Mana cost]] + Military!$CL$26*TblMili[[#This Row],[Sec. rec. Cost]]</f>
        <v>0</v>
      </c>
      <c r="AX127" s="69" t="n">
        <f aca="false">Military!$CL$24*TblMili[[#This Row],[Sec. rec. Cost]]+TblImps[[#This Row],[O1]]-TblProd[[#This Row],[Bank Ore]]</f>
        <v>0</v>
      </c>
      <c r="AY127" s="69" t="n">
        <f aca="false">TblImps[[#This Row],[G1]]-TblProd[[#This Row],[Bank Gems]]</f>
        <v>0</v>
      </c>
      <c r="AZ127" s="132"/>
      <c r="BA127" s="33" t="n">
        <f aca="false">IF(TblProd[[#This Row],[Set Guard]]&lt;&gt;"",TblProd[[#This Row],[Set Guard]],OFFSET(TblProd[[#This Row],[Guard]],-1,0))</f>
        <v>0</v>
      </c>
      <c r="BB127" s="145"/>
      <c r="BC127" s="151" t="n">
        <f aca="false">TblProd[[#This Row],[Hour]]</f>
        <v>52</v>
      </c>
      <c r="BD127" s="152" t="n">
        <f aca="false">-TblProd[[#This Row],[Bank Lumber]] / 2 + -TblProd[[#This Row],[Bank Gems]] * 2 + -TblProd[[#This Row],[Bank Ore]] / 2</f>
        <v>0</v>
      </c>
      <c r="BE127" s="152"/>
      <c r="BF127" s="152"/>
      <c r="BG127" s="152"/>
      <c r="BH127" s="153" t="n">
        <f aca="false">TblProd[[#This Row],[Time]]</f>
        <v>45434.875</v>
      </c>
      <c r="BI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J127" s="69" t="n">
        <f aca="false">TblProd[[#This Row],[Platinum]]</f>
        <v>1953557</v>
      </c>
      <c r="BK127" s="69" t="n">
        <f aca="false">TblProd[[#This Row],[Food]]</f>
        <v>270698</v>
      </c>
      <c r="BL127" s="69" t="n">
        <f aca="false">TblProd[[#This Row],[Lumber]]</f>
        <v>53824</v>
      </c>
      <c r="BM127" s="69" t="n">
        <f aca="false">TblProd[[#This Row],[Mana]]</f>
        <v>165249</v>
      </c>
      <c r="BN127" s="69" t="n">
        <f aca="false">TblProd[[#This Row],[Ore]]</f>
        <v>-357</v>
      </c>
    </row>
    <row r="128" customFormat="false" ht="12.75" hidden="false" customHeight="false" outlineLevel="0" collapsed="false">
      <c r="A128" s="128" t="n">
        <v>53</v>
      </c>
      <c r="B128" s="144" t="n">
        <f aca="false">TblImps[[#This Row],[Time]]</f>
        <v>45434.9166666667</v>
      </c>
      <c r="C128" s="145"/>
      <c r="D128" s="146"/>
      <c r="E128" s="69" t="n">
        <f aca="false">TblConstr[[#This Row],[Land]]</f>
        <v>700</v>
      </c>
      <c r="F128" s="69" t="n">
        <f aca="false">TblPop[[#This Row],[Peasants]]</f>
        <v>5983</v>
      </c>
      <c r="G128" s="69"/>
      <c r="H128" s="69" t="e">
        <f aca="false">TblMili[[#This Row],[Networth (2)]]</f>
        <v>#VALUE!</v>
      </c>
      <c r="I128" s="69" t="n">
        <f aca="false">OFFSET(TblProd[[#This Row],[Platinum]],-1,0)+OFFSET(TblProd[[#This Row],[Plat/hr]],-1,0) - TblProd[[#This Row],[Expenses Platinum]] + IF(TblProd[[#This Row],[Plat Bonus]],TblPop[[#This Row],[Peasants]]*4) + SUM(TblConstr[[#This Row],[Dest Hom]:[Dest Doc]])*TblConstr[[#This Row],[CPA Platinum -DB]]*tech_3_3_2*TblTech[[#This Row],[3-3]]</f>
        <v>1982248</v>
      </c>
      <c r="J128" s="69" t="n">
        <f aca="false">OFFSET(TblProd[[#This Row],[Food]],-1,0)+OFFSET(TblProd[[#This Row],[Food/hr]],-1,0)+ROUNDUP((TblConstr[[#This Row],[Farms]]*80+TblConstr[[#This Row],[Docks]]*35)*(1+OFFSET(TblProd[[#This Row],[Bonus Food/hr]],-1,0)),0)</f>
        <v>268118</v>
      </c>
      <c r="K128" s="69" t="n">
        <f aca="false">OFFSET(TblProd[[#This Row],[Lumber]],-1,0)+OFFSET(TblProd[[#This Row],[Lumber/hr]],-1,0) - TblProd[[#This Row],[Expenses Lumber]] + SUM(TblConstr[[#This Row],[Dest Hom]:[Dest Doc]])*TblConstr[[#This Row],[CPA Lumber -DB]]*tech_3_3_2*TblTech[[#This Row],[3-3]]</f>
        <v>54411</v>
      </c>
      <c r="L128" s="69" t="n">
        <f aca="false">OFFSET(TblProd[[#This Row],[Mana]],-1,0)+OFFSET(TblProd[[#This Row],[Mana/hr]],-1,0)- TblProd[[#This Row],[Expenses Mana]]</f>
        <v>162669</v>
      </c>
      <c r="M128" s="69" t="n">
        <f aca="false">OFFSET(TblProd[[#This Row],[Ore]],-1,0)+OFFSET(TblProd[[#This Row],[Ore/hr]],-1,0) -TblProd[[#This Row],[Expenses Ore]]</f>
        <v>-357</v>
      </c>
      <c r="N128" s="69" t="n">
        <f aca="false">OFFSET(TblProd[[#This Row],[Gems]],-1,0)+OFFSET(TblProd[[#This Row],[Gems/hr]],-1,0) - TblProd[[#This Row],[Expenses Gems]]</f>
        <v>-1000</v>
      </c>
      <c r="O128" s="69" t="n">
        <f aca="false">OFFSET(TblProd[[#This Row],[Boats]],-1,0)+OFFSET(TblProd[[#This Row],[Boats/hr]],-1,0)</f>
        <v>90.6500000000001</v>
      </c>
      <c r="P128" s="69" t="n">
        <f aca="false">OFFSET(TblProd[[#This Row],[Prestige]],-1,0)</f>
        <v>250</v>
      </c>
      <c r="Q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8" s="69" t="n">
        <f aca="false">MAX(3750,_xlfn.CEILING.MATH(TblProd[[#This Row],[Land]]*2.5+OFFSET(TblTech[[#This Row],[Sum of tech]],-1,0)*150))</f>
        <v>3750</v>
      </c>
      <c r="S128" s="132"/>
      <c r="T128" s="69" t="n">
        <f aca="false">ROUNDDOWN(TblProd[[#This Row],[Raw Plat/hr]]*(1+TblProd[[#This Row],[Bonus Plat/hr]]),0)</f>
        <v>28529</v>
      </c>
      <c r="U128" s="69" t="n">
        <f aca="false">ROUND(TblProd[[#This Row],[Raw Food/hr]]*(1+TblProd[[#This Row],[Bonus Food/hr]])-TblProd[[#This Row],[Food decay]]-TblProd[[#This Row],[Food eaten]],0)</f>
        <v>-2554</v>
      </c>
      <c r="V128" s="69" t="n">
        <f aca="false">ROUND(TblProd[[#This Row],[Raw Lumber/hr]]*(1+TblProd[[#This Row],[Bonus Lumber/hr]])-TblProd[[#This Row],[Lumber rot]],0)</f>
        <v>581</v>
      </c>
      <c r="W128" s="69" t="n">
        <f aca="false">ROUND(TblProd[[#This Row],[Raw Mana/hr]]*(1+TblProd[[#This Row],[Bonus Mana/hr]])-TblProd[[#This Row],[Mana drain]],0)</f>
        <v>-2528</v>
      </c>
      <c r="X128" s="69" t="n">
        <f aca="false">ROUNDDOWN(TblProd[[#This Row],[Raw Ore/hr]]*(1+TblProd[[#This Row],[Bonux Ore/hr]]),0)</f>
        <v>0</v>
      </c>
      <c r="Y128" s="69" t="n">
        <f aca="false">ROUNDDOWN(TblProd[[#This Row],[Raw Gems/hr]]*(1+TblProd[[#This Row],[Bonus Gems/hr]]),0)</f>
        <v>0</v>
      </c>
      <c r="Z128" s="148" t="n">
        <f aca="false">OFFSET(TblConstr[[#This Row],[Tot Doc]],1,0)*dock_boats_hr * (1 + tech_4_1*TblTech[[#This Row],[4-1]])</f>
        <v>1.2</v>
      </c>
      <c r="AA128" s="146"/>
      <c r="AB128" s="69" t="n">
        <f aca="false">TblPop[[#This Row],[Peasants]]*tax*TblPop[[#This Row],[Employment]] + (Construction!AZ129+Construction!BX129)*(alch_plat+(Magic!AM128&gt;0)*alchemist_flame_bonus)</f>
        <v>28529.1</v>
      </c>
      <c r="AC128" s="69" t="n">
        <f aca="false">TblConstr[[#This Row],[Tot Farm]]*farm_food + TblConstr[[#This Row],[Tot Doc]]*dock_food</f>
        <v>3280</v>
      </c>
      <c r="AD128" s="69" t="n">
        <f aca="false">TblConstr[[#This Row],[Tot Ly]]*ly_lumber + TblConstr[[#This Row],[Tot Hav]]*fh_lumber</f>
        <v>1250</v>
      </c>
      <c r="AE128" s="69" t="n">
        <f aca="false">OFFSET(TblConstr[[#This Row],[Tot Tow]],1,0)*(tower_mana + tech_4_5*TblTech[[#This Row],[4-5]]) + OFFSET(TblConstr[[#This Row],[Tot WG]],1,0)*wg_mana_prod</f>
        <v>725</v>
      </c>
      <c r="AF128" s="69" t="n">
        <f aca="false">OFFSET(TblConstr[[#This Row],[Tot OM]],1,0)*om_ore+IF(race="Dwarf",ROUNDDOWN(TblMili[[#This Row],[Unit 2]]*0.4,0),)</f>
        <v>0</v>
      </c>
      <c r="AG128" s="69" t="n">
        <f aca="false">OFFSET(TblConstr[[#This Row],[Tot DM]],1,0)*dm_gems</f>
        <v>0</v>
      </c>
      <c r="AH128" s="132"/>
      <c r="AI128" s="149" t="n">
        <f aca="false">MIN(race_platinum_bonus + IF(TblMagic[[#This Row],[Active Alch Frost]]&gt;0,alch_frost_bonus,IF(Magic!AD128&gt;0,midas_bonus)) + TblImps[[#This Row],[Science]] - TblProd[[#This Row],[Guard]]*(0.02 + tech_5_7*TblTech[[#This Row],[5-7]]) + tech_1_5*TblTech[[#This Row],[1-5]] + tech_4_4*TblTech[[#This Row],[4-4]], 0.5)</f>
        <v>0</v>
      </c>
      <c r="AJ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8" s="149" t="n">
        <f aca="false">race_lumber_bonus+ IF(TblMagic[[#This Row],[Active Gaia''s Blessing]]&gt;0,gaias_blessing_lumber)+ tech_1_3*TblTech[[#This Row],[1-3]] + tech_1_6*TblTech[[#This Row],[1-6]] + tech_3_3*TblTech[[#This Row],[3-3]]</f>
        <v>-0.1</v>
      </c>
      <c r="AL128" s="149" t="n">
        <f aca="false">race_mana_bonus+ 0 + TblImps[[#This Row],[Towers]] + tech_1_2*TblTech[[#This Row],[1-2]] + tech_3_4*TblTech[[#This Row],[3-4]]</f>
        <v>0</v>
      </c>
      <c r="AM128" s="149" t="n">
        <f aca="false">race_ore_bonus + IF(TblMagic[[#This Row],[Active Miner''s Sight]]&gt;0,miners_sight_bonus,IF(TblMagic[[#This Row],[Active Mining Strength]]&gt;0,mining_strength_bonus)) +  tech_1_6*TblTech[[#This Row],[1-6]]</f>
        <v>0</v>
      </c>
      <c r="AN128" s="149" t="n">
        <f aca="false">race_gem_bonus+ tech_3_2*TblTech[[#This Row],[3-2]] + tech_4_3*TblTech[[#This Row],[4-3]] + tech_6_2*TblTech[[#This Row],[6-2]]</f>
        <v>0.15</v>
      </c>
      <c r="AO128" s="132"/>
      <c r="AP128" s="69" t="n">
        <f aca="false">TblProd[[#This Row],[Food]]*food_decay * (1 + tech_2_1*TblTech[[#This Row],[2-1]] + tech_2_8*TblTech[[#This Row],[2-8]])</f>
        <v>2681.18</v>
      </c>
      <c r="AQ128" s="69" t="n">
        <f aca="false">(1+race_food_consumption)*TblPop[[#This Row],[Total]]*food_per_person*(1+tech_1_10*TblTech[[#This Row],[1-10]]+tech_7_5*TblTech[[#This Row],[7-5]])</f>
        <v>3234.75</v>
      </c>
      <c r="AR128" s="69" t="n">
        <f aca="false">TblProd[[#This Row],[Lumber]]*lumber_rot * (1 + tech_2_1*TblTech[[#This Row],[2-1]] + tech_2_8*TblTech[[#This Row],[2-8]] + tech_5_2*TblTech[[#This Row],[5-2]])</f>
        <v>544.11</v>
      </c>
      <c r="AS128" s="69" t="n">
        <f aca="false">TblProd[[#This Row],[Mana]]*mana_drain * (1 + tech_2_1*TblTech[[#This Row],[2-1]] + tech_2_8*TblTech[[#This Row],[2-8]])</f>
        <v>3253.38</v>
      </c>
      <c r="AT128" s="146"/>
      <c r="AU128" s="69" t="n">
        <f aca="false">TblExplore[[#This Row],[Platinum (2)]]+TblConstr[[#This Row],[Total Plat Cost]]+TblMili[[#This Row],[Plat Cost]]+TblRezone[[#This Row],[Platinum cost]]+TblImps[[#This Row],[P1]]-TblProd[[#This Row],[Bank Plat]]</f>
        <v>0</v>
      </c>
      <c r="AV128" s="69" t="n">
        <f aca="false">TblConstr[[#This Row],[Total Lum Cost]]+TblImps[[#This Row],[L1]]-TblProd[[#This Row],[Bank Lumber]] + Military!$CL$25*TblMili[[#This Row],[Sec. rec. Cost]]</f>
        <v>0</v>
      </c>
      <c r="AW128" s="69" t="n">
        <f aca="false">TblMagic[[#This Row],[Mana cost]] + Military!$CL$26*TblMili[[#This Row],[Sec. rec. Cost]]</f>
        <v>0</v>
      </c>
      <c r="AX128" s="69" t="n">
        <f aca="false">Military!$CL$24*TblMili[[#This Row],[Sec. rec. Cost]]+TblImps[[#This Row],[O1]]-TblProd[[#This Row],[Bank Ore]]</f>
        <v>0</v>
      </c>
      <c r="AY128" s="69" t="n">
        <f aca="false">TblImps[[#This Row],[G1]]-TblProd[[#This Row],[Bank Gems]]</f>
        <v>0</v>
      </c>
      <c r="AZ128" s="132"/>
      <c r="BA128" s="33" t="n">
        <f aca="false">IF(TblProd[[#This Row],[Set Guard]]&lt;&gt;"",TblProd[[#This Row],[Set Guard]],OFFSET(TblProd[[#This Row],[Guard]],-1,0))</f>
        <v>0</v>
      </c>
      <c r="BB128" s="145"/>
      <c r="BC128" s="151" t="n">
        <f aca="false">TblProd[[#This Row],[Hour]]</f>
        <v>53</v>
      </c>
      <c r="BD128" s="152" t="n">
        <f aca="false">-TblProd[[#This Row],[Bank Lumber]] / 2 + -TblProd[[#This Row],[Bank Gems]] * 2 + -TblProd[[#This Row],[Bank Ore]] / 2</f>
        <v>0</v>
      </c>
      <c r="BE128" s="152"/>
      <c r="BF128" s="152"/>
      <c r="BG128" s="152"/>
      <c r="BH128" s="153" t="n">
        <f aca="false">TblProd[[#This Row],[Time]]</f>
        <v>45434.9166666667</v>
      </c>
      <c r="BI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J128" s="69" t="n">
        <f aca="false">TblProd[[#This Row],[Platinum]]</f>
        <v>1982248</v>
      </c>
      <c r="BK128" s="69" t="n">
        <f aca="false">TblProd[[#This Row],[Food]]</f>
        <v>268118</v>
      </c>
      <c r="BL128" s="69" t="n">
        <f aca="false">TblProd[[#This Row],[Lumber]]</f>
        <v>54411</v>
      </c>
      <c r="BM128" s="69" t="n">
        <f aca="false">TblProd[[#This Row],[Mana]]</f>
        <v>162669</v>
      </c>
      <c r="BN128" s="69" t="n">
        <f aca="false">TblProd[[#This Row],[Ore]]</f>
        <v>-357</v>
      </c>
    </row>
    <row r="129" customFormat="false" ht="12.75" hidden="false" customHeight="false" outlineLevel="0" collapsed="false">
      <c r="A129" s="128" t="n">
        <v>54</v>
      </c>
      <c r="B129" s="144" t="n">
        <f aca="false">TblImps[[#This Row],[Time]]</f>
        <v>45434.9583333333</v>
      </c>
      <c r="C129" s="145"/>
      <c r="D129" s="146"/>
      <c r="E129" s="69" t="n">
        <f aca="false">TblConstr[[#This Row],[Land]]</f>
        <v>700</v>
      </c>
      <c r="F129" s="69" t="n">
        <f aca="false">TblPop[[#This Row],[Peasants]]</f>
        <v>5923</v>
      </c>
      <c r="G129" s="69"/>
      <c r="H129" s="69" t="e">
        <f aca="false">TblMili[[#This Row],[Networth (2)]]</f>
        <v>#VALUE!</v>
      </c>
      <c r="I129" s="69" t="n">
        <f aca="false">OFFSET(TblProd[[#This Row],[Platinum]],-1,0)+OFFSET(TblProd[[#This Row],[Plat/hr]],-1,0) - TblProd[[#This Row],[Expenses Platinum]] + IF(TblProd[[#This Row],[Plat Bonus]],TblPop[[#This Row],[Peasants]]*4) + SUM(TblConstr[[#This Row],[Dest Hom]:[Dest Doc]])*TblConstr[[#This Row],[CPA Platinum -DB]]*tech_3_3_2*TblTech[[#This Row],[3-3]]</f>
        <v>2010777</v>
      </c>
      <c r="J129" s="69" t="n">
        <f aca="false">OFFSET(TblProd[[#This Row],[Food]],-1,0)+OFFSET(TblProd[[#This Row],[Food/hr]],-1,0)+ROUNDUP((TblConstr[[#This Row],[Farms]]*80+TblConstr[[#This Row],[Docks]]*35)*(1+OFFSET(TblProd[[#This Row],[Bonus Food/hr]],-1,0)),0)</f>
        <v>265564</v>
      </c>
      <c r="K129" s="69" t="n">
        <f aca="false">OFFSET(TblProd[[#This Row],[Lumber]],-1,0)+OFFSET(TblProd[[#This Row],[Lumber/hr]],-1,0) - TblProd[[#This Row],[Expenses Lumber]] + SUM(TblConstr[[#This Row],[Dest Hom]:[Dest Doc]])*TblConstr[[#This Row],[CPA Lumber -DB]]*tech_3_3_2*TblTech[[#This Row],[3-3]]</f>
        <v>54992</v>
      </c>
      <c r="L129" s="69" t="n">
        <f aca="false">OFFSET(TblProd[[#This Row],[Mana]],-1,0)+OFFSET(TblProd[[#This Row],[Mana/hr]],-1,0)- TblProd[[#This Row],[Expenses Mana]]</f>
        <v>160141</v>
      </c>
      <c r="M129" s="69" t="n">
        <f aca="false">OFFSET(TblProd[[#This Row],[Ore]],-1,0)+OFFSET(TblProd[[#This Row],[Ore/hr]],-1,0) -TblProd[[#This Row],[Expenses Ore]]</f>
        <v>-357</v>
      </c>
      <c r="N129" s="69" t="n">
        <f aca="false">OFFSET(TblProd[[#This Row],[Gems]],-1,0)+OFFSET(TblProd[[#This Row],[Gems/hr]],-1,0) - TblProd[[#This Row],[Expenses Gems]]</f>
        <v>-1000</v>
      </c>
      <c r="O129" s="69" t="n">
        <f aca="false">OFFSET(TblProd[[#This Row],[Boats]],-1,0)+OFFSET(TblProd[[#This Row],[Boats/hr]],-1,0)</f>
        <v>91.8500000000001</v>
      </c>
      <c r="P129" s="69" t="n">
        <f aca="false">OFFSET(TblProd[[#This Row],[Prestige]],-1,0)</f>
        <v>250</v>
      </c>
      <c r="Q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9" s="69" t="n">
        <f aca="false">MAX(3750,_xlfn.CEILING.MATH(TblProd[[#This Row],[Land]]*2.5+OFFSET(TblTech[[#This Row],[Sum of tech]],-1,0)*150))</f>
        <v>3750</v>
      </c>
      <c r="S129" s="132"/>
      <c r="T129" s="69" t="n">
        <f aca="false">ROUNDDOWN(TblProd[[#This Row],[Raw Plat/hr]]*(1+TblProd[[#This Row],[Bonus Plat/hr]]),0)</f>
        <v>28367</v>
      </c>
      <c r="U129" s="69" t="n">
        <f aca="false">ROUND(TblProd[[#This Row],[Raw Food/hr]]*(1+TblProd[[#This Row],[Bonus Food/hr]])-TblProd[[#This Row],[Food decay]]-TblProd[[#This Row],[Food eaten]],0)</f>
        <v>-2528</v>
      </c>
      <c r="V129" s="69" t="n">
        <f aca="false">ROUND(TblProd[[#This Row],[Raw Lumber/hr]]*(1+TblProd[[#This Row],[Bonus Lumber/hr]])-TblProd[[#This Row],[Lumber rot]],0)</f>
        <v>575</v>
      </c>
      <c r="W129" s="69" t="n">
        <f aca="false">ROUND(TblProd[[#This Row],[Raw Mana/hr]]*(1+TblProd[[#This Row],[Bonus Mana/hr]])-TblProd[[#This Row],[Mana drain]],0)</f>
        <v>-2478</v>
      </c>
      <c r="X129" s="69" t="n">
        <f aca="false">ROUNDDOWN(TblProd[[#This Row],[Raw Ore/hr]]*(1+TblProd[[#This Row],[Bonux Ore/hr]]),0)</f>
        <v>0</v>
      </c>
      <c r="Y129" s="69" t="n">
        <f aca="false">ROUNDDOWN(TblProd[[#This Row],[Raw Gems/hr]]*(1+TblProd[[#This Row],[Bonus Gems/hr]]),0)</f>
        <v>0</v>
      </c>
      <c r="Z129" s="148" t="n">
        <f aca="false">OFFSET(TblConstr[[#This Row],[Tot Doc]],1,0)*dock_boats_hr * (1 + tech_4_1*TblTech[[#This Row],[4-1]])</f>
        <v>1.2</v>
      </c>
      <c r="AA129" s="146"/>
      <c r="AB129" s="69" t="n">
        <f aca="false">TblPop[[#This Row],[Peasants]]*tax*TblPop[[#This Row],[Employment]] + (Construction!AZ130+Construction!BX130)*(alch_plat+(Magic!AM129&gt;0)*alchemist_flame_bonus)</f>
        <v>28367.1</v>
      </c>
      <c r="AC129" s="69" t="n">
        <f aca="false">TblConstr[[#This Row],[Tot Farm]]*farm_food + TblConstr[[#This Row],[Tot Doc]]*dock_food</f>
        <v>3280</v>
      </c>
      <c r="AD129" s="69" t="n">
        <f aca="false">TblConstr[[#This Row],[Tot Ly]]*ly_lumber + TblConstr[[#This Row],[Tot Hav]]*fh_lumber</f>
        <v>1250</v>
      </c>
      <c r="AE129" s="69" t="n">
        <f aca="false">OFFSET(TblConstr[[#This Row],[Tot Tow]],1,0)*(tower_mana + tech_4_5*TblTech[[#This Row],[4-5]]) + OFFSET(TblConstr[[#This Row],[Tot WG]],1,0)*wg_mana_prod</f>
        <v>725</v>
      </c>
      <c r="AF129" s="69" t="n">
        <f aca="false">OFFSET(TblConstr[[#This Row],[Tot OM]],1,0)*om_ore+IF(race="Dwarf",ROUNDDOWN(TblMili[[#This Row],[Unit 2]]*0.4,0),)</f>
        <v>0</v>
      </c>
      <c r="AG129" s="69" t="n">
        <f aca="false">OFFSET(TblConstr[[#This Row],[Tot DM]],1,0)*dm_gems</f>
        <v>0</v>
      </c>
      <c r="AH129" s="132"/>
      <c r="AI129" s="149" t="n">
        <f aca="false">MIN(race_platinum_bonus + IF(TblMagic[[#This Row],[Active Alch Frost]]&gt;0,alch_frost_bonus,IF(Magic!AD129&gt;0,midas_bonus)) + TblImps[[#This Row],[Science]] - TblProd[[#This Row],[Guard]]*(0.02 + tech_5_7*TblTech[[#This Row],[5-7]]) + tech_1_5*TblTech[[#This Row],[1-5]] + tech_4_4*TblTech[[#This Row],[4-4]], 0.5)</f>
        <v>0</v>
      </c>
      <c r="AJ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9" s="149" t="n">
        <f aca="false">race_lumber_bonus+ IF(TblMagic[[#This Row],[Active Gaia''s Blessing]]&gt;0,gaias_blessing_lumber)+ tech_1_3*TblTech[[#This Row],[1-3]] + tech_1_6*TblTech[[#This Row],[1-6]] + tech_3_3*TblTech[[#This Row],[3-3]]</f>
        <v>-0.1</v>
      </c>
      <c r="AL129" s="149" t="n">
        <f aca="false">race_mana_bonus+ 0 + TblImps[[#This Row],[Towers]] + tech_1_2*TblTech[[#This Row],[1-2]] + tech_3_4*TblTech[[#This Row],[3-4]]</f>
        <v>0</v>
      </c>
      <c r="AM129" s="149" t="n">
        <f aca="false">race_ore_bonus + IF(TblMagic[[#This Row],[Active Miner''s Sight]]&gt;0,miners_sight_bonus,IF(TblMagic[[#This Row],[Active Mining Strength]]&gt;0,mining_strength_bonus)) +  tech_1_6*TblTech[[#This Row],[1-6]]</f>
        <v>0</v>
      </c>
      <c r="AN129" s="149" t="n">
        <f aca="false">race_gem_bonus+ tech_3_2*TblTech[[#This Row],[3-2]] + tech_4_3*TblTech[[#This Row],[4-3]] + tech_6_2*TblTech[[#This Row],[6-2]]</f>
        <v>0.15</v>
      </c>
      <c r="AO129" s="132"/>
      <c r="AP129" s="69" t="n">
        <f aca="false">TblProd[[#This Row],[Food]]*food_decay * (1 + tech_2_1*TblTech[[#This Row],[2-1]] + tech_2_8*TblTech[[#This Row],[2-8]])</f>
        <v>2655.64</v>
      </c>
      <c r="AQ129" s="69" t="n">
        <f aca="false">(1+race_food_consumption)*TblPop[[#This Row],[Total]]*food_per_person*(1+tech_1_10*TblTech[[#This Row],[1-10]]+tech_7_5*TblTech[[#This Row],[7-5]])</f>
        <v>3234.75</v>
      </c>
      <c r="AR129" s="69" t="n">
        <f aca="false">TblProd[[#This Row],[Lumber]]*lumber_rot * (1 + tech_2_1*TblTech[[#This Row],[2-1]] + tech_2_8*TblTech[[#This Row],[2-8]] + tech_5_2*TblTech[[#This Row],[5-2]])</f>
        <v>549.92</v>
      </c>
      <c r="AS129" s="69" t="n">
        <f aca="false">TblProd[[#This Row],[Mana]]*mana_drain * (1 + tech_2_1*TblTech[[#This Row],[2-1]] + tech_2_8*TblTech[[#This Row],[2-8]])</f>
        <v>3202.82</v>
      </c>
      <c r="AT129" s="146"/>
      <c r="AU129" s="69" t="n">
        <f aca="false">TblExplore[[#This Row],[Platinum (2)]]+TblConstr[[#This Row],[Total Plat Cost]]+TblMili[[#This Row],[Plat Cost]]+TblRezone[[#This Row],[Platinum cost]]+TblImps[[#This Row],[P1]]-TblProd[[#This Row],[Bank Plat]]</f>
        <v>0</v>
      </c>
      <c r="AV129" s="69" t="n">
        <f aca="false">TblConstr[[#This Row],[Total Lum Cost]]+TblImps[[#This Row],[L1]]-TblProd[[#This Row],[Bank Lumber]] + Military!$CL$25*TblMili[[#This Row],[Sec. rec. Cost]]</f>
        <v>0</v>
      </c>
      <c r="AW129" s="69" t="n">
        <f aca="false">TblMagic[[#This Row],[Mana cost]] + Military!$CL$26*TblMili[[#This Row],[Sec. rec. Cost]]</f>
        <v>0</v>
      </c>
      <c r="AX129" s="69" t="n">
        <f aca="false">Military!$CL$24*TblMili[[#This Row],[Sec. rec. Cost]]+TblImps[[#This Row],[O1]]-TblProd[[#This Row],[Bank Ore]]</f>
        <v>0</v>
      </c>
      <c r="AY129" s="69" t="n">
        <f aca="false">TblImps[[#This Row],[G1]]-TblProd[[#This Row],[Bank Gems]]</f>
        <v>0</v>
      </c>
      <c r="AZ129" s="132"/>
      <c r="BA129" s="33" t="n">
        <f aca="false">IF(TblProd[[#This Row],[Set Guard]]&lt;&gt;"",TblProd[[#This Row],[Set Guard]],OFFSET(TblProd[[#This Row],[Guard]],-1,0))</f>
        <v>0</v>
      </c>
      <c r="BB129" s="145"/>
      <c r="BC129" s="151" t="n">
        <f aca="false">TblProd[[#This Row],[Hour]]</f>
        <v>54</v>
      </c>
      <c r="BD129" s="152" t="n">
        <f aca="false">-TblProd[[#This Row],[Bank Lumber]] / 2 + -TblProd[[#This Row],[Bank Gems]] * 2 + -TblProd[[#This Row],[Bank Ore]] / 2</f>
        <v>0</v>
      </c>
      <c r="BE129" s="152"/>
      <c r="BF129" s="152"/>
      <c r="BG129" s="152"/>
      <c r="BH129" s="153" t="n">
        <f aca="false">TblProd[[#This Row],[Time]]</f>
        <v>45434.9583333333</v>
      </c>
      <c r="BI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J129" s="69" t="n">
        <f aca="false">TblProd[[#This Row],[Platinum]]</f>
        <v>2010777</v>
      </c>
      <c r="BK129" s="69" t="n">
        <f aca="false">TblProd[[#This Row],[Food]]</f>
        <v>265564</v>
      </c>
      <c r="BL129" s="69" t="n">
        <f aca="false">TblProd[[#This Row],[Lumber]]</f>
        <v>54992</v>
      </c>
      <c r="BM129" s="69" t="n">
        <f aca="false">TblProd[[#This Row],[Mana]]</f>
        <v>160141</v>
      </c>
      <c r="BN129" s="69" t="n">
        <f aca="false">TblProd[[#This Row],[Ore]]</f>
        <v>-357</v>
      </c>
    </row>
    <row r="130" customFormat="false" ht="12.75" hidden="false" customHeight="false" outlineLevel="0" collapsed="false">
      <c r="A130" s="128" t="n">
        <v>55</v>
      </c>
      <c r="B130" s="144" t="n">
        <f aca="false">TblImps[[#This Row],[Time]]</f>
        <v>45435</v>
      </c>
      <c r="C130" s="145"/>
      <c r="D130" s="146"/>
      <c r="E130" s="69" t="n">
        <f aca="false">TblConstr[[#This Row],[Land]]</f>
        <v>700</v>
      </c>
      <c r="F130" s="69" t="n">
        <f aca="false">TblPop[[#This Row],[Peasants]]</f>
        <v>5864</v>
      </c>
      <c r="G130" s="69"/>
      <c r="H130" s="69" t="e">
        <f aca="false">TblMili[[#This Row],[Networth (2)]]</f>
        <v>#VALUE!</v>
      </c>
      <c r="I130" s="69" t="n">
        <f aca="false">OFFSET(TblProd[[#This Row],[Platinum]],-1,0)+OFFSET(TblProd[[#This Row],[Plat/hr]],-1,0) - TblProd[[#This Row],[Expenses Platinum]] + IF(TblProd[[#This Row],[Plat Bonus]],TblPop[[#This Row],[Peasants]]*4) + SUM(TblConstr[[#This Row],[Dest Hom]:[Dest Doc]])*TblConstr[[#This Row],[CPA Platinum -DB]]*tech_3_3_2*TblTech[[#This Row],[3-3]]</f>
        <v>2039144</v>
      </c>
      <c r="J130" s="69" t="n">
        <f aca="false">OFFSET(TblProd[[#This Row],[Food]],-1,0)+OFFSET(TblProd[[#This Row],[Food/hr]],-1,0)+ROUNDUP((TblConstr[[#This Row],[Farms]]*80+TblConstr[[#This Row],[Docks]]*35)*(1+OFFSET(TblProd[[#This Row],[Bonus Food/hr]],-1,0)),0)</f>
        <v>263036</v>
      </c>
      <c r="K130" s="69" t="n">
        <f aca="false">OFFSET(TblProd[[#This Row],[Lumber]],-1,0)+OFFSET(TblProd[[#This Row],[Lumber/hr]],-1,0) - TblProd[[#This Row],[Expenses Lumber]] + SUM(TblConstr[[#This Row],[Dest Hom]:[Dest Doc]])*TblConstr[[#This Row],[CPA Lumber -DB]]*tech_3_3_2*TblTech[[#This Row],[3-3]]</f>
        <v>55567</v>
      </c>
      <c r="L130" s="69" t="n">
        <f aca="false">OFFSET(TblProd[[#This Row],[Mana]],-1,0)+OFFSET(TblProd[[#This Row],[Mana/hr]],-1,0)- TblProd[[#This Row],[Expenses Mana]]</f>
        <v>157663</v>
      </c>
      <c r="M130" s="69" t="n">
        <f aca="false">OFFSET(TblProd[[#This Row],[Ore]],-1,0)+OFFSET(TblProd[[#This Row],[Ore/hr]],-1,0) -TblProd[[#This Row],[Expenses Ore]]</f>
        <v>-357</v>
      </c>
      <c r="N130" s="69" t="n">
        <f aca="false">OFFSET(TblProd[[#This Row],[Gems]],-1,0)+OFFSET(TblProd[[#This Row],[Gems/hr]],-1,0) - TblProd[[#This Row],[Expenses Gems]]</f>
        <v>-1000</v>
      </c>
      <c r="O130" s="69" t="n">
        <f aca="false">OFFSET(TblProd[[#This Row],[Boats]],-1,0)+OFFSET(TblProd[[#This Row],[Boats/hr]],-1,0)</f>
        <v>93.0500000000001</v>
      </c>
      <c r="P130" s="69" t="n">
        <f aca="false">OFFSET(TblProd[[#This Row],[Prestige]],-1,0)</f>
        <v>250</v>
      </c>
      <c r="Q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0" s="69" t="n">
        <f aca="false">MAX(3750,_xlfn.CEILING.MATH(TblProd[[#This Row],[Land]]*2.5+OFFSET(TblTech[[#This Row],[Sum of tech]],-1,0)*150))</f>
        <v>3750</v>
      </c>
      <c r="S130" s="132"/>
      <c r="T130" s="69" t="n">
        <f aca="false">ROUNDDOWN(TblProd[[#This Row],[Raw Plat/hr]]*(1+TblProd[[#This Row],[Bonus Plat/hr]]),0)</f>
        <v>28207</v>
      </c>
      <c r="U130" s="69" t="n">
        <f aca="false">ROUND(TblProd[[#This Row],[Raw Food/hr]]*(1+TblProd[[#This Row],[Bonus Food/hr]])-TblProd[[#This Row],[Food decay]]-TblProd[[#This Row],[Food eaten]],0)</f>
        <v>-2503</v>
      </c>
      <c r="V130" s="69" t="n">
        <f aca="false">ROUND(TblProd[[#This Row],[Raw Lumber/hr]]*(1+TblProd[[#This Row],[Bonus Lumber/hr]])-TblProd[[#This Row],[Lumber rot]],0)</f>
        <v>569</v>
      </c>
      <c r="W130" s="69" t="n">
        <f aca="false">ROUND(TblProd[[#This Row],[Raw Mana/hr]]*(1+TblProd[[#This Row],[Bonus Mana/hr]])-TblProd[[#This Row],[Mana drain]],0)</f>
        <v>-2428</v>
      </c>
      <c r="X130" s="69" t="n">
        <f aca="false">ROUNDDOWN(TblProd[[#This Row],[Raw Ore/hr]]*(1+TblProd[[#This Row],[Bonux Ore/hr]]),0)</f>
        <v>0</v>
      </c>
      <c r="Y130" s="69" t="n">
        <f aca="false">ROUNDDOWN(TblProd[[#This Row],[Raw Gems/hr]]*(1+TblProd[[#This Row],[Bonus Gems/hr]]),0)</f>
        <v>0</v>
      </c>
      <c r="Z130" s="148" t="n">
        <f aca="false">OFFSET(TblConstr[[#This Row],[Tot Doc]],1,0)*dock_boats_hr * (1 + tech_4_1*TblTech[[#This Row],[4-1]])</f>
        <v>1.2</v>
      </c>
      <c r="AA130" s="146"/>
      <c r="AB130" s="69" t="n">
        <f aca="false">TblPop[[#This Row],[Peasants]]*tax*TblPop[[#This Row],[Employment]] + (Construction!AZ131+Construction!BX131)*(alch_plat+(Magic!AM130&gt;0)*alchemist_flame_bonus)</f>
        <v>28207.8</v>
      </c>
      <c r="AC130" s="69" t="n">
        <f aca="false">TblConstr[[#This Row],[Tot Farm]]*farm_food + TblConstr[[#This Row],[Tot Doc]]*dock_food</f>
        <v>3280</v>
      </c>
      <c r="AD130" s="69" t="n">
        <f aca="false">TblConstr[[#This Row],[Tot Ly]]*ly_lumber + TblConstr[[#This Row],[Tot Hav]]*fh_lumber</f>
        <v>1250</v>
      </c>
      <c r="AE130" s="69" t="n">
        <f aca="false">OFFSET(TblConstr[[#This Row],[Tot Tow]],1,0)*(tower_mana + tech_4_5*TblTech[[#This Row],[4-5]]) + OFFSET(TblConstr[[#This Row],[Tot WG]],1,0)*wg_mana_prod</f>
        <v>725</v>
      </c>
      <c r="AF130" s="69" t="n">
        <f aca="false">OFFSET(TblConstr[[#This Row],[Tot OM]],1,0)*om_ore+IF(race="Dwarf",ROUNDDOWN(TblMili[[#This Row],[Unit 2]]*0.4,0),)</f>
        <v>0</v>
      </c>
      <c r="AG130" s="69" t="n">
        <f aca="false">OFFSET(TblConstr[[#This Row],[Tot DM]],1,0)*dm_gems</f>
        <v>0</v>
      </c>
      <c r="AH130" s="132"/>
      <c r="AI130" s="149" t="n">
        <f aca="false">MIN(race_platinum_bonus + IF(TblMagic[[#This Row],[Active Alch Frost]]&gt;0,alch_frost_bonus,IF(Magic!AD130&gt;0,midas_bonus)) + TblImps[[#This Row],[Science]] - TblProd[[#This Row],[Guard]]*(0.02 + tech_5_7*TblTech[[#This Row],[5-7]]) + tech_1_5*TblTech[[#This Row],[1-5]] + tech_4_4*TblTech[[#This Row],[4-4]], 0.5)</f>
        <v>0</v>
      </c>
      <c r="AJ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0" s="149" t="n">
        <f aca="false">race_lumber_bonus+ IF(TblMagic[[#This Row],[Active Gaia''s Blessing]]&gt;0,gaias_blessing_lumber)+ tech_1_3*TblTech[[#This Row],[1-3]] + tech_1_6*TblTech[[#This Row],[1-6]] + tech_3_3*TblTech[[#This Row],[3-3]]</f>
        <v>-0.1</v>
      </c>
      <c r="AL130" s="149" t="n">
        <f aca="false">race_mana_bonus+ 0 + TblImps[[#This Row],[Towers]] + tech_1_2*TblTech[[#This Row],[1-2]] + tech_3_4*TblTech[[#This Row],[3-4]]</f>
        <v>0</v>
      </c>
      <c r="AM130" s="149" t="n">
        <f aca="false">race_ore_bonus + IF(TblMagic[[#This Row],[Active Miner''s Sight]]&gt;0,miners_sight_bonus,IF(TblMagic[[#This Row],[Active Mining Strength]]&gt;0,mining_strength_bonus)) +  tech_1_6*TblTech[[#This Row],[1-6]]</f>
        <v>0</v>
      </c>
      <c r="AN130" s="149" t="n">
        <f aca="false">race_gem_bonus+ tech_3_2*TblTech[[#This Row],[3-2]] + tech_4_3*TblTech[[#This Row],[4-3]] + tech_6_2*TblTech[[#This Row],[6-2]]</f>
        <v>0.15</v>
      </c>
      <c r="AO130" s="132"/>
      <c r="AP130" s="69" t="n">
        <f aca="false">TblProd[[#This Row],[Food]]*food_decay * (1 + tech_2_1*TblTech[[#This Row],[2-1]] + tech_2_8*TblTech[[#This Row],[2-8]])</f>
        <v>2630.36</v>
      </c>
      <c r="AQ130" s="69" t="n">
        <f aca="false">(1+race_food_consumption)*TblPop[[#This Row],[Total]]*food_per_person*(1+tech_1_10*TblTech[[#This Row],[1-10]]+tech_7_5*TblTech[[#This Row],[7-5]])</f>
        <v>3234.75</v>
      </c>
      <c r="AR130" s="69" t="n">
        <f aca="false">TblProd[[#This Row],[Lumber]]*lumber_rot * (1 + tech_2_1*TblTech[[#This Row],[2-1]] + tech_2_8*TblTech[[#This Row],[2-8]] + tech_5_2*TblTech[[#This Row],[5-2]])</f>
        <v>555.67</v>
      </c>
      <c r="AS130" s="69" t="n">
        <f aca="false">TblProd[[#This Row],[Mana]]*mana_drain * (1 + tech_2_1*TblTech[[#This Row],[2-1]] + tech_2_8*TblTech[[#This Row],[2-8]])</f>
        <v>3153.26</v>
      </c>
      <c r="AT130" s="146"/>
      <c r="AU130" s="69" t="n">
        <f aca="false">TblExplore[[#This Row],[Platinum (2)]]+TblConstr[[#This Row],[Total Plat Cost]]+TblMili[[#This Row],[Plat Cost]]+TblRezone[[#This Row],[Platinum cost]]+TblImps[[#This Row],[P1]]-TblProd[[#This Row],[Bank Plat]]</f>
        <v>0</v>
      </c>
      <c r="AV130" s="69" t="n">
        <f aca="false">TblConstr[[#This Row],[Total Lum Cost]]+TblImps[[#This Row],[L1]]-TblProd[[#This Row],[Bank Lumber]] + Military!$CL$25*TblMili[[#This Row],[Sec. rec. Cost]]</f>
        <v>0</v>
      </c>
      <c r="AW130" s="69" t="n">
        <f aca="false">TblMagic[[#This Row],[Mana cost]] + Military!$CL$26*TblMili[[#This Row],[Sec. rec. Cost]]</f>
        <v>0</v>
      </c>
      <c r="AX130" s="69" t="n">
        <f aca="false">Military!$CL$24*TblMili[[#This Row],[Sec. rec. Cost]]+TblImps[[#This Row],[O1]]-TblProd[[#This Row],[Bank Ore]]</f>
        <v>0</v>
      </c>
      <c r="AY130" s="69" t="n">
        <f aca="false">TblImps[[#This Row],[G1]]-TblProd[[#This Row],[Bank Gems]]</f>
        <v>0</v>
      </c>
      <c r="AZ130" s="132"/>
      <c r="BA130" s="33" t="n">
        <f aca="false">IF(TblProd[[#This Row],[Set Guard]]&lt;&gt;"",TblProd[[#This Row],[Set Guard]],OFFSET(TblProd[[#This Row],[Guard]],-1,0))</f>
        <v>0</v>
      </c>
      <c r="BB130" s="145"/>
      <c r="BC130" s="151" t="n">
        <f aca="false">TblProd[[#This Row],[Hour]]</f>
        <v>55</v>
      </c>
      <c r="BD130" s="152" t="n">
        <f aca="false">-TblProd[[#This Row],[Bank Lumber]] / 2 + -TblProd[[#This Row],[Bank Gems]] * 2 + -TblProd[[#This Row],[Bank Ore]] / 2</f>
        <v>0</v>
      </c>
      <c r="BE130" s="152"/>
      <c r="BF130" s="152"/>
      <c r="BG130" s="152"/>
      <c r="BH130" s="153" t="n">
        <f aca="false">TblProd[[#This Row],[Time]]</f>
        <v>45435</v>
      </c>
      <c r="BI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J130" s="69" t="n">
        <f aca="false">TblProd[[#This Row],[Platinum]]</f>
        <v>2039144</v>
      </c>
      <c r="BK130" s="69" t="n">
        <f aca="false">TblProd[[#This Row],[Food]]</f>
        <v>263036</v>
      </c>
      <c r="BL130" s="69" t="n">
        <f aca="false">TblProd[[#This Row],[Lumber]]</f>
        <v>55567</v>
      </c>
      <c r="BM130" s="69" t="n">
        <f aca="false">TblProd[[#This Row],[Mana]]</f>
        <v>157663</v>
      </c>
      <c r="BN130" s="69" t="n">
        <f aca="false">TblProd[[#This Row],[Ore]]</f>
        <v>-357</v>
      </c>
    </row>
    <row r="131" customFormat="false" ht="12.75" hidden="false" customHeight="false" outlineLevel="0" collapsed="false">
      <c r="A131" s="128" t="n">
        <v>56</v>
      </c>
      <c r="B131" s="144" t="n">
        <f aca="false">TblImps[[#This Row],[Time]]</f>
        <v>45435.0416666667</v>
      </c>
      <c r="C131" s="145"/>
      <c r="D131" s="146"/>
      <c r="E131" s="69" t="n">
        <f aca="false">TblConstr[[#This Row],[Land]]</f>
        <v>700</v>
      </c>
      <c r="F131" s="69" t="n">
        <f aca="false">TblPop[[#This Row],[Peasants]]</f>
        <v>5805</v>
      </c>
      <c r="G131" s="69"/>
      <c r="H131" s="69" t="e">
        <f aca="false">TblMili[[#This Row],[Networth (2)]]</f>
        <v>#VALUE!</v>
      </c>
      <c r="I131" s="69" t="n">
        <f aca="false">OFFSET(TblProd[[#This Row],[Platinum]],-1,0)+OFFSET(TblProd[[#This Row],[Plat/hr]],-1,0) - TblProd[[#This Row],[Expenses Platinum]] + IF(TblProd[[#This Row],[Plat Bonus]],TblPop[[#This Row],[Peasants]]*4) + SUM(TblConstr[[#This Row],[Dest Hom]:[Dest Doc]])*TblConstr[[#This Row],[CPA Platinum -DB]]*tech_3_3_2*TblTech[[#This Row],[3-3]]</f>
        <v>2067351</v>
      </c>
      <c r="J131" s="69" t="n">
        <f aca="false">OFFSET(TblProd[[#This Row],[Food]],-1,0)+OFFSET(TblProd[[#This Row],[Food/hr]],-1,0)+ROUNDUP((TblConstr[[#This Row],[Farms]]*80+TblConstr[[#This Row],[Docks]]*35)*(1+OFFSET(TblProd[[#This Row],[Bonus Food/hr]],-1,0)),0)</f>
        <v>260533</v>
      </c>
      <c r="K131" s="69" t="n">
        <f aca="false">OFFSET(TblProd[[#This Row],[Lumber]],-1,0)+OFFSET(TblProd[[#This Row],[Lumber/hr]],-1,0) - TblProd[[#This Row],[Expenses Lumber]] + SUM(TblConstr[[#This Row],[Dest Hom]:[Dest Doc]])*TblConstr[[#This Row],[CPA Lumber -DB]]*tech_3_3_2*TblTech[[#This Row],[3-3]]</f>
        <v>56136</v>
      </c>
      <c r="L131" s="69" t="n">
        <f aca="false">OFFSET(TblProd[[#This Row],[Mana]],-1,0)+OFFSET(TblProd[[#This Row],[Mana/hr]],-1,0)- TblProd[[#This Row],[Expenses Mana]]</f>
        <v>155235</v>
      </c>
      <c r="M131" s="69" t="n">
        <f aca="false">OFFSET(TblProd[[#This Row],[Ore]],-1,0)+OFFSET(TblProd[[#This Row],[Ore/hr]],-1,0) -TblProd[[#This Row],[Expenses Ore]]</f>
        <v>-357</v>
      </c>
      <c r="N131" s="69" t="n">
        <f aca="false">OFFSET(TblProd[[#This Row],[Gems]],-1,0)+OFFSET(TblProd[[#This Row],[Gems/hr]],-1,0) - TblProd[[#This Row],[Expenses Gems]]</f>
        <v>-1000</v>
      </c>
      <c r="O131" s="69" t="n">
        <f aca="false">OFFSET(TblProd[[#This Row],[Boats]],-1,0)+OFFSET(TblProd[[#This Row],[Boats/hr]],-1,0)</f>
        <v>94.2500000000001</v>
      </c>
      <c r="P131" s="69" t="n">
        <f aca="false">OFFSET(TblProd[[#This Row],[Prestige]],-1,0)</f>
        <v>250</v>
      </c>
      <c r="Q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1" s="69" t="n">
        <f aca="false">MAX(3750,_xlfn.CEILING.MATH(TblProd[[#This Row],[Land]]*2.5+OFFSET(TblTech[[#This Row],[Sum of tech]],-1,0)*150))</f>
        <v>3750</v>
      </c>
      <c r="S131" s="132"/>
      <c r="T131" s="69" t="n">
        <f aca="false">ROUNDDOWN(TblProd[[#This Row],[Raw Plat/hr]]*(1+TblProd[[#This Row],[Bonus Plat/hr]]),0)</f>
        <v>28048</v>
      </c>
      <c r="U131" s="69" t="n">
        <f aca="false">ROUND(TblProd[[#This Row],[Raw Food/hr]]*(1+TblProd[[#This Row],[Bonus Food/hr]])-TblProd[[#This Row],[Food decay]]-TblProd[[#This Row],[Food eaten]],0)</f>
        <v>-2478</v>
      </c>
      <c r="V131" s="69" t="n">
        <f aca="false">ROUND(TblProd[[#This Row],[Raw Lumber/hr]]*(1+TblProd[[#This Row],[Bonus Lumber/hr]])-TblProd[[#This Row],[Lumber rot]],0)</f>
        <v>564</v>
      </c>
      <c r="W131" s="69" t="n">
        <f aca="false">ROUND(TblProd[[#This Row],[Raw Mana/hr]]*(1+TblProd[[#This Row],[Bonus Mana/hr]])-TblProd[[#This Row],[Mana drain]],0)</f>
        <v>-2380</v>
      </c>
      <c r="X131" s="69" t="n">
        <f aca="false">ROUNDDOWN(TblProd[[#This Row],[Raw Ore/hr]]*(1+TblProd[[#This Row],[Bonux Ore/hr]]),0)</f>
        <v>0</v>
      </c>
      <c r="Y131" s="69" t="n">
        <f aca="false">ROUNDDOWN(TblProd[[#This Row],[Raw Gems/hr]]*(1+TblProd[[#This Row],[Bonus Gems/hr]]),0)</f>
        <v>0</v>
      </c>
      <c r="Z131" s="148" t="n">
        <f aca="false">OFFSET(TblConstr[[#This Row],[Tot Doc]],1,0)*dock_boats_hr * (1 + tech_4_1*TblTech[[#This Row],[4-1]])</f>
        <v>1.2</v>
      </c>
      <c r="AA131" s="146"/>
      <c r="AB131" s="69" t="n">
        <f aca="false">TblPop[[#This Row],[Peasants]]*tax*TblPop[[#This Row],[Employment]] + (Construction!AZ132+Construction!BX132)*(alch_plat+(Magic!AM131&gt;0)*alchemist_flame_bonus)</f>
        <v>28048.5</v>
      </c>
      <c r="AC131" s="69" t="n">
        <f aca="false">TblConstr[[#This Row],[Tot Farm]]*farm_food + TblConstr[[#This Row],[Tot Doc]]*dock_food</f>
        <v>3280</v>
      </c>
      <c r="AD131" s="69" t="n">
        <f aca="false">TblConstr[[#This Row],[Tot Ly]]*ly_lumber + TblConstr[[#This Row],[Tot Hav]]*fh_lumber</f>
        <v>1250</v>
      </c>
      <c r="AE131" s="69" t="n">
        <f aca="false">OFFSET(TblConstr[[#This Row],[Tot Tow]],1,0)*(tower_mana + tech_4_5*TblTech[[#This Row],[4-5]]) + OFFSET(TblConstr[[#This Row],[Tot WG]],1,0)*wg_mana_prod</f>
        <v>725</v>
      </c>
      <c r="AF131" s="69" t="n">
        <f aca="false">OFFSET(TblConstr[[#This Row],[Tot OM]],1,0)*om_ore+IF(race="Dwarf",ROUNDDOWN(TblMili[[#This Row],[Unit 2]]*0.4,0),)</f>
        <v>0</v>
      </c>
      <c r="AG131" s="69" t="n">
        <f aca="false">OFFSET(TblConstr[[#This Row],[Tot DM]],1,0)*dm_gems</f>
        <v>0</v>
      </c>
      <c r="AH131" s="132"/>
      <c r="AI131" s="149" t="n">
        <f aca="false">MIN(race_platinum_bonus + IF(TblMagic[[#This Row],[Active Alch Frost]]&gt;0,alch_frost_bonus,IF(Magic!AD131&gt;0,midas_bonus)) + TblImps[[#This Row],[Science]] - TblProd[[#This Row],[Guard]]*(0.02 + tech_5_7*TblTech[[#This Row],[5-7]]) + tech_1_5*TblTech[[#This Row],[1-5]] + tech_4_4*TblTech[[#This Row],[4-4]], 0.5)</f>
        <v>0</v>
      </c>
      <c r="AJ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1" s="149" t="n">
        <f aca="false">race_lumber_bonus+ IF(TblMagic[[#This Row],[Active Gaia''s Blessing]]&gt;0,gaias_blessing_lumber)+ tech_1_3*TblTech[[#This Row],[1-3]] + tech_1_6*TblTech[[#This Row],[1-6]] + tech_3_3*TblTech[[#This Row],[3-3]]</f>
        <v>-0.1</v>
      </c>
      <c r="AL131" s="149" t="n">
        <f aca="false">race_mana_bonus+ 0 + TblImps[[#This Row],[Towers]] + tech_1_2*TblTech[[#This Row],[1-2]] + tech_3_4*TblTech[[#This Row],[3-4]]</f>
        <v>0</v>
      </c>
      <c r="AM131" s="149" t="n">
        <f aca="false">race_ore_bonus + IF(TblMagic[[#This Row],[Active Miner''s Sight]]&gt;0,miners_sight_bonus,IF(TblMagic[[#This Row],[Active Mining Strength]]&gt;0,mining_strength_bonus)) +  tech_1_6*TblTech[[#This Row],[1-6]]</f>
        <v>0</v>
      </c>
      <c r="AN131" s="149" t="n">
        <f aca="false">race_gem_bonus+ tech_3_2*TblTech[[#This Row],[3-2]] + tech_4_3*TblTech[[#This Row],[4-3]] + tech_6_2*TblTech[[#This Row],[6-2]]</f>
        <v>0.15</v>
      </c>
      <c r="AO131" s="132"/>
      <c r="AP131" s="69" t="n">
        <f aca="false">TblProd[[#This Row],[Food]]*food_decay * (1 + tech_2_1*TblTech[[#This Row],[2-1]] + tech_2_8*TblTech[[#This Row],[2-8]])</f>
        <v>2605.33</v>
      </c>
      <c r="AQ131" s="69" t="n">
        <f aca="false">(1+race_food_consumption)*TblPop[[#This Row],[Total]]*food_per_person*(1+tech_1_10*TblTech[[#This Row],[1-10]]+tech_7_5*TblTech[[#This Row],[7-5]])</f>
        <v>3234.75</v>
      </c>
      <c r="AR131" s="69" t="n">
        <f aca="false">TblProd[[#This Row],[Lumber]]*lumber_rot * (1 + tech_2_1*TblTech[[#This Row],[2-1]] + tech_2_8*TblTech[[#This Row],[2-8]] + tech_5_2*TblTech[[#This Row],[5-2]])</f>
        <v>561.36</v>
      </c>
      <c r="AS131" s="69" t="n">
        <f aca="false">TblProd[[#This Row],[Mana]]*mana_drain * (1 + tech_2_1*TblTech[[#This Row],[2-1]] + tech_2_8*TblTech[[#This Row],[2-8]])</f>
        <v>3104.7</v>
      </c>
      <c r="AT131" s="146"/>
      <c r="AU131" s="69" t="n">
        <f aca="false">TblExplore[[#This Row],[Platinum (2)]]+TblConstr[[#This Row],[Total Plat Cost]]+TblMili[[#This Row],[Plat Cost]]+TblRezone[[#This Row],[Platinum cost]]+TblImps[[#This Row],[P1]]-TblProd[[#This Row],[Bank Plat]]</f>
        <v>0</v>
      </c>
      <c r="AV131" s="69" t="n">
        <f aca="false">TblConstr[[#This Row],[Total Lum Cost]]+TblImps[[#This Row],[L1]]-TblProd[[#This Row],[Bank Lumber]] + Military!$CL$25*TblMili[[#This Row],[Sec. rec. Cost]]</f>
        <v>0</v>
      </c>
      <c r="AW131" s="69" t="n">
        <f aca="false">TblMagic[[#This Row],[Mana cost]] + Military!$CL$26*TblMili[[#This Row],[Sec. rec. Cost]]</f>
        <v>0</v>
      </c>
      <c r="AX131" s="69" t="n">
        <f aca="false">Military!$CL$24*TblMili[[#This Row],[Sec. rec. Cost]]+TblImps[[#This Row],[O1]]-TblProd[[#This Row],[Bank Ore]]</f>
        <v>0</v>
      </c>
      <c r="AY131" s="69" t="n">
        <f aca="false">TblImps[[#This Row],[G1]]-TblProd[[#This Row],[Bank Gems]]</f>
        <v>0</v>
      </c>
      <c r="AZ131" s="132"/>
      <c r="BA131" s="33" t="n">
        <f aca="false">IF(TblProd[[#This Row],[Set Guard]]&lt;&gt;"",TblProd[[#This Row],[Set Guard]],OFFSET(TblProd[[#This Row],[Guard]],-1,0))</f>
        <v>0</v>
      </c>
      <c r="BB131" s="145"/>
      <c r="BC131" s="151" t="n">
        <f aca="false">TblProd[[#This Row],[Hour]]</f>
        <v>56</v>
      </c>
      <c r="BD131" s="152" t="n">
        <f aca="false">-TblProd[[#This Row],[Bank Lumber]] / 2 + -TblProd[[#This Row],[Bank Gems]] * 2 + -TblProd[[#This Row],[Bank Ore]] / 2</f>
        <v>0</v>
      </c>
      <c r="BE131" s="152"/>
      <c r="BF131" s="152"/>
      <c r="BG131" s="152"/>
      <c r="BH131" s="153" t="n">
        <f aca="false">TblProd[[#This Row],[Time]]</f>
        <v>45435.0416666667</v>
      </c>
      <c r="BI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J131" s="69" t="n">
        <f aca="false">TblProd[[#This Row],[Platinum]]</f>
        <v>2067351</v>
      </c>
      <c r="BK131" s="69" t="n">
        <f aca="false">TblProd[[#This Row],[Food]]</f>
        <v>260533</v>
      </c>
      <c r="BL131" s="69" t="n">
        <f aca="false">TblProd[[#This Row],[Lumber]]</f>
        <v>56136</v>
      </c>
      <c r="BM131" s="69" t="n">
        <f aca="false">TblProd[[#This Row],[Mana]]</f>
        <v>155235</v>
      </c>
      <c r="BN131" s="69" t="n">
        <f aca="false">TblProd[[#This Row],[Ore]]</f>
        <v>-357</v>
      </c>
    </row>
    <row r="132" customFormat="false" ht="12.75" hidden="false" customHeight="false" outlineLevel="0" collapsed="false">
      <c r="A132" s="128" t="n">
        <v>57</v>
      </c>
      <c r="B132" s="144" t="n">
        <f aca="false">TblImps[[#This Row],[Time]]</f>
        <v>45435.0833333333</v>
      </c>
      <c r="C132" s="145"/>
      <c r="D132" s="146"/>
      <c r="E132" s="69" t="n">
        <f aca="false">TblConstr[[#This Row],[Land]]</f>
        <v>700</v>
      </c>
      <c r="F132" s="69" t="n">
        <f aca="false">TblPop[[#This Row],[Peasants]]</f>
        <v>5747</v>
      </c>
      <c r="G132" s="69"/>
      <c r="H132" s="69" t="e">
        <f aca="false">TblMili[[#This Row],[Networth (2)]]</f>
        <v>#VALUE!</v>
      </c>
      <c r="I132" s="69" t="n">
        <f aca="false">OFFSET(TblProd[[#This Row],[Platinum]],-1,0)+OFFSET(TblProd[[#This Row],[Plat/hr]],-1,0) - TblProd[[#This Row],[Expenses Platinum]] + IF(TblProd[[#This Row],[Plat Bonus]],TblPop[[#This Row],[Peasants]]*4) + SUM(TblConstr[[#This Row],[Dest Hom]:[Dest Doc]])*TblConstr[[#This Row],[CPA Platinum -DB]]*tech_3_3_2*TblTech[[#This Row],[3-3]]</f>
        <v>2095399</v>
      </c>
      <c r="J132" s="69" t="n">
        <f aca="false">OFFSET(TblProd[[#This Row],[Food]],-1,0)+OFFSET(TblProd[[#This Row],[Food/hr]],-1,0)+ROUNDUP((TblConstr[[#This Row],[Farms]]*80+TblConstr[[#This Row],[Docks]]*35)*(1+OFFSET(TblProd[[#This Row],[Bonus Food/hr]],-1,0)),0)</f>
        <v>258055</v>
      </c>
      <c r="K132" s="69" t="n">
        <f aca="false">OFFSET(TblProd[[#This Row],[Lumber]],-1,0)+OFFSET(TblProd[[#This Row],[Lumber/hr]],-1,0) - TblProd[[#This Row],[Expenses Lumber]] + SUM(TblConstr[[#This Row],[Dest Hom]:[Dest Doc]])*TblConstr[[#This Row],[CPA Lumber -DB]]*tech_3_3_2*TblTech[[#This Row],[3-3]]</f>
        <v>56700</v>
      </c>
      <c r="L132" s="69" t="n">
        <f aca="false">OFFSET(TblProd[[#This Row],[Mana]],-1,0)+OFFSET(TblProd[[#This Row],[Mana/hr]],-1,0)- TblProd[[#This Row],[Expenses Mana]]</f>
        <v>152855</v>
      </c>
      <c r="M132" s="69" t="n">
        <f aca="false">OFFSET(TblProd[[#This Row],[Ore]],-1,0)+OFFSET(TblProd[[#This Row],[Ore/hr]],-1,0) -TblProd[[#This Row],[Expenses Ore]]</f>
        <v>-357</v>
      </c>
      <c r="N132" s="69" t="n">
        <f aca="false">OFFSET(TblProd[[#This Row],[Gems]],-1,0)+OFFSET(TblProd[[#This Row],[Gems/hr]],-1,0) - TblProd[[#This Row],[Expenses Gems]]</f>
        <v>-1000</v>
      </c>
      <c r="O132" s="69" t="n">
        <f aca="false">OFFSET(TblProd[[#This Row],[Boats]],-1,0)+OFFSET(TblProd[[#This Row],[Boats/hr]],-1,0)</f>
        <v>95.4500000000001</v>
      </c>
      <c r="P132" s="69" t="n">
        <f aca="false">OFFSET(TblProd[[#This Row],[Prestige]],-1,0)</f>
        <v>250</v>
      </c>
      <c r="Q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2" s="69" t="n">
        <f aca="false">MAX(3750,_xlfn.CEILING.MATH(TblProd[[#This Row],[Land]]*2.5+OFFSET(TblTech[[#This Row],[Sum of tech]],-1,0)*150))</f>
        <v>3750</v>
      </c>
      <c r="S132" s="132"/>
      <c r="T132" s="69" t="n">
        <f aca="false">ROUNDDOWN(TblProd[[#This Row],[Raw Plat/hr]]*(1+TblProd[[#This Row],[Bonus Plat/hr]]),0)</f>
        <v>27891</v>
      </c>
      <c r="U132" s="69" t="n">
        <f aca="false">ROUND(TblProd[[#This Row],[Raw Food/hr]]*(1+TblProd[[#This Row],[Bonus Food/hr]])-TblProd[[#This Row],[Food decay]]-TblProd[[#This Row],[Food eaten]],0)</f>
        <v>-2453</v>
      </c>
      <c r="V132" s="69" t="n">
        <f aca="false">ROUND(TblProd[[#This Row],[Raw Lumber/hr]]*(1+TblProd[[#This Row],[Bonus Lumber/hr]])-TblProd[[#This Row],[Lumber rot]],0)</f>
        <v>558</v>
      </c>
      <c r="W132" s="69" t="n">
        <f aca="false">ROUND(TblProd[[#This Row],[Raw Mana/hr]]*(1+TblProd[[#This Row],[Bonus Mana/hr]])-TblProd[[#This Row],[Mana drain]],0)</f>
        <v>-2332</v>
      </c>
      <c r="X132" s="69" t="n">
        <f aca="false">ROUNDDOWN(TblProd[[#This Row],[Raw Ore/hr]]*(1+TblProd[[#This Row],[Bonux Ore/hr]]),0)</f>
        <v>0</v>
      </c>
      <c r="Y132" s="69" t="n">
        <f aca="false">ROUNDDOWN(TblProd[[#This Row],[Raw Gems/hr]]*(1+TblProd[[#This Row],[Bonus Gems/hr]]),0)</f>
        <v>0</v>
      </c>
      <c r="Z132" s="148" t="n">
        <f aca="false">OFFSET(TblConstr[[#This Row],[Tot Doc]],1,0)*dock_boats_hr * (1 + tech_4_1*TblTech[[#This Row],[4-1]])</f>
        <v>1.2</v>
      </c>
      <c r="AA132" s="146"/>
      <c r="AB132" s="69" t="n">
        <f aca="false">TblPop[[#This Row],[Peasants]]*tax*TblPop[[#This Row],[Employment]] + (Construction!AZ133+Construction!BX133)*(alch_plat+(Magic!AM132&gt;0)*alchemist_flame_bonus)</f>
        <v>27891.9</v>
      </c>
      <c r="AC132" s="69" t="n">
        <f aca="false">TblConstr[[#This Row],[Tot Farm]]*farm_food + TblConstr[[#This Row],[Tot Doc]]*dock_food</f>
        <v>3280</v>
      </c>
      <c r="AD132" s="69" t="n">
        <f aca="false">TblConstr[[#This Row],[Tot Ly]]*ly_lumber + TblConstr[[#This Row],[Tot Hav]]*fh_lumber</f>
        <v>1250</v>
      </c>
      <c r="AE132" s="69" t="n">
        <f aca="false">OFFSET(TblConstr[[#This Row],[Tot Tow]],1,0)*(tower_mana + tech_4_5*TblTech[[#This Row],[4-5]]) + OFFSET(TblConstr[[#This Row],[Tot WG]],1,0)*wg_mana_prod</f>
        <v>725</v>
      </c>
      <c r="AF132" s="69" t="n">
        <f aca="false">OFFSET(TblConstr[[#This Row],[Tot OM]],1,0)*om_ore+IF(race="Dwarf",ROUNDDOWN(TblMili[[#This Row],[Unit 2]]*0.4,0),)</f>
        <v>0</v>
      </c>
      <c r="AG132" s="69" t="n">
        <f aca="false">OFFSET(TblConstr[[#This Row],[Tot DM]],1,0)*dm_gems</f>
        <v>0</v>
      </c>
      <c r="AH132" s="132"/>
      <c r="AI132" s="149" t="n">
        <f aca="false">MIN(race_platinum_bonus + IF(TblMagic[[#This Row],[Active Alch Frost]]&gt;0,alch_frost_bonus,IF(Magic!AD132&gt;0,midas_bonus)) + TblImps[[#This Row],[Science]] - TblProd[[#This Row],[Guard]]*(0.02 + tech_5_7*TblTech[[#This Row],[5-7]]) + tech_1_5*TblTech[[#This Row],[1-5]] + tech_4_4*TblTech[[#This Row],[4-4]], 0.5)</f>
        <v>0</v>
      </c>
      <c r="AJ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2" s="149" t="n">
        <f aca="false">race_lumber_bonus+ IF(TblMagic[[#This Row],[Active Gaia''s Blessing]]&gt;0,gaias_blessing_lumber)+ tech_1_3*TblTech[[#This Row],[1-3]] + tech_1_6*TblTech[[#This Row],[1-6]] + tech_3_3*TblTech[[#This Row],[3-3]]</f>
        <v>-0.1</v>
      </c>
      <c r="AL132" s="149" t="n">
        <f aca="false">race_mana_bonus+ 0 + TblImps[[#This Row],[Towers]] + tech_1_2*TblTech[[#This Row],[1-2]] + tech_3_4*TblTech[[#This Row],[3-4]]</f>
        <v>0</v>
      </c>
      <c r="AM132" s="149" t="n">
        <f aca="false">race_ore_bonus + IF(TblMagic[[#This Row],[Active Miner''s Sight]]&gt;0,miners_sight_bonus,IF(TblMagic[[#This Row],[Active Mining Strength]]&gt;0,mining_strength_bonus)) +  tech_1_6*TblTech[[#This Row],[1-6]]</f>
        <v>0</v>
      </c>
      <c r="AN132" s="149" t="n">
        <f aca="false">race_gem_bonus+ tech_3_2*TblTech[[#This Row],[3-2]] + tech_4_3*TblTech[[#This Row],[4-3]] + tech_6_2*TblTech[[#This Row],[6-2]]</f>
        <v>0.15</v>
      </c>
      <c r="AO132" s="132"/>
      <c r="AP132" s="69" t="n">
        <f aca="false">TblProd[[#This Row],[Food]]*food_decay * (1 + tech_2_1*TblTech[[#This Row],[2-1]] + tech_2_8*TblTech[[#This Row],[2-8]])</f>
        <v>2580.55</v>
      </c>
      <c r="AQ132" s="69" t="n">
        <f aca="false">(1+race_food_consumption)*TblPop[[#This Row],[Total]]*food_per_person*(1+tech_1_10*TblTech[[#This Row],[1-10]]+tech_7_5*TblTech[[#This Row],[7-5]])</f>
        <v>3234.75</v>
      </c>
      <c r="AR132" s="69" t="n">
        <f aca="false">TblProd[[#This Row],[Lumber]]*lumber_rot * (1 + tech_2_1*TblTech[[#This Row],[2-1]] + tech_2_8*TblTech[[#This Row],[2-8]] + tech_5_2*TblTech[[#This Row],[5-2]])</f>
        <v>567</v>
      </c>
      <c r="AS132" s="69" t="n">
        <f aca="false">TblProd[[#This Row],[Mana]]*mana_drain * (1 + tech_2_1*TblTech[[#This Row],[2-1]] + tech_2_8*TblTech[[#This Row],[2-8]])</f>
        <v>3057.1</v>
      </c>
      <c r="AT132" s="146"/>
      <c r="AU132" s="69" t="n">
        <f aca="false">TblExplore[[#This Row],[Platinum (2)]]+TblConstr[[#This Row],[Total Plat Cost]]+TblMili[[#This Row],[Plat Cost]]+TblRezone[[#This Row],[Platinum cost]]+TblImps[[#This Row],[P1]]-TblProd[[#This Row],[Bank Plat]]</f>
        <v>0</v>
      </c>
      <c r="AV132" s="69" t="n">
        <f aca="false">TblConstr[[#This Row],[Total Lum Cost]]+TblImps[[#This Row],[L1]]-TblProd[[#This Row],[Bank Lumber]] + Military!$CL$25*TblMili[[#This Row],[Sec. rec. Cost]]</f>
        <v>0</v>
      </c>
      <c r="AW132" s="69" t="n">
        <f aca="false">TblMagic[[#This Row],[Mana cost]] + Military!$CL$26*TblMili[[#This Row],[Sec. rec. Cost]]</f>
        <v>0</v>
      </c>
      <c r="AX132" s="69" t="n">
        <f aca="false">Military!$CL$24*TblMili[[#This Row],[Sec. rec. Cost]]+TblImps[[#This Row],[O1]]-TblProd[[#This Row],[Bank Ore]]</f>
        <v>0</v>
      </c>
      <c r="AY132" s="69" t="n">
        <f aca="false">TblImps[[#This Row],[G1]]-TblProd[[#This Row],[Bank Gems]]</f>
        <v>0</v>
      </c>
      <c r="AZ132" s="132"/>
      <c r="BA132" s="33" t="n">
        <f aca="false">IF(TblProd[[#This Row],[Set Guard]]&lt;&gt;"",TblProd[[#This Row],[Set Guard]],OFFSET(TblProd[[#This Row],[Guard]],-1,0))</f>
        <v>0</v>
      </c>
      <c r="BB132" s="145"/>
      <c r="BC132" s="151" t="n">
        <f aca="false">TblProd[[#This Row],[Hour]]</f>
        <v>57</v>
      </c>
      <c r="BD132" s="152" t="n">
        <f aca="false">-TblProd[[#This Row],[Bank Lumber]] / 2 + -TblProd[[#This Row],[Bank Gems]] * 2 + -TblProd[[#This Row],[Bank Ore]] / 2</f>
        <v>0</v>
      </c>
      <c r="BE132" s="152"/>
      <c r="BF132" s="152"/>
      <c r="BG132" s="152"/>
      <c r="BH132" s="153" t="n">
        <f aca="false">TblProd[[#This Row],[Time]]</f>
        <v>45435.0833333333</v>
      </c>
      <c r="BI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J132" s="69" t="n">
        <f aca="false">TblProd[[#This Row],[Platinum]]</f>
        <v>2095399</v>
      </c>
      <c r="BK132" s="69" t="n">
        <f aca="false">TblProd[[#This Row],[Food]]</f>
        <v>258055</v>
      </c>
      <c r="BL132" s="69" t="n">
        <f aca="false">TblProd[[#This Row],[Lumber]]</f>
        <v>56700</v>
      </c>
      <c r="BM132" s="69" t="n">
        <f aca="false">TblProd[[#This Row],[Mana]]</f>
        <v>152855</v>
      </c>
      <c r="BN132" s="69" t="n">
        <f aca="false">TblProd[[#This Row],[Ore]]</f>
        <v>-357</v>
      </c>
    </row>
    <row r="133" customFormat="false" ht="12.75" hidden="false" customHeight="false" outlineLevel="0" collapsed="false">
      <c r="A133" s="128" t="n">
        <v>58</v>
      </c>
      <c r="B133" s="144" t="n">
        <f aca="false">TblImps[[#This Row],[Time]]</f>
        <v>45435.125</v>
      </c>
      <c r="C133" s="145"/>
      <c r="D133" s="146"/>
      <c r="E133" s="69" t="n">
        <f aca="false">TblConstr[[#This Row],[Land]]</f>
        <v>700</v>
      </c>
      <c r="F133" s="69" t="n">
        <f aca="false">TblPop[[#This Row],[Peasants]]</f>
        <v>5690</v>
      </c>
      <c r="G133" s="69"/>
      <c r="H133" s="69" t="e">
        <f aca="false">TblMili[[#This Row],[Networth (2)]]</f>
        <v>#VALUE!</v>
      </c>
      <c r="I133" s="69" t="n">
        <f aca="false">OFFSET(TblProd[[#This Row],[Platinum]],-1,0)+OFFSET(TblProd[[#This Row],[Plat/hr]],-1,0) - TblProd[[#This Row],[Expenses Platinum]] + IF(TblProd[[#This Row],[Plat Bonus]],TblPop[[#This Row],[Peasants]]*4) + SUM(TblConstr[[#This Row],[Dest Hom]:[Dest Doc]])*TblConstr[[#This Row],[CPA Platinum -DB]]*tech_3_3_2*TblTech[[#This Row],[3-3]]</f>
        <v>2123290</v>
      </c>
      <c r="J133" s="69" t="n">
        <f aca="false">OFFSET(TblProd[[#This Row],[Food]],-1,0)+OFFSET(TblProd[[#This Row],[Food/hr]],-1,0)+ROUNDUP((TblConstr[[#This Row],[Farms]]*80+TblConstr[[#This Row],[Docks]]*35)*(1+OFFSET(TblProd[[#This Row],[Bonus Food/hr]],-1,0)),0)</f>
        <v>255602</v>
      </c>
      <c r="K133" s="69" t="n">
        <f aca="false">OFFSET(TblProd[[#This Row],[Lumber]],-1,0)+OFFSET(TblProd[[#This Row],[Lumber/hr]],-1,0) - TblProd[[#This Row],[Expenses Lumber]] + SUM(TblConstr[[#This Row],[Dest Hom]:[Dest Doc]])*TblConstr[[#This Row],[CPA Lumber -DB]]*tech_3_3_2*TblTech[[#This Row],[3-3]]</f>
        <v>57258</v>
      </c>
      <c r="L133" s="69" t="n">
        <f aca="false">OFFSET(TblProd[[#This Row],[Mana]],-1,0)+OFFSET(TblProd[[#This Row],[Mana/hr]],-1,0)- TblProd[[#This Row],[Expenses Mana]]</f>
        <v>150523</v>
      </c>
      <c r="M133" s="69" t="n">
        <f aca="false">OFFSET(TblProd[[#This Row],[Ore]],-1,0)+OFFSET(TblProd[[#This Row],[Ore/hr]],-1,0) -TblProd[[#This Row],[Expenses Ore]]</f>
        <v>-357</v>
      </c>
      <c r="N133" s="69" t="n">
        <f aca="false">OFFSET(TblProd[[#This Row],[Gems]],-1,0)+OFFSET(TblProd[[#This Row],[Gems/hr]],-1,0) - TblProd[[#This Row],[Expenses Gems]]</f>
        <v>-1000</v>
      </c>
      <c r="O133" s="69" t="n">
        <f aca="false">OFFSET(TblProd[[#This Row],[Boats]],-1,0)+OFFSET(TblProd[[#This Row],[Boats/hr]],-1,0)</f>
        <v>96.6500000000001</v>
      </c>
      <c r="P133" s="69" t="n">
        <f aca="false">OFFSET(TblProd[[#This Row],[Prestige]],-1,0)</f>
        <v>250</v>
      </c>
      <c r="Q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3" s="69" t="n">
        <f aca="false">MAX(3750,_xlfn.CEILING.MATH(TblProd[[#This Row],[Land]]*2.5+OFFSET(TblTech[[#This Row],[Sum of tech]],-1,0)*150))</f>
        <v>3750</v>
      </c>
      <c r="S133" s="132"/>
      <c r="T133" s="69" t="n">
        <f aca="false">ROUNDDOWN(TblProd[[#This Row],[Raw Plat/hr]]*(1+TblProd[[#This Row],[Bonus Plat/hr]]),0)</f>
        <v>27738</v>
      </c>
      <c r="U133" s="69" t="n">
        <f aca="false">ROUND(TblProd[[#This Row],[Raw Food/hr]]*(1+TblProd[[#This Row],[Bonus Food/hr]])-TblProd[[#This Row],[Food decay]]-TblProd[[#This Row],[Food eaten]],0)</f>
        <v>-2429</v>
      </c>
      <c r="V133" s="69" t="n">
        <f aca="false">ROUND(TblProd[[#This Row],[Raw Lumber/hr]]*(1+TblProd[[#This Row],[Bonus Lumber/hr]])-TblProd[[#This Row],[Lumber rot]],0)</f>
        <v>552</v>
      </c>
      <c r="W133" s="69" t="n">
        <f aca="false">ROUND(TblProd[[#This Row],[Raw Mana/hr]]*(1+TblProd[[#This Row],[Bonus Mana/hr]])-TblProd[[#This Row],[Mana drain]],0)</f>
        <v>-2285</v>
      </c>
      <c r="X133" s="69" t="n">
        <f aca="false">ROUNDDOWN(TblProd[[#This Row],[Raw Ore/hr]]*(1+TblProd[[#This Row],[Bonux Ore/hr]]),0)</f>
        <v>0</v>
      </c>
      <c r="Y133" s="69" t="n">
        <f aca="false">ROUNDDOWN(TblProd[[#This Row],[Raw Gems/hr]]*(1+TblProd[[#This Row],[Bonus Gems/hr]]),0)</f>
        <v>0</v>
      </c>
      <c r="Z133" s="148" t="n">
        <f aca="false">OFFSET(TblConstr[[#This Row],[Tot Doc]],1,0)*dock_boats_hr * (1 + tech_4_1*TblTech[[#This Row],[4-1]])</f>
        <v>1.2</v>
      </c>
      <c r="AA133" s="146"/>
      <c r="AB133" s="69" t="n">
        <f aca="false">TblPop[[#This Row],[Peasants]]*tax*TblPop[[#This Row],[Employment]] + (Construction!AZ134+Construction!BX134)*(alch_plat+(Magic!AM133&gt;0)*alchemist_flame_bonus)</f>
        <v>27738</v>
      </c>
      <c r="AC133" s="69" t="n">
        <f aca="false">TblConstr[[#This Row],[Tot Farm]]*farm_food + TblConstr[[#This Row],[Tot Doc]]*dock_food</f>
        <v>3280</v>
      </c>
      <c r="AD133" s="69" t="n">
        <f aca="false">TblConstr[[#This Row],[Tot Ly]]*ly_lumber + TblConstr[[#This Row],[Tot Hav]]*fh_lumber</f>
        <v>1250</v>
      </c>
      <c r="AE133" s="69" t="n">
        <f aca="false">OFFSET(TblConstr[[#This Row],[Tot Tow]],1,0)*(tower_mana + tech_4_5*TblTech[[#This Row],[4-5]]) + OFFSET(TblConstr[[#This Row],[Tot WG]],1,0)*wg_mana_prod</f>
        <v>725</v>
      </c>
      <c r="AF133" s="69" t="n">
        <f aca="false">OFFSET(TblConstr[[#This Row],[Tot OM]],1,0)*om_ore+IF(race="Dwarf",ROUNDDOWN(TblMili[[#This Row],[Unit 2]]*0.4,0),)</f>
        <v>0</v>
      </c>
      <c r="AG133" s="69" t="n">
        <f aca="false">OFFSET(TblConstr[[#This Row],[Tot DM]],1,0)*dm_gems</f>
        <v>0</v>
      </c>
      <c r="AH133" s="132"/>
      <c r="AI133" s="149" t="n">
        <f aca="false">MIN(race_platinum_bonus + IF(TblMagic[[#This Row],[Active Alch Frost]]&gt;0,alch_frost_bonus,IF(Magic!AD133&gt;0,midas_bonus)) + TblImps[[#This Row],[Science]] - TblProd[[#This Row],[Guard]]*(0.02 + tech_5_7*TblTech[[#This Row],[5-7]]) + tech_1_5*TblTech[[#This Row],[1-5]] + tech_4_4*TblTech[[#This Row],[4-4]], 0.5)</f>
        <v>0</v>
      </c>
      <c r="AJ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3" s="149" t="n">
        <f aca="false">race_lumber_bonus+ IF(TblMagic[[#This Row],[Active Gaia''s Blessing]]&gt;0,gaias_blessing_lumber)+ tech_1_3*TblTech[[#This Row],[1-3]] + tech_1_6*TblTech[[#This Row],[1-6]] + tech_3_3*TblTech[[#This Row],[3-3]]</f>
        <v>-0.1</v>
      </c>
      <c r="AL133" s="149" t="n">
        <f aca="false">race_mana_bonus+ 0 + TblImps[[#This Row],[Towers]] + tech_1_2*TblTech[[#This Row],[1-2]] + tech_3_4*TblTech[[#This Row],[3-4]]</f>
        <v>0</v>
      </c>
      <c r="AM133" s="149" t="n">
        <f aca="false">race_ore_bonus + IF(TblMagic[[#This Row],[Active Miner''s Sight]]&gt;0,miners_sight_bonus,IF(TblMagic[[#This Row],[Active Mining Strength]]&gt;0,mining_strength_bonus)) +  tech_1_6*TblTech[[#This Row],[1-6]]</f>
        <v>0</v>
      </c>
      <c r="AN133" s="149" t="n">
        <f aca="false">race_gem_bonus+ tech_3_2*TblTech[[#This Row],[3-2]] + tech_4_3*TblTech[[#This Row],[4-3]] + tech_6_2*TblTech[[#This Row],[6-2]]</f>
        <v>0.15</v>
      </c>
      <c r="AO133" s="132"/>
      <c r="AP133" s="69" t="n">
        <f aca="false">TblProd[[#This Row],[Food]]*food_decay * (1 + tech_2_1*TblTech[[#This Row],[2-1]] + tech_2_8*TblTech[[#This Row],[2-8]])</f>
        <v>2556.02</v>
      </c>
      <c r="AQ133" s="69" t="n">
        <f aca="false">(1+race_food_consumption)*TblPop[[#This Row],[Total]]*food_per_person*(1+tech_1_10*TblTech[[#This Row],[1-10]]+tech_7_5*TblTech[[#This Row],[7-5]])</f>
        <v>3234.75</v>
      </c>
      <c r="AR133" s="69" t="n">
        <f aca="false">TblProd[[#This Row],[Lumber]]*lumber_rot * (1 + tech_2_1*TblTech[[#This Row],[2-1]] + tech_2_8*TblTech[[#This Row],[2-8]] + tech_5_2*TblTech[[#This Row],[5-2]])</f>
        <v>572.58</v>
      </c>
      <c r="AS133" s="69" t="n">
        <f aca="false">TblProd[[#This Row],[Mana]]*mana_drain * (1 + tech_2_1*TblTech[[#This Row],[2-1]] + tech_2_8*TblTech[[#This Row],[2-8]])</f>
        <v>3010.46</v>
      </c>
      <c r="AT133" s="146"/>
      <c r="AU133" s="69" t="n">
        <f aca="false">TblExplore[[#This Row],[Platinum (2)]]+TblConstr[[#This Row],[Total Plat Cost]]+TblMili[[#This Row],[Plat Cost]]+TblRezone[[#This Row],[Platinum cost]]+TblImps[[#This Row],[P1]]-TblProd[[#This Row],[Bank Plat]]</f>
        <v>0</v>
      </c>
      <c r="AV133" s="69" t="n">
        <f aca="false">TblConstr[[#This Row],[Total Lum Cost]]+TblImps[[#This Row],[L1]]-TblProd[[#This Row],[Bank Lumber]] + Military!$CL$25*TblMili[[#This Row],[Sec. rec. Cost]]</f>
        <v>0</v>
      </c>
      <c r="AW133" s="69" t="n">
        <f aca="false">TblMagic[[#This Row],[Mana cost]] + Military!$CL$26*TblMili[[#This Row],[Sec. rec. Cost]]</f>
        <v>0</v>
      </c>
      <c r="AX133" s="69" t="n">
        <f aca="false">Military!$CL$24*TblMili[[#This Row],[Sec. rec. Cost]]+TblImps[[#This Row],[O1]]-TblProd[[#This Row],[Bank Ore]]</f>
        <v>0</v>
      </c>
      <c r="AY133" s="69" t="n">
        <f aca="false">TblImps[[#This Row],[G1]]-TblProd[[#This Row],[Bank Gems]]</f>
        <v>0</v>
      </c>
      <c r="AZ133" s="132"/>
      <c r="BA133" s="33" t="n">
        <f aca="false">IF(TblProd[[#This Row],[Set Guard]]&lt;&gt;"",TblProd[[#This Row],[Set Guard]],OFFSET(TblProd[[#This Row],[Guard]],-1,0))</f>
        <v>0</v>
      </c>
      <c r="BB133" s="145"/>
      <c r="BC133" s="151" t="n">
        <f aca="false">TblProd[[#This Row],[Hour]]</f>
        <v>58</v>
      </c>
      <c r="BD133" s="152" t="n">
        <f aca="false">-TblProd[[#This Row],[Bank Lumber]] / 2 + -TblProd[[#This Row],[Bank Gems]] * 2 + -TblProd[[#This Row],[Bank Ore]] / 2</f>
        <v>0</v>
      </c>
      <c r="BE133" s="152"/>
      <c r="BF133" s="152"/>
      <c r="BG133" s="152"/>
      <c r="BH133" s="153" t="n">
        <f aca="false">TblProd[[#This Row],[Time]]</f>
        <v>45435.125</v>
      </c>
      <c r="BI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J133" s="69" t="n">
        <f aca="false">TblProd[[#This Row],[Platinum]]</f>
        <v>2123290</v>
      </c>
      <c r="BK133" s="69" t="n">
        <f aca="false">TblProd[[#This Row],[Food]]</f>
        <v>255602</v>
      </c>
      <c r="BL133" s="69" t="n">
        <f aca="false">TblProd[[#This Row],[Lumber]]</f>
        <v>57258</v>
      </c>
      <c r="BM133" s="69" t="n">
        <f aca="false">TblProd[[#This Row],[Mana]]</f>
        <v>150523</v>
      </c>
      <c r="BN133" s="69" t="n">
        <f aca="false">TblProd[[#This Row],[Ore]]</f>
        <v>-357</v>
      </c>
    </row>
    <row r="134" customFormat="false" ht="12.75" hidden="false" customHeight="false" outlineLevel="0" collapsed="false">
      <c r="A134" s="128" t="n">
        <v>59</v>
      </c>
      <c r="B134" s="144" t="n">
        <f aca="false">TblImps[[#This Row],[Time]]</f>
        <v>45435.1666666667</v>
      </c>
      <c r="C134" s="145"/>
      <c r="D134" s="146"/>
      <c r="E134" s="69" t="n">
        <f aca="false">TblConstr[[#This Row],[Land]]</f>
        <v>700</v>
      </c>
      <c r="F134" s="69" t="n">
        <f aca="false">TblPop[[#This Row],[Peasants]]</f>
        <v>5633</v>
      </c>
      <c r="G134" s="69"/>
      <c r="H134" s="69" t="e">
        <f aca="false">TblMili[[#This Row],[Networth (2)]]</f>
        <v>#VALUE!</v>
      </c>
      <c r="I134" s="69" t="n">
        <f aca="false">OFFSET(TblProd[[#This Row],[Platinum]],-1,0)+OFFSET(TblProd[[#This Row],[Plat/hr]],-1,0) - TblProd[[#This Row],[Expenses Platinum]] + IF(TblProd[[#This Row],[Plat Bonus]],TblPop[[#This Row],[Peasants]]*4) + SUM(TblConstr[[#This Row],[Dest Hom]:[Dest Doc]])*TblConstr[[#This Row],[CPA Platinum -DB]]*tech_3_3_2*TblTech[[#This Row],[3-3]]</f>
        <v>2151028</v>
      </c>
      <c r="J134" s="69" t="n">
        <f aca="false">OFFSET(TblProd[[#This Row],[Food]],-1,0)+OFFSET(TblProd[[#This Row],[Food/hr]],-1,0)+ROUNDUP((TblConstr[[#This Row],[Farms]]*80+TblConstr[[#This Row],[Docks]]*35)*(1+OFFSET(TblProd[[#This Row],[Bonus Food/hr]],-1,0)),0)</f>
        <v>253173</v>
      </c>
      <c r="K134" s="69" t="n">
        <f aca="false">OFFSET(TblProd[[#This Row],[Lumber]],-1,0)+OFFSET(TblProd[[#This Row],[Lumber/hr]],-1,0) - TblProd[[#This Row],[Expenses Lumber]] + SUM(TblConstr[[#This Row],[Dest Hom]:[Dest Doc]])*TblConstr[[#This Row],[CPA Lumber -DB]]*tech_3_3_2*TblTech[[#This Row],[3-3]]</f>
        <v>57810</v>
      </c>
      <c r="L134" s="69" t="n">
        <f aca="false">OFFSET(TblProd[[#This Row],[Mana]],-1,0)+OFFSET(TblProd[[#This Row],[Mana/hr]],-1,0)- TblProd[[#This Row],[Expenses Mana]]</f>
        <v>148238</v>
      </c>
      <c r="M134" s="69" t="n">
        <f aca="false">OFFSET(TblProd[[#This Row],[Ore]],-1,0)+OFFSET(TblProd[[#This Row],[Ore/hr]],-1,0) -TblProd[[#This Row],[Expenses Ore]]</f>
        <v>-357</v>
      </c>
      <c r="N134" s="69" t="n">
        <f aca="false">OFFSET(TblProd[[#This Row],[Gems]],-1,0)+OFFSET(TblProd[[#This Row],[Gems/hr]],-1,0) - TblProd[[#This Row],[Expenses Gems]]</f>
        <v>-1000</v>
      </c>
      <c r="O134" s="69" t="n">
        <f aca="false">OFFSET(TblProd[[#This Row],[Boats]],-1,0)+OFFSET(TblProd[[#This Row],[Boats/hr]],-1,0)</f>
        <v>97.8500000000001</v>
      </c>
      <c r="P134" s="69" t="n">
        <f aca="false">OFFSET(TblProd[[#This Row],[Prestige]],-1,0)</f>
        <v>250</v>
      </c>
      <c r="Q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4" s="69" t="n">
        <f aca="false">MAX(3750,_xlfn.CEILING.MATH(TblProd[[#This Row],[Land]]*2.5+OFFSET(TblTech[[#This Row],[Sum of tech]],-1,0)*150))</f>
        <v>3750</v>
      </c>
      <c r="S134" s="132"/>
      <c r="T134" s="69" t="n">
        <f aca="false">ROUNDDOWN(TblProd[[#This Row],[Raw Plat/hr]]*(1+TblProd[[#This Row],[Bonus Plat/hr]]),0)</f>
        <v>27584</v>
      </c>
      <c r="U134" s="69" t="n">
        <f aca="false">ROUND(TblProd[[#This Row],[Raw Food/hr]]*(1+TblProd[[#This Row],[Bonus Food/hr]])-TblProd[[#This Row],[Food decay]]-TblProd[[#This Row],[Food eaten]],0)</f>
        <v>-2404</v>
      </c>
      <c r="V134" s="69" t="n">
        <f aca="false">ROUND(TblProd[[#This Row],[Raw Lumber/hr]]*(1+TblProd[[#This Row],[Bonus Lumber/hr]])-TblProd[[#This Row],[Lumber rot]],0)</f>
        <v>547</v>
      </c>
      <c r="W134" s="69" t="n">
        <f aca="false">ROUND(TblProd[[#This Row],[Raw Mana/hr]]*(1+TblProd[[#This Row],[Bonus Mana/hr]])-TblProd[[#This Row],[Mana drain]],0)</f>
        <v>-2240</v>
      </c>
      <c r="X134" s="69" t="n">
        <f aca="false">ROUNDDOWN(TblProd[[#This Row],[Raw Ore/hr]]*(1+TblProd[[#This Row],[Bonux Ore/hr]]),0)</f>
        <v>0</v>
      </c>
      <c r="Y134" s="69" t="n">
        <f aca="false">ROUNDDOWN(TblProd[[#This Row],[Raw Gems/hr]]*(1+TblProd[[#This Row],[Bonus Gems/hr]]),0)</f>
        <v>0</v>
      </c>
      <c r="Z134" s="148" t="n">
        <f aca="false">OFFSET(TblConstr[[#This Row],[Tot Doc]],1,0)*dock_boats_hr * (1 + tech_4_1*TblTech[[#This Row],[4-1]])</f>
        <v>1.2</v>
      </c>
      <c r="AA134" s="146"/>
      <c r="AB134" s="69" t="n">
        <f aca="false">TblPop[[#This Row],[Peasants]]*tax*TblPop[[#This Row],[Employment]] + (Construction!AZ135+Construction!BX135)*(alch_plat+(Magic!AM134&gt;0)*alchemist_flame_bonus)</f>
        <v>27584.1</v>
      </c>
      <c r="AC134" s="69" t="n">
        <f aca="false">TblConstr[[#This Row],[Tot Farm]]*farm_food + TblConstr[[#This Row],[Tot Doc]]*dock_food</f>
        <v>3280</v>
      </c>
      <c r="AD134" s="69" t="n">
        <f aca="false">TblConstr[[#This Row],[Tot Ly]]*ly_lumber + TblConstr[[#This Row],[Tot Hav]]*fh_lumber</f>
        <v>1250</v>
      </c>
      <c r="AE134" s="69" t="n">
        <f aca="false">OFFSET(TblConstr[[#This Row],[Tot Tow]],1,0)*(tower_mana + tech_4_5*TblTech[[#This Row],[4-5]]) + OFFSET(TblConstr[[#This Row],[Tot WG]],1,0)*wg_mana_prod</f>
        <v>725</v>
      </c>
      <c r="AF134" s="69" t="n">
        <f aca="false">OFFSET(TblConstr[[#This Row],[Tot OM]],1,0)*om_ore+IF(race="Dwarf",ROUNDDOWN(TblMili[[#This Row],[Unit 2]]*0.4,0),)</f>
        <v>0</v>
      </c>
      <c r="AG134" s="69" t="n">
        <f aca="false">OFFSET(TblConstr[[#This Row],[Tot DM]],1,0)*dm_gems</f>
        <v>0</v>
      </c>
      <c r="AH134" s="132"/>
      <c r="AI134" s="149" t="n">
        <f aca="false">MIN(race_platinum_bonus + IF(TblMagic[[#This Row],[Active Alch Frost]]&gt;0,alch_frost_bonus,IF(Magic!AD134&gt;0,midas_bonus)) + TblImps[[#This Row],[Science]] - TblProd[[#This Row],[Guard]]*(0.02 + tech_5_7*TblTech[[#This Row],[5-7]]) + tech_1_5*TblTech[[#This Row],[1-5]] + tech_4_4*TblTech[[#This Row],[4-4]], 0.5)</f>
        <v>0</v>
      </c>
      <c r="AJ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4" s="149" t="n">
        <f aca="false">race_lumber_bonus+ IF(TblMagic[[#This Row],[Active Gaia''s Blessing]]&gt;0,gaias_blessing_lumber)+ tech_1_3*TblTech[[#This Row],[1-3]] + tech_1_6*TblTech[[#This Row],[1-6]] + tech_3_3*TblTech[[#This Row],[3-3]]</f>
        <v>-0.1</v>
      </c>
      <c r="AL134" s="149" t="n">
        <f aca="false">race_mana_bonus+ 0 + TblImps[[#This Row],[Towers]] + tech_1_2*TblTech[[#This Row],[1-2]] + tech_3_4*TblTech[[#This Row],[3-4]]</f>
        <v>0</v>
      </c>
      <c r="AM134" s="149" t="n">
        <f aca="false">race_ore_bonus + IF(TblMagic[[#This Row],[Active Miner''s Sight]]&gt;0,miners_sight_bonus,IF(TblMagic[[#This Row],[Active Mining Strength]]&gt;0,mining_strength_bonus)) +  tech_1_6*TblTech[[#This Row],[1-6]]</f>
        <v>0</v>
      </c>
      <c r="AN134" s="149" t="n">
        <f aca="false">race_gem_bonus+ tech_3_2*TblTech[[#This Row],[3-2]] + tech_4_3*TblTech[[#This Row],[4-3]] + tech_6_2*TblTech[[#This Row],[6-2]]</f>
        <v>0.15</v>
      </c>
      <c r="AO134" s="132"/>
      <c r="AP134" s="69" t="n">
        <f aca="false">TblProd[[#This Row],[Food]]*food_decay * (1 + tech_2_1*TblTech[[#This Row],[2-1]] + tech_2_8*TblTech[[#This Row],[2-8]])</f>
        <v>2531.73</v>
      </c>
      <c r="AQ134" s="69" t="n">
        <f aca="false">(1+race_food_consumption)*TblPop[[#This Row],[Total]]*food_per_person*(1+tech_1_10*TblTech[[#This Row],[1-10]]+tech_7_5*TblTech[[#This Row],[7-5]])</f>
        <v>3234.75</v>
      </c>
      <c r="AR134" s="69" t="n">
        <f aca="false">TblProd[[#This Row],[Lumber]]*lumber_rot * (1 + tech_2_1*TblTech[[#This Row],[2-1]] + tech_2_8*TblTech[[#This Row],[2-8]] + tech_5_2*TblTech[[#This Row],[5-2]])</f>
        <v>578.1</v>
      </c>
      <c r="AS134" s="69" t="n">
        <f aca="false">TblProd[[#This Row],[Mana]]*mana_drain * (1 + tech_2_1*TblTech[[#This Row],[2-1]] + tech_2_8*TblTech[[#This Row],[2-8]])</f>
        <v>2964.76</v>
      </c>
      <c r="AT134" s="146"/>
      <c r="AU134" s="69" t="n">
        <f aca="false">TblExplore[[#This Row],[Platinum (2)]]+TblConstr[[#This Row],[Total Plat Cost]]+TblMili[[#This Row],[Plat Cost]]+TblRezone[[#This Row],[Platinum cost]]+TblImps[[#This Row],[P1]]-TblProd[[#This Row],[Bank Plat]]</f>
        <v>0</v>
      </c>
      <c r="AV134" s="69" t="n">
        <f aca="false">TblConstr[[#This Row],[Total Lum Cost]]+TblImps[[#This Row],[L1]]-TblProd[[#This Row],[Bank Lumber]] + Military!$CL$25*TblMili[[#This Row],[Sec. rec. Cost]]</f>
        <v>0</v>
      </c>
      <c r="AW134" s="69" t="n">
        <f aca="false">TblMagic[[#This Row],[Mana cost]] + Military!$CL$26*TblMili[[#This Row],[Sec. rec. Cost]]</f>
        <v>0</v>
      </c>
      <c r="AX134" s="69" t="n">
        <f aca="false">Military!$CL$24*TblMili[[#This Row],[Sec. rec. Cost]]+TblImps[[#This Row],[O1]]-TblProd[[#This Row],[Bank Ore]]</f>
        <v>0</v>
      </c>
      <c r="AY134" s="69" t="n">
        <f aca="false">TblImps[[#This Row],[G1]]-TblProd[[#This Row],[Bank Gems]]</f>
        <v>0</v>
      </c>
      <c r="AZ134" s="132"/>
      <c r="BA134" s="33" t="n">
        <f aca="false">IF(TblProd[[#This Row],[Set Guard]]&lt;&gt;"",TblProd[[#This Row],[Set Guard]],OFFSET(TblProd[[#This Row],[Guard]],-1,0))</f>
        <v>0</v>
      </c>
      <c r="BB134" s="145"/>
      <c r="BC134" s="151" t="n">
        <f aca="false">TblProd[[#This Row],[Hour]]</f>
        <v>59</v>
      </c>
      <c r="BD134" s="152" t="n">
        <f aca="false">-TblProd[[#This Row],[Bank Lumber]] / 2 + -TblProd[[#This Row],[Bank Gems]] * 2 + -TblProd[[#This Row],[Bank Ore]] / 2</f>
        <v>0</v>
      </c>
      <c r="BE134" s="152"/>
      <c r="BF134" s="152"/>
      <c r="BG134" s="152"/>
      <c r="BH134" s="153" t="n">
        <f aca="false">TblProd[[#This Row],[Time]]</f>
        <v>45435.1666666667</v>
      </c>
      <c r="BI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J134" s="69" t="n">
        <f aca="false">TblProd[[#This Row],[Platinum]]</f>
        <v>2151028</v>
      </c>
      <c r="BK134" s="69" t="n">
        <f aca="false">TblProd[[#This Row],[Food]]</f>
        <v>253173</v>
      </c>
      <c r="BL134" s="69" t="n">
        <f aca="false">TblProd[[#This Row],[Lumber]]</f>
        <v>57810</v>
      </c>
      <c r="BM134" s="69" t="n">
        <f aca="false">TblProd[[#This Row],[Mana]]</f>
        <v>148238</v>
      </c>
      <c r="BN134" s="69" t="n">
        <f aca="false">TblProd[[#This Row],[Ore]]</f>
        <v>-357</v>
      </c>
    </row>
    <row r="135" customFormat="false" ht="12.75" hidden="false" customHeight="false" outlineLevel="0" collapsed="false">
      <c r="A135" s="128" t="n">
        <v>60</v>
      </c>
      <c r="B135" s="144" t="n">
        <f aca="false">TblImps[[#This Row],[Time]]</f>
        <v>45435.2083333333</v>
      </c>
      <c r="C135" s="145"/>
      <c r="D135" s="146"/>
      <c r="E135" s="69" t="n">
        <f aca="false">TblConstr[[#This Row],[Land]]</f>
        <v>700</v>
      </c>
      <c r="F135" s="69" t="n">
        <f aca="false">TblPop[[#This Row],[Peasants]]</f>
        <v>5577</v>
      </c>
      <c r="G135" s="69"/>
      <c r="H135" s="69" t="e">
        <f aca="false">TblMili[[#This Row],[Networth (2)]]</f>
        <v>#VALUE!</v>
      </c>
      <c r="I135" s="69" t="n">
        <f aca="false">OFFSET(TblProd[[#This Row],[Platinum]],-1,0)+OFFSET(TblProd[[#This Row],[Plat/hr]],-1,0) - TblProd[[#This Row],[Expenses Platinum]] + IF(TblProd[[#This Row],[Plat Bonus]],TblPop[[#This Row],[Peasants]]*4) + SUM(TblConstr[[#This Row],[Dest Hom]:[Dest Doc]])*TblConstr[[#This Row],[CPA Platinum -DB]]*tech_3_3_2*TblTech[[#This Row],[3-3]]</f>
        <v>2178612</v>
      </c>
      <c r="J135" s="69" t="n">
        <f aca="false">OFFSET(TblProd[[#This Row],[Food]],-1,0)+OFFSET(TblProd[[#This Row],[Food/hr]],-1,0)+ROUNDUP((TblConstr[[#This Row],[Farms]]*80+TblConstr[[#This Row],[Docks]]*35)*(1+OFFSET(TblProd[[#This Row],[Bonus Food/hr]],-1,0)),0)</f>
        <v>250769</v>
      </c>
      <c r="K135" s="69" t="n">
        <f aca="false">OFFSET(TblProd[[#This Row],[Lumber]],-1,0)+OFFSET(TblProd[[#This Row],[Lumber/hr]],-1,0) - TblProd[[#This Row],[Expenses Lumber]] + SUM(TblConstr[[#This Row],[Dest Hom]:[Dest Doc]])*TblConstr[[#This Row],[CPA Lumber -DB]]*tech_3_3_2*TblTech[[#This Row],[3-3]]</f>
        <v>58357</v>
      </c>
      <c r="L135" s="69" t="n">
        <f aca="false">OFFSET(TblProd[[#This Row],[Mana]],-1,0)+OFFSET(TblProd[[#This Row],[Mana/hr]],-1,0)- TblProd[[#This Row],[Expenses Mana]]</f>
        <v>145998</v>
      </c>
      <c r="M135" s="69" t="n">
        <f aca="false">OFFSET(TblProd[[#This Row],[Ore]],-1,0)+OFFSET(TblProd[[#This Row],[Ore/hr]],-1,0) -TblProd[[#This Row],[Expenses Ore]]</f>
        <v>-357</v>
      </c>
      <c r="N135" s="69" t="n">
        <f aca="false">OFFSET(TblProd[[#This Row],[Gems]],-1,0)+OFFSET(TblProd[[#This Row],[Gems/hr]],-1,0) - TblProd[[#This Row],[Expenses Gems]]</f>
        <v>-1000</v>
      </c>
      <c r="O135" s="69" t="n">
        <f aca="false">OFFSET(TblProd[[#This Row],[Boats]],-1,0)+OFFSET(TblProd[[#This Row],[Boats/hr]],-1,0)</f>
        <v>99.0500000000001</v>
      </c>
      <c r="P135" s="69" t="n">
        <f aca="false">OFFSET(TblProd[[#This Row],[Prestige]],-1,0)</f>
        <v>250</v>
      </c>
      <c r="Q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5" s="69" t="n">
        <f aca="false">MAX(3750,_xlfn.CEILING.MATH(TblProd[[#This Row],[Land]]*2.5+OFFSET(TblTech[[#This Row],[Sum of tech]],-1,0)*150))</f>
        <v>3750</v>
      </c>
      <c r="S135" s="132"/>
      <c r="T135" s="69" t="n">
        <f aca="false">ROUNDDOWN(TblProd[[#This Row],[Raw Plat/hr]]*(1+TblProd[[#This Row],[Bonus Plat/hr]]),0)</f>
        <v>27432</v>
      </c>
      <c r="U135" s="69" t="n">
        <f aca="false">ROUND(TblProd[[#This Row],[Raw Food/hr]]*(1+TblProd[[#This Row],[Bonus Food/hr]])-TblProd[[#This Row],[Food decay]]-TblProd[[#This Row],[Food eaten]],0)</f>
        <v>-2380</v>
      </c>
      <c r="V135" s="69" t="n">
        <f aca="false">ROUND(TblProd[[#This Row],[Raw Lumber/hr]]*(1+TblProd[[#This Row],[Bonus Lumber/hr]])-TblProd[[#This Row],[Lumber rot]],0)</f>
        <v>541</v>
      </c>
      <c r="W135" s="69" t="n">
        <f aca="false">ROUND(TblProd[[#This Row],[Raw Mana/hr]]*(1+TblProd[[#This Row],[Bonus Mana/hr]])-TblProd[[#This Row],[Mana drain]],0)</f>
        <v>-2195</v>
      </c>
      <c r="X135" s="69" t="n">
        <f aca="false">ROUNDDOWN(TblProd[[#This Row],[Raw Ore/hr]]*(1+TblProd[[#This Row],[Bonux Ore/hr]]),0)</f>
        <v>0</v>
      </c>
      <c r="Y135" s="69" t="n">
        <f aca="false">ROUNDDOWN(TblProd[[#This Row],[Raw Gems/hr]]*(1+TblProd[[#This Row],[Bonus Gems/hr]]),0)</f>
        <v>0</v>
      </c>
      <c r="Z135" s="148" t="n">
        <f aca="false">OFFSET(TblConstr[[#This Row],[Tot Doc]],1,0)*dock_boats_hr * (1 + tech_4_1*TblTech[[#This Row],[4-1]])</f>
        <v>1.2</v>
      </c>
      <c r="AA135" s="146"/>
      <c r="AB135" s="69" t="n">
        <f aca="false">TblPop[[#This Row],[Peasants]]*tax*TblPop[[#This Row],[Employment]] + (Construction!AZ136+Construction!BX136)*(alch_plat+(Magic!AM135&gt;0)*alchemist_flame_bonus)</f>
        <v>27432.9</v>
      </c>
      <c r="AC135" s="69" t="n">
        <f aca="false">TblConstr[[#This Row],[Tot Farm]]*farm_food + TblConstr[[#This Row],[Tot Doc]]*dock_food</f>
        <v>3280</v>
      </c>
      <c r="AD135" s="69" t="n">
        <f aca="false">TblConstr[[#This Row],[Tot Ly]]*ly_lumber + TblConstr[[#This Row],[Tot Hav]]*fh_lumber</f>
        <v>1250</v>
      </c>
      <c r="AE135" s="69" t="n">
        <f aca="false">OFFSET(TblConstr[[#This Row],[Tot Tow]],1,0)*(tower_mana + tech_4_5*TblTech[[#This Row],[4-5]]) + OFFSET(TblConstr[[#This Row],[Tot WG]],1,0)*wg_mana_prod</f>
        <v>725</v>
      </c>
      <c r="AF135" s="69" t="n">
        <f aca="false">OFFSET(TblConstr[[#This Row],[Tot OM]],1,0)*om_ore+IF(race="Dwarf",ROUNDDOWN(TblMili[[#This Row],[Unit 2]]*0.4,0),)</f>
        <v>0</v>
      </c>
      <c r="AG135" s="69" t="n">
        <f aca="false">OFFSET(TblConstr[[#This Row],[Tot DM]],1,0)*dm_gems</f>
        <v>0</v>
      </c>
      <c r="AH135" s="132"/>
      <c r="AI135" s="149" t="n">
        <f aca="false">MIN(race_platinum_bonus + IF(TblMagic[[#This Row],[Active Alch Frost]]&gt;0,alch_frost_bonus,IF(Magic!AD135&gt;0,midas_bonus)) + TblImps[[#This Row],[Science]] - TblProd[[#This Row],[Guard]]*(0.02 + tech_5_7*TblTech[[#This Row],[5-7]]) + tech_1_5*TblTech[[#This Row],[1-5]] + tech_4_4*TblTech[[#This Row],[4-4]], 0.5)</f>
        <v>0</v>
      </c>
      <c r="AJ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5" s="149" t="n">
        <f aca="false">race_lumber_bonus+ IF(TblMagic[[#This Row],[Active Gaia''s Blessing]]&gt;0,gaias_blessing_lumber)+ tech_1_3*TblTech[[#This Row],[1-3]] + tech_1_6*TblTech[[#This Row],[1-6]] + tech_3_3*TblTech[[#This Row],[3-3]]</f>
        <v>-0.1</v>
      </c>
      <c r="AL135" s="149" t="n">
        <f aca="false">race_mana_bonus+ 0 + TblImps[[#This Row],[Towers]] + tech_1_2*TblTech[[#This Row],[1-2]] + tech_3_4*TblTech[[#This Row],[3-4]]</f>
        <v>0</v>
      </c>
      <c r="AM135" s="149" t="n">
        <f aca="false">race_ore_bonus + IF(TblMagic[[#This Row],[Active Miner''s Sight]]&gt;0,miners_sight_bonus,IF(TblMagic[[#This Row],[Active Mining Strength]]&gt;0,mining_strength_bonus)) +  tech_1_6*TblTech[[#This Row],[1-6]]</f>
        <v>0</v>
      </c>
      <c r="AN135" s="149" t="n">
        <f aca="false">race_gem_bonus+ tech_3_2*TblTech[[#This Row],[3-2]] + tech_4_3*TblTech[[#This Row],[4-3]] + tech_6_2*TblTech[[#This Row],[6-2]]</f>
        <v>0.15</v>
      </c>
      <c r="AO135" s="132"/>
      <c r="AP135" s="69" t="n">
        <f aca="false">TblProd[[#This Row],[Food]]*food_decay * (1 + tech_2_1*TblTech[[#This Row],[2-1]] + tech_2_8*TblTech[[#This Row],[2-8]])</f>
        <v>2507.69</v>
      </c>
      <c r="AQ135" s="69" t="n">
        <f aca="false">(1+race_food_consumption)*TblPop[[#This Row],[Total]]*food_per_person*(1+tech_1_10*TblTech[[#This Row],[1-10]]+tech_7_5*TblTech[[#This Row],[7-5]])</f>
        <v>3234.75</v>
      </c>
      <c r="AR135" s="69" t="n">
        <f aca="false">TblProd[[#This Row],[Lumber]]*lumber_rot * (1 + tech_2_1*TblTech[[#This Row],[2-1]] + tech_2_8*TblTech[[#This Row],[2-8]] + tech_5_2*TblTech[[#This Row],[5-2]])</f>
        <v>583.57</v>
      </c>
      <c r="AS135" s="69" t="n">
        <f aca="false">TblProd[[#This Row],[Mana]]*mana_drain * (1 + tech_2_1*TblTech[[#This Row],[2-1]] + tech_2_8*TblTech[[#This Row],[2-8]])</f>
        <v>2919.96</v>
      </c>
      <c r="AT135" s="146"/>
      <c r="AU135" s="69" t="n">
        <f aca="false">TblExplore[[#This Row],[Platinum (2)]]+TblConstr[[#This Row],[Total Plat Cost]]+TblMili[[#This Row],[Plat Cost]]+TblRezone[[#This Row],[Platinum cost]]+TblImps[[#This Row],[P1]]-TblProd[[#This Row],[Bank Plat]]</f>
        <v>0</v>
      </c>
      <c r="AV135" s="69" t="n">
        <f aca="false">TblConstr[[#This Row],[Total Lum Cost]]+TblImps[[#This Row],[L1]]-TblProd[[#This Row],[Bank Lumber]] + Military!$CL$25*TblMili[[#This Row],[Sec. rec. Cost]]</f>
        <v>0</v>
      </c>
      <c r="AW135" s="69" t="n">
        <f aca="false">TblMagic[[#This Row],[Mana cost]] + Military!$CL$26*TblMili[[#This Row],[Sec. rec. Cost]]</f>
        <v>0</v>
      </c>
      <c r="AX135" s="69" t="n">
        <f aca="false">Military!$CL$24*TblMili[[#This Row],[Sec. rec. Cost]]+TblImps[[#This Row],[O1]]-TblProd[[#This Row],[Bank Ore]]</f>
        <v>0</v>
      </c>
      <c r="AY135" s="69" t="n">
        <f aca="false">TblImps[[#This Row],[G1]]-TblProd[[#This Row],[Bank Gems]]</f>
        <v>0</v>
      </c>
      <c r="AZ135" s="132"/>
      <c r="BA135" s="33" t="n">
        <f aca="false">IF(TblProd[[#This Row],[Set Guard]]&lt;&gt;"",TblProd[[#This Row],[Set Guard]],OFFSET(TblProd[[#This Row],[Guard]],-1,0))</f>
        <v>0</v>
      </c>
      <c r="BB135" s="145"/>
      <c r="BC135" s="151" t="n">
        <f aca="false">TblProd[[#This Row],[Hour]]</f>
        <v>60</v>
      </c>
      <c r="BD135" s="152" t="n">
        <f aca="false">-TblProd[[#This Row],[Bank Lumber]] / 2 + -TblProd[[#This Row],[Bank Gems]] * 2 + -TblProd[[#This Row],[Bank Ore]] / 2</f>
        <v>0</v>
      </c>
      <c r="BE135" s="152"/>
      <c r="BF135" s="152"/>
      <c r="BG135" s="152"/>
      <c r="BH135" s="153" t="n">
        <f aca="false">TblProd[[#This Row],[Time]]</f>
        <v>45435.2083333333</v>
      </c>
      <c r="BI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J135" s="69" t="n">
        <f aca="false">TblProd[[#This Row],[Platinum]]</f>
        <v>2178612</v>
      </c>
      <c r="BK135" s="69" t="n">
        <f aca="false">TblProd[[#This Row],[Food]]</f>
        <v>250769</v>
      </c>
      <c r="BL135" s="69" t="n">
        <f aca="false">TblProd[[#This Row],[Lumber]]</f>
        <v>58357</v>
      </c>
      <c r="BM135" s="69" t="n">
        <f aca="false">TblProd[[#This Row],[Mana]]</f>
        <v>145998</v>
      </c>
      <c r="BN135" s="69" t="n">
        <f aca="false">TblProd[[#This Row],[Ore]]</f>
        <v>-357</v>
      </c>
    </row>
    <row r="136" customFormat="false" ht="12.75" hidden="false" customHeight="false" outlineLevel="0" collapsed="false">
      <c r="A136" s="128" t="n">
        <v>61</v>
      </c>
      <c r="B136" s="144" t="n">
        <f aca="false">TblImps[[#This Row],[Time]]</f>
        <v>45435.25</v>
      </c>
      <c r="C136" s="145"/>
      <c r="D136" s="146"/>
      <c r="E136" s="69" t="n">
        <f aca="false">TblConstr[[#This Row],[Land]]</f>
        <v>700</v>
      </c>
      <c r="F136" s="69" t="n">
        <f aca="false">TblPop[[#This Row],[Peasants]]</f>
        <v>5521</v>
      </c>
      <c r="G136" s="69"/>
      <c r="H136" s="69" t="e">
        <f aca="false">TblMili[[#This Row],[Networth (2)]]</f>
        <v>#VALUE!</v>
      </c>
      <c r="I136" s="69" t="n">
        <f aca="false">OFFSET(TblProd[[#This Row],[Platinum]],-1,0)+OFFSET(TblProd[[#This Row],[Plat/hr]],-1,0) - TblProd[[#This Row],[Expenses Platinum]] + IF(TblProd[[#This Row],[Plat Bonus]],TblPop[[#This Row],[Peasants]]*4) + SUM(TblConstr[[#This Row],[Dest Hom]:[Dest Doc]])*TblConstr[[#This Row],[CPA Platinum -DB]]*tech_3_3_2*TblTech[[#This Row],[3-3]]</f>
        <v>2206044</v>
      </c>
      <c r="J136" s="69" t="n">
        <f aca="false">OFFSET(TblProd[[#This Row],[Food]],-1,0)+OFFSET(TblProd[[#This Row],[Food/hr]],-1,0)+ROUNDUP((TblConstr[[#This Row],[Farms]]*80+TblConstr[[#This Row],[Docks]]*35)*(1+OFFSET(TblProd[[#This Row],[Bonus Food/hr]],-1,0)),0)</f>
        <v>248389</v>
      </c>
      <c r="K136" s="69" t="n">
        <f aca="false">OFFSET(TblProd[[#This Row],[Lumber]],-1,0)+OFFSET(TblProd[[#This Row],[Lumber/hr]],-1,0) - TblProd[[#This Row],[Expenses Lumber]] + SUM(TblConstr[[#This Row],[Dest Hom]:[Dest Doc]])*TblConstr[[#This Row],[CPA Lumber -DB]]*tech_3_3_2*TblTech[[#This Row],[3-3]]</f>
        <v>58898</v>
      </c>
      <c r="L136" s="69" t="n">
        <f aca="false">OFFSET(TblProd[[#This Row],[Mana]],-1,0)+OFFSET(TblProd[[#This Row],[Mana/hr]],-1,0)- TblProd[[#This Row],[Expenses Mana]]</f>
        <v>143803</v>
      </c>
      <c r="M136" s="69" t="n">
        <f aca="false">OFFSET(TblProd[[#This Row],[Ore]],-1,0)+OFFSET(TblProd[[#This Row],[Ore/hr]],-1,0) -TblProd[[#This Row],[Expenses Ore]]</f>
        <v>-357</v>
      </c>
      <c r="N136" s="69" t="n">
        <f aca="false">OFFSET(TblProd[[#This Row],[Gems]],-1,0)+OFFSET(TblProd[[#This Row],[Gems/hr]],-1,0) - TblProd[[#This Row],[Expenses Gems]]</f>
        <v>-1000</v>
      </c>
      <c r="O136" s="69" t="n">
        <f aca="false">OFFSET(TblProd[[#This Row],[Boats]],-1,0)+OFFSET(TblProd[[#This Row],[Boats/hr]],-1,0)</f>
        <v>100.25</v>
      </c>
      <c r="P136" s="69" t="n">
        <f aca="false">OFFSET(TblProd[[#This Row],[Prestige]],-1,0)</f>
        <v>250</v>
      </c>
      <c r="Q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6" s="69" t="n">
        <f aca="false">MAX(3750,_xlfn.CEILING.MATH(TblProd[[#This Row],[Land]]*2.5+OFFSET(TblTech[[#This Row],[Sum of tech]],-1,0)*150))</f>
        <v>3750</v>
      </c>
      <c r="S136" s="132"/>
      <c r="T136" s="69" t="n">
        <f aca="false">ROUNDDOWN(TblProd[[#This Row],[Raw Plat/hr]]*(1+TblProd[[#This Row],[Bonus Plat/hr]]),0)</f>
        <v>0</v>
      </c>
      <c r="U136" s="69" t="n">
        <f aca="false">ROUND(TblProd[[#This Row],[Raw Food/hr]]*(1+TblProd[[#This Row],[Bonus Food/hr]])-TblProd[[#This Row],[Food decay]]-TblProd[[#This Row],[Food eaten]],0)</f>
        <v>-2357</v>
      </c>
      <c r="V136" s="69" t="n">
        <f aca="false">ROUND(TblProd[[#This Row],[Raw Lumber/hr]]*(1+TblProd[[#This Row],[Bonus Lumber/hr]])-TblProd[[#This Row],[Lumber rot]],0)</f>
        <v>536</v>
      </c>
      <c r="W136" s="69" t="n">
        <f aca="false">ROUND(TblProd[[#This Row],[Raw Mana/hr]]*(1+TblProd[[#This Row],[Bonus Mana/hr]])-TblProd[[#This Row],[Mana drain]],0)</f>
        <v>-2876</v>
      </c>
      <c r="X136" s="69" t="n">
        <f aca="false">ROUNDDOWN(TblProd[[#This Row],[Raw Ore/hr]]*(1+TblProd[[#This Row],[Bonux Ore/hr]]),0)</f>
        <v>0</v>
      </c>
      <c r="Y136" s="69" t="n">
        <f aca="false">ROUNDDOWN(TblProd[[#This Row],[Raw Gems/hr]]*(1+TblProd[[#This Row],[Bonus Gems/hr]]),0)</f>
        <v>0</v>
      </c>
      <c r="Z136" s="148" t="n">
        <f aca="false">OFFSET(TblConstr[[#This Row],[Tot Doc]],1,0)*dock_boats_hr * (1 + tech_4_1*TblTech[[#This Row],[4-1]])</f>
        <v>0</v>
      </c>
      <c r="AA136" s="146"/>
      <c r="AB136" s="69" t="n">
        <f aca="false">TblPop[[#This Row],[Peasants]]*tax*TblPop[[#This Row],[Employment]] + (Construction!AZ137+Construction!BX137)*(alch_plat+(Magic!AM136&gt;0)*alchemist_flame_bonus)</f>
        <v>0</v>
      </c>
      <c r="AC136" s="69" t="n">
        <f aca="false">TblConstr[[#This Row],[Tot Farm]]*farm_food + TblConstr[[#This Row],[Tot Doc]]*dock_food</f>
        <v>3280</v>
      </c>
      <c r="AD136" s="69" t="n">
        <f aca="false">TblConstr[[#This Row],[Tot Ly]]*ly_lumber + TblConstr[[#This Row],[Tot Hav]]*fh_lumber</f>
        <v>1250</v>
      </c>
      <c r="AE136" s="69" t="n">
        <f aca="false">OFFSET(TblConstr[[#This Row],[Tot Tow]],1,0)*(tower_mana + tech_4_5*TblTech[[#This Row],[4-5]]) + OFFSET(TblConstr[[#This Row],[Tot WG]],1,0)*wg_mana_prod</f>
        <v>0</v>
      </c>
      <c r="AF136" s="69" t="n">
        <f aca="false">OFFSET(TblConstr[[#This Row],[Tot OM]],1,0)*om_ore+IF(race="Dwarf",ROUNDDOWN(TblMili[[#This Row],[Unit 2]]*0.4,0),)</f>
        <v>0</v>
      </c>
      <c r="AG136" s="69" t="n">
        <f aca="false">OFFSET(TblConstr[[#This Row],[Tot DM]],1,0)*dm_gems</f>
        <v>0</v>
      </c>
      <c r="AH136" s="132"/>
      <c r="AI136" s="149" t="n">
        <f aca="false">MIN(race_platinum_bonus + IF(TblMagic[[#This Row],[Active Alch Frost]]&gt;0,alch_frost_bonus,IF(Magic!AD136&gt;0,midas_bonus)) + TblImps[[#This Row],[Science]] - TblProd[[#This Row],[Guard]]*(0.02 + tech_5_7*TblTech[[#This Row],[5-7]]) + tech_1_5*TblTech[[#This Row],[1-5]] + tech_4_4*TblTech[[#This Row],[4-4]], 0.5)</f>
        <v>0</v>
      </c>
      <c r="AJ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6" s="149" t="n">
        <f aca="false">race_lumber_bonus+ IF(TblMagic[[#This Row],[Active Gaia''s Blessing]]&gt;0,gaias_blessing_lumber)+ tech_1_3*TblTech[[#This Row],[1-3]] + tech_1_6*TblTech[[#This Row],[1-6]] + tech_3_3*TblTech[[#This Row],[3-3]]</f>
        <v>-0.1</v>
      </c>
      <c r="AL136" s="149" t="n">
        <f aca="false">race_mana_bonus+ 0 + TblImps[[#This Row],[Towers]] + tech_1_2*TblTech[[#This Row],[1-2]] + tech_3_4*TblTech[[#This Row],[3-4]]</f>
        <v>0</v>
      </c>
      <c r="AM136" s="149" t="n">
        <f aca="false">race_ore_bonus + IF(TblMagic[[#This Row],[Active Miner''s Sight]]&gt;0,miners_sight_bonus,IF(TblMagic[[#This Row],[Active Mining Strength]]&gt;0,mining_strength_bonus)) +  tech_1_6*TblTech[[#This Row],[1-6]]</f>
        <v>0</v>
      </c>
      <c r="AN136" s="149" t="n">
        <f aca="false">race_gem_bonus+ tech_3_2*TblTech[[#This Row],[3-2]] + tech_4_3*TblTech[[#This Row],[4-3]] + tech_6_2*TblTech[[#This Row],[6-2]]</f>
        <v>0.15</v>
      </c>
      <c r="AO136" s="132"/>
      <c r="AP136" s="69" t="n">
        <f aca="false">TblProd[[#This Row],[Food]]*food_decay * (1 + tech_2_1*TblTech[[#This Row],[2-1]] + tech_2_8*TblTech[[#This Row],[2-8]])</f>
        <v>2483.89</v>
      </c>
      <c r="AQ136" s="69" t="n">
        <f aca="false">(1+race_food_consumption)*TblPop[[#This Row],[Total]]*food_per_person*(1+tech_1_10*TblTech[[#This Row],[1-10]]+tech_7_5*TblTech[[#This Row],[7-5]])</f>
        <v>3234.75</v>
      </c>
      <c r="AR136" s="69" t="n">
        <f aca="false">TblProd[[#This Row],[Lumber]]*lumber_rot * (1 + tech_2_1*TblTech[[#This Row],[2-1]] + tech_2_8*TblTech[[#This Row],[2-8]] + tech_5_2*TblTech[[#This Row],[5-2]])</f>
        <v>588.98</v>
      </c>
      <c r="AS136" s="69" t="n">
        <f aca="false">TblProd[[#This Row],[Mana]]*mana_drain * (1 + tech_2_1*TblTech[[#This Row],[2-1]] + tech_2_8*TblTech[[#This Row],[2-8]])</f>
        <v>2876.06</v>
      </c>
      <c r="AT136" s="146"/>
      <c r="AU136" s="69" t="n">
        <f aca="false">TblExplore[[#This Row],[Platinum (2)]]+TblConstr[[#This Row],[Total Plat Cost]]+TblMili[[#This Row],[Plat Cost]]+TblRezone[[#This Row],[Platinum cost]]+TblImps[[#This Row],[P1]]-TblProd[[#This Row],[Bank Plat]]</f>
        <v>0</v>
      </c>
      <c r="AV136" s="69" t="n">
        <f aca="false">TblConstr[[#This Row],[Total Lum Cost]]+TblImps[[#This Row],[L1]]-TblProd[[#This Row],[Bank Lumber]] + Military!$CL$25*TblMili[[#This Row],[Sec. rec. Cost]]</f>
        <v>0</v>
      </c>
      <c r="AW136" s="69" t="n">
        <f aca="false">TblMagic[[#This Row],[Mana cost]] + Military!$CL$26*TblMili[[#This Row],[Sec. rec. Cost]]</f>
        <v>0</v>
      </c>
      <c r="AX136" s="69" t="n">
        <f aca="false">Military!$CL$24*TblMili[[#This Row],[Sec. rec. Cost]]+TblImps[[#This Row],[O1]]-TblProd[[#This Row],[Bank Ore]]</f>
        <v>0</v>
      </c>
      <c r="AY136" s="69" t="n">
        <f aca="false">TblImps[[#This Row],[G1]]-TblProd[[#This Row],[Bank Gems]]</f>
        <v>0</v>
      </c>
      <c r="AZ136" s="132"/>
      <c r="BA136" s="33" t="n">
        <f aca="false">IF(TblProd[[#This Row],[Set Guard]]&lt;&gt;"",TblProd[[#This Row],[Set Guard]],OFFSET(TblProd[[#This Row],[Guard]],-1,0))</f>
        <v>0</v>
      </c>
      <c r="BB136" s="145"/>
      <c r="BC136" s="151" t="n">
        <f aca="false">TblProd[[#This Row],[Hour]]</f>
        <v>61</v>
      </c>
      <c r="BD136" s="152" t="n">
        <f aca="false">-TblProd[[#This Row],[Bank Lumber]] / 2 + -TblProd[[#This Row],[Bank Gems]] * 2 + -TblProd[[#This Row],[Bank Ore]] / 2</f>
        <v>0</v>
      </c>
      <c r="BE136" s="152"/>
      <c r="BF136" s="152"/>
      <c r="BG136" s="152"/>
      <c r="BH136" s="153" t="n">
        <f aca="false">TblProd[[#This Row],[Time]]</f>
        <v>45435.25</v>
      </c>
      <c r="BI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J136" s="69" t="n">
        <f aca="false">TblProd[[#This Row],[Platinum]]</f>
        <v>2206044</v>
      </c>
      <c r="BK136" s="69" t="n">
        <f aca="false">TblProd[[#This Row],[Food]]</f>
        <v>248389</v>
      </c>
      <c r="BL136" s="69" t="n">
        <f aca="false">TblProd[[#This Row],[Lumber]]</f>
        <v>58898</v>
      </c>
      <c r="BM136" s="69" t="n">
        <f aca="false">TblProd[[#This Row],[Mana]]</f>
        <v>143803</v>
      </c>
      <c r="BN136" s="69" t="n">
        <f aca="false">TblProd[[#This Row],[Ore]]</f>
        <v>-357</v>
      </c>
    </row>
    <row r="1269" customFormat="false" ht="12.75" hidden="false" customHeight="false" outlineLevel="0" collapsed="false">
      <c r="C1269" s="140" t="s">
        <v>24</v>
      </c>
      <c r="D1269" s="140"/>
      <c r="M1269" s="26"/>
    </row>
    <row r="1270" customFormat="false" ht="12.75" hidden="false" customHeight="false" outlineLevel="0" collapsed="false">
      <c r="C1270" s="124" t="n">
        <f aca="false">Overview!E17</f>
        <v>0</v>
      </c>
      <c r="D1270" s="124"/>
      <c r="E1270" s="163"/>
      <c r="F1270" s="163"/>
      <c r="G1270" s="163"/>
      <c r="H1270" s="163"/>
      <c r="I1270" s="163"/>
      <c r="J1270" s="163"/>
      <c r="K1270" s="163"/>
      <c r="L1270" s="26"/>
      <c r="M1270" s="164"/>
    </row>
  </sheetData>
  <mergeCells count="5">
    <mergeCell ref="T1:V1"/>
    <mergeCell ref="AB1:AC1"/>
    <mergeCell ref="AI1:AN1"/>
    <mergeCell ref="AU1:AV1"/>
    <mergeCell ref="C1269:D1269"/>
  </mergeCells>
  <conditionalFormatting sqref="A4:BN136">
    <cfRule type="expression" priority="2" aboveAverage="0" equalAverage="0" bottom="0" percent="0" rank="0" text="" dxfId="24">
      <formula>ROW()-3=$C$1270</formula>
    </cfRule>
    <cfRule type="expression" priority="3" aboveAverage="0" equalAverage="0" bottom="0" percent="0" rank="0" text="" dxfId="25">
      <formula>$A4="OOP"</formula>
    </cfRule>
    <cfRule type="expression" priority="4" aboveAverage="0" equalAverage="0" bottom="0" percent="0" rank="0" text="" dxfId="26">
      <formula>ROUND(($A4-1)/12,0)=INT($A4-1)/12</formula>
    </cfRule>
  </conditionalFormatting>
  <conditionalFormatting sqref="E4:R136">
    <cfRule type="expression" priority="5" aboveAverage="0" equalAverage="0" bottom="0" percent="0" rank="0" text="" dxfId="27">
      <formula>OR(ROW()-3=$C$1270,E4&lt;0)</formula>
    </cfRule>
  </conditionalFormatting>
  <conditionalFormatting sqref="V18619:BM29787 BN18583:IW29751 B137:BM447 BN8135:IW8135 B12456:BL20568 B12456:C20613 B8183:BM8183 BN137:IW411">
    <cfRule type="expression" priority="6" aboveAverage="0" equalAverage="0" bottom="0" percent="0" rank="0" text="" dxfId="28">
      <formula>ROW(-2=#ref!)</formula>
    </cfRule>
  </conditionalFormatting>
  <conditionalFormatting sqref="A1269:XFD1270">
    <cfRule type="expression" priority="7" aboveAverage="0" equalAverage="0" bottom="0" percent="0" rank="0" text="" dxfId="29">
      <formula>$C$1270&gt;144</formula>
    </cfRule>
  </conditionalFormatting>
  <conditionalFormatting sqref="BI4:BI136">
    <cfRule type="cellIs" priority="8" operator="equal" aboveAverage="0" equalAverage="0" bottom="0" percent="0" rank="0" text="" dxfId="30">
      <formula>"Nope"</formula>
    </cfRule>
  </conditionalFormatting>
  <conditionalFormatting sqref="A1:XFD3">
    <cfRule type="expression" priority="9" aboveAverage="0" equalAverage="0" bottom="0" percent="0" rank="0" text="" dxfId="31">
      <formula>$C$1270&lt;0</formula>
    </cfRule>
  </conditionalFormatting>
  <dataValidations count="1">
    <dataValidation allowBlank="true" errorStyle="stop" operator="equal" showDropDown="false" showErrorMessage="true" showInputMessage="true" sqref="C4:D136 BB4:BB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6D90B34D-CF2C-4298-B4C9-ED7BAA115214}">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0" activePane="bottomLeft" state="frozen"/>
      <selection pane="topLeft" activeCell="F1" activeCellId="0" sqref="F1"/>
      <selection pane="bottomLeft" activeCell="Z57" activeCellId="0" sqref="Z57"/>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6"/>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100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199</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32177</v>
      </c>
      <c r="AL12" s="69" t="n">
        <f aca="false">TblProd[[#This Row],[Lumber]]</f>
        <v>297</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38394</v>
      </c>
      <c r="AL13" s="69" t="n">
        <f aca="false">TblProd[[#This Row],[Lumber]]</f>
        <v>594</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44502.5</v>
      </c>
      <c r="AL14" s="69" t="n">
        <f aca="false">TblProd[[#This Row],[Lumber]]</f>
        <v>1291</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53587</v>
      </c>
      <c r="AL15" s="69" t="n">
        <f aca="false">TblProd[[#This Row],[Lumber]]</f>
        <v>2278</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39408</v>
      </c>
      <c r="AL16" s="69" t="n">
        <f aca="false">TblProd[[#This Row],[Lumber]]</f>
        <v>395</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49346</v>
      </c>
      <c r="AL17" s="69" t="n">
        <f aca="false">TblProd[[#This Row],[Lumber]]</f>
        <v>1391</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59563</v>
      </c>
      <c r="AL18" s="69" t="n">
        <f aca="false">TblProd[[#This Row],[Lumber]]</f>
        <v>2377</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70075</v>
      </c>
      <c r="AL19" s="69" t="n">
        <f aca="false">TblProd[[#This Row],[Lumber]]</f>
        <v>3353</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80898</v>
      </c>
      <c r="AL20" s="69" t="n">
        <f aca="false">TblProd[[#This Row],[Lumber]]</f>
        <v>4319</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21929</v>
      </c>
      <c r="AL21" s="69" t="n">
        <f aca="false">TblProd[[#This Row],[Lumber]]</f>
        <v>4148</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23317</v>
      </c>
      <c r="AL22" s="69" t="n">
        <f aca="false">TblProd[[#This Row],[Lumber]]</f>
        <v>4960</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24112</v>
      </c>
      <c r="AL23" s="69" t="n">
        <f aca="false">TblProd[[#This Row],[Lumber]]</f>
        <v>5763</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23628</v>
      </c>
      <c r="AL24" s="69" t="n">
        <f aca="false">TblProd[[#This Row],[Lumber]]</f>
        <v>6558</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30585</v>
      </c>
      <c r="AL25" s="69" t="n">
        <f aca="false">TblProd[[#This Row],[Lumber]]</f>
        <v>7345</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38772</v>
      </c>
      <c r="AL26" s="69" t="n">
        <f aca="false">TblProd[[#This Row],[Lumber]]</f>
        <v>8124</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41357</v>
      </c>
      <c r="AL27" s="69" t="n">
        <f aca="false">TblProd[[#This Row],[Lumber]]</f>
        <v>7883</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54909</v>
      </c>
      <c r="AL28" s="69" t="n">
        <f aca="false">TblProd[[#This Row],[Lumber]]</f>
        <v>8704</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68958</v>
      </c>
      <c r="AL29" s="69" t="n">
        <f aca="false">TblProd[[#This Row],[Lumber]]</f>
        <v>9517</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85158</v>
      </c>
      <c r="AL30" s="69" t="n">
        <f aca="false">TblProd[[#This Row],[Lumber]]</f>
        <v>10322</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101920</v>
      </c>
      <c r="AL31" s="69" t="n">
        <f aca="false">TblProd[[#This Row],[Lumber]]</f>
        <v>11119</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40162</v>
      </c>
      <c r="AL32" s="69" t="n">
        <f aca="false">TblProd[[#This Row],[Lumber]]</f>
        <v>11908</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21126</v>
      </c>
      <c r="AL33" s="69" t="n">
        <f aca="false">TblProd[[#This Row],[Lumber]]</f>
        <v>8489</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24436</v>
      </c>
      <c r="AL34" s="69" t="n">
        <f aca="false">TblProd[[#This Row],[Lumber]]</f>
        <v>8757</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27426</v>
      </c>
      <c r="AL35" s="69" t="n">
        <f aca="false">TblProd[[#This Row],[Lumber]]</f>
        <v>8936</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30523</v>
      </c>
      <c r="AL36" s="69" t="n">
        <f aca="false">TblProd[[#This Row],[Lumber]]</f>
        <v>9102</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36528</v>
      </c>
      <c r="AL37" s="69" t="n">
        <f aca="false">TblProd[[#This Row],[Lumber]]</f>
        <v>9848</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42167</v>
      </c>
      <c r="AL38" s="69" t="n">
        <f aca="false">TblProd[[#This Row],[Lumber]]</f>
        <v>10653</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43805</v>
      </c>
      <c r="AL39" s="69" t="n">
        <f aca="false">TblProd[[#This Row],[Lumber]]</f>
        <v>10901</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50577</v>
      </c>
      <c r="AL40" s="69" t="n">
        <f aca="false">TblProd[[#This Row],[Lumber]]</f>
        <v>11827</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58290</v>
      </c>
      <c r="AL41" s="69" t="n">
        <f aca="false">TblProd[[#This Row],[Lumber]]</f>
        <v>12744</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64780</v>
      </c>
      <c r="AL42" s="69" t="n">
        <f aca="false">TblProd[[#This Row],[Lumber]]</f>
        <v>13652</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72799</v>
      </c>
      <c r="AL43" s="69" t="n">
        <f aca="false">TblProd[[#This Row],[Lumber]]</f>
        <v>14550</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0</v>
      </c>
      <c r="C44" s="172" t="n">
        <f aca="false">SUM(TblConstr[[#This Row],[Tot Hom]:[Tot Doc]])</f>
        <v>299</v>
      </c>
      <c r="D44" s="172" t="n">
        <f aca="false">SUM(O33:AG44)</f>
        <v>202</v>
      </c>
      <c r="E44" s="173"/>
      <c r="F44" s="33" t="n">
        <f aca="false">TblConstr[[#This Row],[Barren]]+TblConstr[[#This Row],[Buildings]]+TblConstr[[#This Row],[Incoming]]</f>
        <v>501</v>
      </c>
      <c r="G44" s="199" t="n">
        <f aca="false">OFFSET(TblConstr[[#This Row],[Plain]],-1,0)+TblConstr[[#This Row],[Ch_Plain]]</f>
        <v>0</v>
      </c>
      <c r="H44" s="193" t="n">
        <f aca="false">OFFSET(TblConstr[[#This Row],[Forest]],-1,0)+TblConstr[[#This Row],[Ch_Forest]]</f>
        <v>0</v>
      </c>
      <c r="I44" s="200" t="n">
        <f aca="false">OFFSET(TblConstr[[#This Row],[Mountain]],-1,0)+TblConstr[[#This Row],[Ch_Mountain]]</f>
        <v>0</v>
      </c>
      <c r="J44" s="201" t="n">
        <f aca="false">OFFSET(TblConstr[[#This Row],[Hill]],-1,0)+TblConstr[[#This Row],[Ch_Hill]]</f>
        <v>0</v>
      </c>
      <c r="K44" s="202" t="n">
        <f aca="false">OFFSET(TblConstr[[#This Row],[Swamp]],-1,0)+TblConstr[[#This Row],[Ch_Swamp]]</f>
        <v>0</v>
      </c>
      <c r="L44" s="197" t="n">
        <f aca="false">OFFSET(TblConstr[[#This Row],[Cavern]],-1,0)+TblConstr[[#This Row],[Ch_Cavern]]</f>
        <v>0</v>
      </c>
      <c r="M44" s="198" t="n">
        <f aca="false">OFFSET(TblConstr[[#This Row],[Water]],-1,0)+TblConstr[[#This Row],[Ch_Water]]</f>
        <v>0</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0.101796407185629</v>
      </c>
      <c r="AJ44" s="130" t="n">
        <f aca="false">MIN(25%,(TblConstr[[#This Row],[Tot Fac]]+TblConstr[[#This Row],[Dest Fac]])/TblConstr[[#This Row],[Land]])</f>
        <v>0.101796407185629</v>
      </c>
      <c r="AK44" s="69" t="n">
        <f aca="false">TblProd[[#This Row],[Platinum]]</f>
        <v>41346</v>
      </c>
      <c r="AL44" s="69" t="n">
        <f aca="false">TblProd[[#This Row],[Lumber]]</f>
        <v>8962</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465</v>
      </c>
      <c r="AN44" s="69" t="n">
        <f aca="false">ROUNDDOWN( MAX(1 - MIN(facs_constr_factor*TblConstr[[#This Row],[Facs -DB]],facs_constr_max) + tech_1_11*TblTech[[#This Row],[11-1]] + tech_6_3_2*TblTech[[#This Row],[6-3]] + tech_5_2_3*TblTech[[#This Row],[5-2]], 1-global_constr_cap) * TblConstr[[#This Row],[RCPA Lumber]],0)</f>
        <v>79</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465</v>
      </c>
      <c r="AP44" s="69" t="n">
        <f aca="false">ROUNDDOWN( MAX(1 - MIN(facs_constr_factor*TblConstr[[#This Row],[Facs DB]],facs_constr_max) + tech_1_11*TblTech[[#This Row],[1-11]] + tech_6_3_2*TblTech[[#This Row],[6-3]] + tech_5_2_3*TblTech[[#This Row],[5-2]], 1-global_constr_cap) * ROUND((TblConstr[[#This Row],[Land]]-250)*0.285 + 87.5 + 0/4.25,0),0)</f>
        <v>79</v>
      </c>
      <c r="AQ44" s="1" t="n">
        <f aca="false">TblConstr[[#This Row],[build -db]]*TblConstr[[#This Row],[CPA Platinum -DB]] + TblConstr[[#This Row],[build db]]*TblConstr[[#This Row],[CPA Platinum DB]]</f>
        <v>38130</v>
      </c>
      <c r="AR44" s="1" t="n">
        <f aca="false">TblConstr[[#This Row],[build -db]]*TblConstr[[#This Row],[CPA Lumber -DB]]+TblConstr[[#This Row],[build db]]*TblConstr[[#This Row],[CPA Lumber DB]]</f>
        <v>6478</v>
      </c>
      <c r="AS44" s="69" t="n">
        <f aca="false">MIN(SUM(OFFSET(TblConstr[[#This Row],[Plain]:[Water]],-1,0))+SUM(TblConstr[[#This Row],[Dest Hom]:[Dest Doc]])+IF(TblConstr[[#This Row],[Hour]]&gt;12,SUM(OFFSET(TblExplore[[#This Row],[Plains Explore]:[Water Explore]],-12,0)),0),SUM(TblConstr[[#This Row],[Hom]:[Doc]]))</f>
        <v>82</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1164</v>
      </c>
      <c r="AW44" s="69" t="n">
        <f aca="false">ROUND((TblConstr[[#This Row],[Land]]-250 - IF(TblExplore[[#This Row],[Land Bonus]]&lt;&gt;0,20,0))*0.285 + 87.5 + 0/4.25,0)</f>
        <v>159</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501</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0</v>
      </c>
      <c r="CR44" s="193" t="n">
        <f aca="false">-SUM(TblConstr[[#This Row],[Ly]:[Hav]])+SUM(TblConstr[[#This Row],[Dest Ly]:[Dest Hav]]) +Rezone!M44 + IF("Ch_"&amp; home_land=TblConstr[[#Headers],[Ch_Forest]],TblConstr[[#This Row],[Home Land]])+IF(TblConstr[[#This Row],[Hour]:[Hour]]&gt;12,OFFSET(TblExplore[[#This Row],[Forest Explore]],-12,0),0)</f>
        <v>0</v>
      </c>
      <c r="CS44" s="200" t="n">
        <f aca="false">-SUM(TblConstr[[#This Row],[OM]:[GN]])+SUM(TblConstr[[#This Row],[Dest OM]:[Dest GN]]) +Rezone!N44 + IF("Ch_"&amp; home_land=TblConstr[[#Headers],[Ch_Mountain]],TblConstr[[#This Row],[Home Land]])+IF(TblConstr[[#This Row],[Hour]:[Hour]]&gt;12,OFFSET(TblExplore[[#This Row],[Mountain Explore]],-12,0),0)</f>
        <v>0</v>
      </c>
      <c r="CT44" s="195" t="n">
        <f aca="false">-SUM(TblConstr[[#This Row],[Fac]:[Shr]])+SUM(TblConstr[[#This Row],[Dest Fac]:[Dest Shr]]) +Rezone!O44 + IF("Ch_" &amp; home_land=TblConstr[[#Headers],[Ch_Hill]],TblConstr[[#This Row],[Home Land]])+IF(TblConstr[[#This Row],[Hour]:[Hour]]&gt;12,OFFSET(TblExplore[[#This Row],[Hill Explore]],-12,0),0)</f>
        <v>0</v>
      </c>
      <c r="CU44" s="196" t="n">
        <f aca="false">-SUM(TblConstr[[#This Row],[Tow]:[WG]])+SUM(TblConstr[[#This Row],[Dest Tow]:[Dest WG]]) +Rezone!P44 + IF("Ch_" &amp; home_land=TblConstr[[#Headers],[Ch_Swamp]],TblConstr[[#This Row],[Home Land]])+IF(TblConstr[[#This Row],[Hour]:[Hour]]&gt;12,OFFSET(TblExplore[[#This Row],[Swamp Explore]],-12,0),0)</f>
        <v>0</v>
      </c>
      <c r="CV44" s="197" t="n">
        <f aca="false">- SUM(TblConstr[[#This Row],[DM]:[Sch]])+SUM(TblConstr[[#This Row],[Dest DM]:[Dest Sch]]) +Rezone!Q44 + IF("Ch_" &amp; home_land=TblConstr[[#Headers],[Ch_Cavern]],TblConstr[[#This Row],[Home Land]])+IF(TblConstr[[#This Row],[Hour]:[Hour]]&gt;12,OFFSET(TblExplore[[#This Row],[Cavern Explore]],-12,0),0)</f>
        <v>0</v>
      </c>
      <c r="CW44" s="198" t="n">
        <f aca="false">-TblConstr[[#This Row],[Doc]]+TblConstr[[#This Row],[Dest Doc]] +Rezone!R44 + IF("Ch_" &amp; home_land=TblConstr[[#Headers],[Ch_Water]],TblConstr[[#This Row],[Home Land]])+IF(TblConstr[[#This Row],[Hour]:[Hour]]&gt;12,OFFSET(TblExplore[[#This Row],[Water Explore]],-12,0),0)</f>
        <v>0</v>
      </c>
      <c r="CX44" s="1" t="n">
        <f aca="false">IF(Explore!S44=1,20) - TblConstr[[#This Row],[Hom]] + TblConstr[[#This Row],[Dest Hom]]</f>
        <v>0</v>
      </c>
      <c r="CY44" s="132"/>
      <c r="CZ44" s="69" t="n">
        <f aca="false">G44+SUM(P33:S44)+SUM(AZ44:BC44)</f>
        <v>327</v>
      </c>
      <c r="DA44" s="69" t="n">
        <f aca="false">H44+SUM(T33:U44)+SUM(BD44:BE44)</f>
        <v>25</v>
      </c>
      <c r="DB44" s="1" t="n">
        <f aca="false">I44+SUM(V33:W44)+SUM(BF44:BG44)</f>
        <v>0</v>
      </c>
      <c r="DC44" s="69" t="n">
        <f aca="false">J44+SUM(X33:Y44)+SUM(BH44:BI44)</f>
        <v>67</v>
      </c>
      <c r="DD44" s="69" t="n">
        <f aca="false">K44+SUM(AB33:AD44)+SUM(BL44:BN44)</f>
        <v>72</v>
      </c>
      <c r="DE44" s="1" t="n">
        <f aca="false">L44+SUM(AE33:AE44)+BO44</f>
        <v>0</v>
      </c>
      <c r="DF44" s="69" t="n">
        <f aca="false">M44+SUM(AG33:AG44)+BQ44</f>
        <v>10</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0</v>
      </c>
      <c r="C45" s="172" t="n">
        <f aca="false">SUM(TblConstr[[#This Row],[Tot Hom]:[Tot Doc]])</f>
        <v>369</v>
      </c>
      <c r="D45" s="172" t="n">
        <f aca="false">SUM(O34:AG45)</f>
        <v>141</v>
      </c>
      <c r="E45" s="173"/>
      <c r="F45" s="33" t="n">
        <f aca="false">TblConstr[[#This Row],[Barren]]+TblConstr[[#This Row],[Buildings]]+TblConstr[[#This Row],[Incoming]]</f>
        <v>510</v>
      </c>
      <c r="G45" s="199" t="n">
        <f aca="false">OFFSET(TblConstr[[#This Row],[Plain]],-1,0)+TblConstr[[#This Row],[Ch_Plain]]</f>
        <v>0</v>
      </c>
      <c r="H45" s="193" t="n">
        <f aca="false">OFFSET(TblConstr[[#This Row],[Forest]],-1,0)+TblConstr[[#This Row],[Ch_Forest]]</f>
        <v>0</v>
      </c>
      <c r="I45" s="200" t="n">
        <f aca="false">OFFSET(TblConstr[[#This Row],[Mountain]],-1,0)+TblConstr[[#This Row],[Ch_Mountain]]</f>
        <v>0</v>
      </c>
      <c r="J45" s="201" t="n">
        <f aca="false">OFFSET(TblConstr[[#This Row],[Hill]],-1,0)+TblConstr[[#This Row],[Ch_Hill]]</f>
        <v>0</v>
      </c>
      <c r="K45" s="202" t="n">
        <f aca="false">OFFSET(TblConstr[[#This Row],[Swamp]],-1,0)+TblConstr[[#This Row],[Ch_Swamp]]</f>
        <v>0</v>
      </c>
      <c r="L45" s="197" t="n">
        <f aca="false">OFFSET(TblConstr[[#This Row],[Cavern]],-1,0)+TblConstr[[#This Row],[Ch_Cavern]]</f>
        <v>0</v>
      </c>
      <c r="M45" s="198" t="n">
        <f aca="false">OFFSET(TblConstr[[#This Row],[Water]],-1,0)+TblConstr[[#This Row],[Ch_Water]]</f>
        <v>0</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0.101960784313725</v>
      </c>
      <c r="AJ45" s="130" t="n">
        <f aca="false">MIN(25%,(TblConstr[[#This Row],[Tot Fac]]+TblConstr[[#This Row],[Dest Fac]])/TblConstr[[#This Row],[Land]])</f>
        <v>0.101960784313725</v>
      </c>
      <c r="AK45" s="69" t="n">
        <f aca="false">TblProd[[#This Row],[Platinum]]</f>
        <v>47794</v>
      </c>
      <c r="AL45" s="69" t="n">
        <f aca="false">TblProd[[#This Row],[Lumber]]</f>
        <v>9178</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470</v>
      </c>
      <c r="AN45" s="69" t="n">
        <f aca="false">ROUNDDOWN( MAX(1 - MIN(facs_constr_factor*TblConstr[[#This Row],[Facs -DB]],facs_constr_max) + tech_1_11*TblTech[[#This Row],[11-1]] + tech_6_3_2*TblTech[[#This Row],[6-3]] + tech_5_2_3*TblTech[[#This Row],[5-2]], 1-global_constr_cap) * TblConstr[[#This Row],[RCPA Lumber]],0)</f>
        <v>81</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470</v>
      </c>
      <c r="AP45" s="69" t="n">
        <f aca="false">ROUNDDOWN( MAX(1 - MIN(facs_constr_factor*TblConstr[[#This Row],[Facs DB]],facs_constr_max) + tech_1_11*TblTech[[#This Row],[1-11]] + tech_6_3_2*TblTech[[#This Row],[6-3]] + tech_5_2_3*TblTech[[#This Row],[5-2]], 1-global_constr_cap) * ROUND((TblConstr[[#This Row],[Land]]-250)*0.285 + 87.5 + 0/4.25,0),0)</f>
        <v>81</v>
      </c>
      <c r="AQ45" s="1" t="n">
        <f aca="false">TblConstr[[#This Row],[build -db]]*TblConstr[[#This Row],[CPA Platinum -DB]] + TblConstr[[#This Row],[build db]]*TblConstr[[#This Row],[CPA Platinum DB]]</f>
        <v>4230</v>
      </c>
      <c r="AR45" s="1" t="n">
        <f aca="false">TblConstr[[#This Row],[build -db]]*TblConstr[[#This Row],[CPA Lumber -DB]]+TblConstr[[#This Row],[build db]]*TblConstr[[#This Row],[CPA Lumber DB]]</f>
        <v>729</v>
      </c>
      <c r="AS45" s="69" t="n">
        <f aca="false">MIN(SUM(OFFSET(TblConstr[[#This Row],[Plain]:[Water]],-1,0))+SUM(TblConstr[[#This Row],[Dest Hom]:[Dest Doc]])+IF(TblConstr[[#This Row],[Hour]]&gt;12,SUM(OFFSET(TblExplore[[#This Row],[Plains Explore]:[Water Explore]],-12,0)),0),SUM(TblConstr[[#This Row],[Hom]:[Doc]]))</f>
        <v>9</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1175</v>
      </c>
      <c r="AW45" s="69" t="n">
        <f aca="false">ROUND((TblConstr[[#This Row],[Land]]-250 - IF(TblExplore[[#This Row],[Land Bonus]]&lt;&gt;0,20,0))*0.285 + 87.5 + 0/4.25,0)</f>
        <v>162</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510</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336</v>
      </c>
      <c r="DA45" s="69" t="n">
        <f aca="false">H45+SUM(T34:U45)+SUM(BD45:BE45)</f>
        <v>25</v>
      </c>
      <c r="DB45" s="1" t="n">
        <f aca="false">I45+SUM(V34:W45)+SUM(BF45:BG45)</f>
        <v>0</v>
      </c>
      <c r="DC45" s="69" t="n">
        <f aca="false">J45+SUM(X34:Y45)+SUM(BH45:BI45)</f>
        <v>67</v>
      </c>
      <c r="DD45" s="69" t="n">
        <f aca="false">K45+SUM(AB34:AD45)+SUM(BL45:BN45)</f>
        <v>72</v>
      </c>
      <c r="DE45" s="1" t="n">
        <f aca="false">L45+SUM(AE34:AE45)+BO45</f>
        <v>0</v>
      </c>
      <c r="DF45" s="69" t="n">
        <f aca="false">M45+SUM(AG34:AG45)+BQ45</f>
        <v>10</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0</v>
      </c>
      <c r="C46" s="172" t="n">
        <f aca="false">SUM(TblConstr[[#This Row],[Tot Hom]:[Tot Doc]])</f>
        <v>380</v>
      </c>
      <c r="D46" s="172" t="n">
        <f aca="false">SUM(O35:AG46)</f>
        <v>140</v>
      </c>
      <c r="E46" s="173"/>
      <c r="F46" s="33" t="n">
        <f aca="false">TblConstr[[#This Row],[Barren]]+TblConstr[[#This Row],[Buildings]]+TblConstr[[#This Row],[Incoming]]</f>
        <v>520</v>
      </c>
      <c r="G46" s="199" t="n">
        <f aca="false">OFFSET(TblConstr[[#This Row],[Plain]],-1,0)+TblConstr[[#This Row],[Ch_Plain]]</f>
        <v>0</v>
      </c>
      <c r="H46" s="193" t="n">
        <f aca="false">OFFSET(TblConstr[[#This Row],[Forest]],-1,0)+TblConstr[[#This Row],[Ch_Forest]]</f>
        <v>0</v>
      </c>
      <c r="I46" s="200" t="n">
        <f aca="false">OFFSET(TblConstr[[#This Row],[Mountain]],-1,0)+TblConstr[[#This Row],[Ch_Mountain]]</f>
        <v>0</v>
      </c>
      <c r="J46" s="201" t="n">
        <f aca="false">OFFSET(TblConstr[[#This Row],[Hill]],-1,0)+TblConstr[[#This Row],[Ch_Hill]]</f>
        <v>0</v>
      </c>
      <c r="K46" s="202" t="n">
        <f aca="false">OFFSET(TblConstr[[#This Row],[Swamp]],-1,0)+TblConstr[[#This Row],[Ch_Swamp]]</f>
        <v>0</v>
      </c>
      <c r="L46" s="197" t="n">
        <f aca="false">OFFSET(TblConstr[[#This Row],[Cavern]],-1,0)+TblConstr[[#This Row],[Ch_Cavern]]</f>
        <v>0</v>
      </c>
      <c r="M46" s="198" t="n">
        <f aca="false">OFFSET(TblConstr[[#This Row],[Water]],-1,0)+TblConstr[[#This Row],[Ch_Water]]</f>
        <v>0</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0.101923076923077</v>
      </c>
      <c r="AJ46" s="130" t="n">
        <f aca="false">MIN(25%,(TblConstr[[#This Row],[Tot Fac]]+TblConstr[[#This Row],[Dest Fac]])/TblConstr[[#This Row],[Land]])</f>
        <v>0.101923076923077</v>
      </c>
      <c r="AK46" s="69" t="n">
        <f aca="false">TblProd[[#This Row],[Platinum]]</f>
        <v>62940</v>
      </c>
      <c r="AL46" s="69" t="n">
        <f aca="false">TblProd[[#This Row],[Lumber]]</f>
        <v>9391</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475</v>
      </c>
      <c r="AN46" s="69" t="n">
        <f aca="false">ROUNDDOWN( MAX(1 - MIN(facs_constr_factor*TblConstr[[#This Row],[Facs -DB]],facs_constr_max) + tech_1_11*TblTech[[#This Row],[11-1]] + tech_6_3_2*TblTech[[#This Row],[6-3]] + tech_5_2_3*TblTech[[#This Row],[5-2]], 1-global_constr_cap) * TblConstr[[#This Row],[RCPA Lumber]],0)</f>
        <v>82</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475</v>
      </c>
      <c r="AP46" s="69" t="n">
        <f aca="false">ROUNDDOWN( MAX(1 - MIN(facs_constr_factor*TblConstr[[#This Row],[Facs DB]],facs_constr_max) + tech_1_11*TblTech[[#This Row],[1-11]] + tech_6_3_2*TblTech[[#This Row],[6-3]] + tech_5_2_3*TblTech[[#This Row],[5-2]], 1-global_constr_cap) * ROUND((TblConstr[[#This Row],[Land]]-250)*0.285 + 87.5 + 0/4.25,0),0)</f>
        <v>82</v>
      </c>
      <c r="AQ46" s="1" t="n">
        <f aca="false">TblConstr[[#This Row],[build -db]]*TblConstr[[#This Row],[CPA Platinum -DB]] + TblConstr[[#This Row],[build db]]*TblConstr[[#This Row],[CPA Platinum DB]]</f>
        <v>4750</v>
      </c>
      <c r="AR46" s="1" t="n">
        <f aca="false">TblConstr[[#This Row],[build -db]]*TblConstr[[#This Row],[CPA Lumber -DB]]+TblConstr[[#This Row],[build db]]*TblConstr[[#This Row],[CPA Lumber DB]]</f>
        <v>820</v>
      </c>
      <c r="AS46" s="69" t="n">
        <f aca="false">MIN(SUM(OFFSET(TblConstr[[#This Row],[Plain]:[Water]],-1,0))+SUM(TblConstr[[#This Row],[Dest Hom]:[Dest Doc]])+IF(TblConstr[[#This Row],[Hour]]&gt;12,SUM(OFFSET(TblExplore[[#This Row],[Plains Explore]:[Water Explore]],-12,0)),0),SUM(TblConstr[[#This Row],[Hom]:[Doc]]))</f>
        <v>10</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1188</v>
      </c>
      <c r="AW46" s="69" t="n">
        <f aca="false">ROUND((TblConstr[[#This Row],[Land]]-250 - IF(TblExplore[[#This Row],[Land Bonus]]&lt;&gt;0,20,0))*0.285 + 87.5 + 0/4.25,0)</f>
        <v>164</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520</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346</v>
      </c>
      <c r="DA46" s="69" t="n">
        <f aca="false">H46+SUM(T35:U46)+SUM(BD46:BE46)</f>
        <v>25</v>
      </c>
      <c r="DB46" s="1" t="n">
        <f aca="false">I46+SUM(V35:W46)+SUM(BF46:BG46)</f>
        <v>0</v>
      </c>
      <c r="DC46" s="69" t="n">
        <f aca="false">J46+SUM(X35:Y46)+SUM(BH46:BI46)</f>
        <v>67</v>
      </c>
      <c r="DD46" s="69" t="n">
        <f aca="false">K46+SUM(AB35:AD46)+SUM(BL46:BN46)</f>
        <v>72</v>
      </c>
      <c r="DE46" s="1" t="n">
        <f aca="false">L46+SUM(AE35:AE46)+BO46</f>
        <v>0</v>
      </c>
      <c r="DF46" s="69" t="n">
        <f aca="false">M46+SUM(AG35:AG46)+BQ46</f>
        <v>10</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0</v>
      </c>
      <c r="C47" s="172" t="n">
        <f aca="false">SUM(TblConstr[[#This Row],[Tot Hom]:[Tot Doc]])</f>
        <v>392</v>
      </c>
      <c r="D47" s="172" t="n">
        <f aca="false">SUM(O36:AG47)</f>
        <v>138</v>
      </c>
      <c r="E47" s="173"/>
      <c r="F47" s="33" t="n">
        <f aca="false">TblConstr[[#This Row],[Barren]]+TblConstr[[#This Row],[Buildings]]+TblConstr[[#This Row],[Incoming]]</f>
        <v>530</v>
      </c>
      <c r="G47" s="199" t="n">
        <f aca="false">OFFSET(TblConstr[[#This Row],[Plain]],-1,0)+TblConstr[[#This Row],[Ch_Plain]]</f>
        <v>0</v>
      </c>
      <c r="H47" s="193" t="n">
        <f aca="false">OFFSET(TblConstr[[#This Row],[Forest]],-1,0)+TblConstr[[#This Row],[Ch_Forest]]</f>
        <v>0</v>
      </c>
      <c r="I47" s="200" t="n">
        <f aca="false">OFFSET(TblConstr[[#This Row],[Mountain]],-1,0)+TblConstr[[#This Row],[Ch_Mountain]]</f>
        <v>0</v>
      </c>
      <c r="J47" s="201" t="n">
        <f aca="false">OFFSET(TblConstr[[#This Row],[Hill]],-1,0)+TblConstr[[#This Row],[Ch_Hill]]</f>
        <v>0</v>
      </c>
      <c r="K47" s="202" t="n">
        <f aca="false">OFFSET(TblConstr[[#This Row],[Swamp]],-1,0)+TblConstr[[#This Row],[Ch_Swamp]]</f>
        <v>0</v>
      </c>
      <c r="L47" s="197" t="n">
        <f aca="false">OFFSET(TblConstr[[#This Row],[Cavern]],-1,0)+TblConstr[[#This Row],[Ch_Cavern]]</f>
        <v>0</v>
      </c>
      <c r="M47" s="198" t="n">
        <f aca="false">OFFSET(TblConstr[[#This Row],[Water]],-1,0)+TblConstr[[#This Row],[Ch_Water]]</f>
        <v>0</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0.10188679245283</v>
      </c>
      <c r="AJ47" s="130" t="n">
        <f aca="false">MIN(25%,(TblConstr[[#This Row],[Tot Fac]]+TblConstr[[#This Row],[Dest Fac]])/TblConstr[[#This Row],[Land]])</f>
        <v>0.10188679245283</v>
      </c>
      <c r="AK47" s="69" t="n">
        <f aca="false">TblProd[[#This Row],[Platinum]]</f>
        <v>95998</v>
      </c>
      <c r="AL47" s="69" t="n">
        <f aca="false">TblProd[[#This Row],[Lumber]]</f>
        <v>9592</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480</v>
      </c>
      <c r="AN47" s="69" t="n">
        <f aca="false">ROUNDDOWN( MAX(1 - MIN(facs_constr_factor*TblConstr[[#This Row],[Facs -DB]],facs_constr_max) + tech_1_11*TblTech[[#This Row],[11-1]] + tech_6_3_2*TblTech[[#This Row],[6-3]] + tech_5_2_3*TblTech[[#This Row],[5-2]], 1-global_constr_cap) * TblConstr[[#This Row],[RCPA Lumber]],0)</f>
        <v>83</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480</v>
      </c>
      <c r="AP47" s="69" t="n">
        <f aca="false">ROUNDDOWN( MAX(1 - MIN(facs_constr_factor*TblConstr[[#This Row],[Facs DB]],facs_constr_max) + tech_1_11*TblTech[[#This Row],[1-11]] + tech_6_3_2*TblTech[[#This Row],[6-3]] + tech_5_2_3*TblTech[[#This Row],[5-2]], 1-global_constr_cap) * ROUND((TblConstr[[#This Row],[Land]]-250)*0.285 + 87.5 + 0/4.25,0),0)</f>
        <v>83</v>
      </c>
      <c r="AQ47" s="1" t="n">
        <f aca="false">TblConstr[[#This Row],[build -db]]*TblConstr[[#This Row],[CPA Platinum -DB]] + TblConstr[[#This Row],[build db]]*TblConstr[[#This Row],[CPA Platinum DB]]</f>
        <v>4800</v>
      </c>
      <c r="AR47" s="1" t="n">
        <f aca="false">TblConstr[[#This Row],[build -db]]*TblConstr[[#This Row],[CPA Lumber -DB]]+TblConstr[[#This Row],[build db]]*TblConstr[[#This Row],[CPA Lumber DB]]</f>
        <v>830</v>
      </c>
      <c r="AS47" s="69" t="n">
        <f aca="false">MIN(SUM(OFFSET(TblConstr[[#This Row],[Plain]:[Water]],-1,0))+SUM(TblConstr[[#This Row],[Dest Hom]:[Dest Doc]])+IF(TblConstr[[#This Row],[Hour]]&gt;12,SUM(OFFSET(TblExplore[[#This Row],[Plains Explore]:[Water Explore]],-12,0)),0),SUM(TblConstr[[#This Row],[Hom]:[Doc]]))</f>
        <v>10</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1200</v>
      </c>
      <c r="AW47" s="69" t="n">
        <f aca="false">ROUND((TblConstr[[#This Row],[Land]]-250 - IF(TblExplore[[#This Row],[Land Bonus]]&lt;&gt;0,20,0))*0.285 + 87.5 + 0/4.25,0)</f>
        <v>167</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530</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356</v>
      </c>
      <c r="DA47" s="69" t="n">
        <f aca="false">H47+SUM(T36:U47)+SUM(BD47:BE47)</f>
        <v>25</v>
      </c>
      <c r="DB47" s="1" t="n">
        <f aca="false">I47+SUM(V36:W47)+SUM(BF47:BG47)</f>
        <v>0</v>
      </c>
      <c r="DC47" s="69" t="n">
        <f aca="false">J47+SUM(X36:Y47)+SUM(BH47:BI47)</f>
        <v>67</v>
      </c>
      <c r="DD47" s="69" t="n">
        <f aca="false">K47+SUM(AB36:AD47)+SUM(BL47:BN47)</f>
        <v>72</v>
      </c>
      <c r="DE47" s="1" t="n">
        <f aca="false">L47+SUM(AE36:AE47)+BO47</f>
        <v>0</v>
      </c>
      <c r="DF47" s="69" t="n">
        <f aca="false">M47+SUM(AG36:AG47)+BQ47</f>
        <v>10</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0</v>
      </c>
      <c r="C48" s="172" t="n">
        <f aca="false">SUM(TblConstr[[#This Row],[Tot Hom]:[Tot Doc]])</f>
        <v>404</v>
      </c>
      <c r="D48" s="172" t="n">
        <f aca="false">SUM(O37:AG48)</f>
        <v>136</v>
      </c>
      <c r="E48" s="173"/>
      <c r="F48" s="33" t="n">
        <f aca="false">TblConstr[[#This Row],[Barren]]+TblConstr[[#This Row],[Buildings]]+TblConstr[[#This Row],[Incoming]]</f>
        <v>540</v>
      </c>
      <c r="G48" s="199" t="n">
        <f aca="false">OFFSET(TblConstr[[#This Row],[Plain]],-1,0)+TblConstr[[#This Row],[Ch_Plain]]</f>
        <v>0</v>
      </c>
      <c r="H48" s="193" t="n">
        <f aca="false">OFFSET(TblConstr[[#This Row],[Forest]],-1,0)+TblConstr[[#This Row],[Ch_Forest]]</f>
        <v>0</v>
      </c>
      <c r="I48" s="200" t="n">
        <f aca="false">OFFSET(TblConstr[[#This Row],[Mountain]],-1,0)+TblConstr[[#This Row],[Ch_Mountain]]</f>
        <v>0</v>
      </c>
      <c r="J48" s="201" t="n">
        <f aca="false">OFFSET(TblConstr[[#This Row],[Hill]],-1,0)+TblConstr[[#This Row],[Ch_Hill]]</f>
        <v>0</v>
      </c>
      <c r="K48" s="202" t="n">
        <f aca="false">OFFSET(TblConstr[[#This Row],[Swamp]],-1,0)+TblConstr[[#This Row],[Ch_Swamp]]</f>
        <v>0</v>
      </c>
      <c r="L48" s="197" t="n">
        <f aca="false">OFFSET(TblConstr[[#This Row],[Cavern]],-1,0)+TblConstr[[#This Row],[Ch_Cavern]]</f>
        <v>0</v>
      </c>
      <c r="M48" s="198" t="n">
        <f aca="false">OFFSET(TblConstr[[#This Row],[Water]],-1,0)+TblConstr[[#This Row],[Ch_Water]]</f>
        <v>0</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0.101851851851852</v>
      </c>
      <c r="AJ48" s="130" t="n">
        <f aca="false">MIN(25%,(TblConstr[[#This Row],[Tot Fac]]+TblConstr[[#This Row],[Dest Fac]])/TblConstr[[#This Row],[Land]])</f>
        <v>0.101851851851852</v>
      </c>
      <c r="AK48" s="69" t="n">
        <f aca="false">TblProd[[#This Row],[Platinum]]</f>
        <v>130185</v>
      </c>
      <c r="AL48" s="69" t="n">
        <f aca="false">TblProd[[#This Row],[Lumber]]</f>
        <v>9771</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485</v>
      </c>
      <c r="AN48" s="69" t="n">
        <f aca="false">ROUNDDOWN( MAX(1 - MIN(facs_constr_factor*TblConstr[[#This Row],[Facs -DB]],facs_constr_max) + tech_1_11*TblTech[[#This Row],[11-1]] + tech_6_3_2*TblTech[[#This Row],[6-3]] + tech_5_2_3*TblTech[[#This Row],[5-2]], 1-global_constr_cap) * TblConstr[[#This Row],[RCPA Lumber]],0)</f>
        <v>85</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485</v>
      </c>
      <c r="AP48" s="69" t="n">
        <f aca="false">ROUNDDOWN( MAX(1 - MIN(facs_constr_factor*TblConstr[[#This Row],[Facs DB]],facs_constr_max) + tech_1_11*TblTech[[#This Row],[1-11]] + tech_6_3_2*TblTech[[#This Row],[6-3]] + tech_5_2_3*TblTech[[#This Row],[5-2]], 1-global_constr_cap) * ROUND((TblConstr[[#This Row],[Land]]-250)*0.285 + 87.5 + 0/4.25,0),0)</f>
        <v>85</v>
      </c>
      <c r="AQ48" s="1" t="n">
        <f aca="false">TblConstr[[#This Row],[build -db]]*TblConstr[[#This Row],[CPA Platinum -DB]] + TblConstr[[#This Row],[build db]]*TblConstr[[#This Row],[CPA Platinum DB]]</f>
        <v>4850</v>
      </c>
      <c r="AR48" s="1" t="n">
        <f aca="false">TblConstr[[#This Row],[build -db]]*TblConstr[[#This Row],[CPA Lumber -DB]]+TblConstr[[#This Row],[build db]]*TblConstr[[#This Row],[CPA Lumber DB]]</f>
        <v>850</v>
      </c>
      <c r="AS48" s="69" t="n">
        <f aca="false">MIN(SUM(OFFSET(TblConstr[[#This Row],[Plain]:[Water]],-1,0))+SUM(TblConstr[[#This Row],[Dest Hom]:[Dest Doc]])+IF(TblConstr[[#This Row],[Hour]]&gt;12,SUM(OFFSET(TblExplore[[#This Row],[Plains Explore]:[Water Explore]],-12,0)),0),SUM(TblConstr[[#This Row],[Hom]:[Doc]]))</f>
        <v>10</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1213</v>
      </c>
      <c r="AW48" s="69" t="n">
        <f aca="false">ROUND((TblConstr[[#This Row],[Land]]-250 - IF(TblExplore[[#This Row],[Land Bonus]]&lt;&gt;0,20,0))*0.285 + 87.5 + 0/4.25,0)</f>
        <v>170</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540</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366</v>
      </c>
      <c r="DA48" s="69" t="n">
        <f aca="false">H48+SUM(T37:U48)+SUM(BD48:BE48)</f>
        <v>25</v>
      </c>
      <c r="DB48" s="1" t="n">
        <f aca="false">I48+SUM(V37:W48)+SUM(BF48:BG48)</f>
        <v>0</v>
      </c>
      <c r="DC48" s="69" t="n">
        <f aca="false">J48+SUM(X37:Y48)+SUM(BH48:BI48)</f>
        <v>67</v>
      </c>
      <c r="DD48" s="69" t="n">
        <f aca="false">K48+SUM(AB37:AD48)+SUM(BL48:BN48)</f>
        <v>72</v>
      </c>
      <c r="DE48" s="1" t="n">
        <f aca="false">L48+SUM(AE37:AE48)+BO48</f>
        <v>0</v>
      </c>
      <c r="DF48" s="69" t="n">
        <f aca="false">M48+SUM(AG37:AG48)+BQ48</f>
        <v>10</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0</v>
      </c>
      <c r="C49" s="172" t="n">
        <f aca="false">SUM(TblConstr[[#This Row],[Tot Hom]:[Tot Doc]])</f>
        <v>407</v>
      </c>
      <c r="D49" s="172" t="n">
        <f aca="false">SUM(O38:AG49)</f>
        <v>144</v>
      </c>
      <c r="E49" s="173"/>
      <c r="F49" s="33" t="n">
        <f aca="false">TblConstr[[#This Row],[Barren]]+TblConstr[[#This Row],[Buildings]]+TblConstr[[#This Row],[Incoming]]</f>
        <v>551</v>
      </c>
      <c r="G49" s="199" t="n">
        <f aca="false">OFFSET(TblConstr[[#This Row],[Plain]],-1,0)+TblConstr[[#This Row],[Ch_Plain]]</f>
        <v>0</v>
      </c>
      <c r="H49" s="193" t="n">
        <f aca="false">OFFSET(TblConstr[[#This Row],[Forest]],-1,0)+TblConstr[[#This Row],[Ch_Forest]]</f>
        <v>0</v>
      </c>
      <c r="I49" s="200" t="n">
        <f aca="false">OFFSET(TblConstr[[#This Row],[Mountain]],-1,0)+TblConstr[[#This Row],[Ch_Mountain]]</f>
        <v>0</v>
      </c>
      <c r="J49" s="201" t="n">
        <f aca="false">OFFSET(TblConstr[[#This Row],[Hill]],-1,0)+TblConstr[[#This Row],[Ch_Hill]]</f>
        <v>0</v>
      </c>
      <c r="K49" s="202" t="n">
        <f aca="false">OFFSET(TblConstr[[#This Row],[Swamp]],-1,0)+TblConstr[[#This Row],[Ch_Swamp]]</f>
        <v>0</v>
      </c>
      <c r="L49" s="197" t="n">
        <f aca="false">OFFSET(TblConstr[[#This Row],[Cavern]],-1,0)+TblConstr[[#This Row],[Ch_Cavern]]</f>
        <v>0</v>
      </c>
      <c r="M49" s="198" t="n">
        <f aca="false">OFFSET(TblConstr[[#This Row],[Water]],-1,0)+TblConstr[[#This Row],[Ch_Water]]</f>
        <v>0</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0.101633393829401</v>
      </c>
      <c r="AJ49" s="130" t="n">
        <f aca="false">MIN(25%,(TblConstr[[#This Row],[Tot Fac]]+TblConstr[[#This Row],[Dest Fac]])/TblConstr[[#This Row],[Land]])</f>
        <v>0.101633393829401</v>
      </c>
      <c r="AK49" s="69" t="n">
        <f aca="false">TblProd[[#This Row],[Platinum]]</f>
        <v>164221</v>
      </c>
      <c r="AL49" s="69" t="n">
        <f aca="false">TblProd[[#This Row],[Lumber]]</f>
        <v>9852</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490</v>
      </c>
      <c r="AN49" s="69" t="n">
        <f aca="false">ROUNDDOWN( MAX(1 - MIN(facs_constr_factor*TblConstr[[#This Row],[Facs -DB]],facs_constr_max) + tech_1_11*TblTech[[#This Row],[11-1]] + tech_6_3_2*TblTech[[#This Row],[6-3]] + tech_5_2_3*TblTech[[#This Row],[5-2]], 1-global_constr_cap) * TblConstr[[#This Row],[RCPA Lumber]],0)</f>
        <v>86</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490</v>
      </c>
      <c r="AP49" s="69" t="n">
        <f aca="false">ROUNDDOWN( MAX(1 - MIN(facs_constr_factor*TblConstr[[#This Row],[Facs DB]],facs_constr_max) + tech_1_11*TblTech[[#This Row],[1-11]] + tech_6_3_2*TblTech[[#This Row],[6-3]] + tech_5_2_3*TblTech[[#This Row],[5-2]], 1-global_constr_cap) * ROUND((TblConstr[[#This Row],[Land]]-250)*0.285 + 87.5 + 0/4.25,0),0)</f>
        <v>86</v>
      </c>
      <c r="AQ49" s="1" t="n">
        <f aca="false">TblConstr[[#This Row],[build -db]]*TblConstr[[#This Row],[CPA Platinum -DB]] + TblConstr[[#This Row],[build db]]*TblConstr[[#This Row],[CPA Platinum DB]]</f>
        <v>5390</v>
      </c>
      <c r="AR49" s="1" t="n">
        <f aca="false">TblConstr[[#This Row],[build -db]]*TblConstr[[#This Row],[CPA Lumber -DB]]+TblConstr[[#This Row],[build db]]*TblConstr[[#This Row],[CPA Lumber DB]]</f>
        <v>946</v>
      </c>
      <c r="AS49" s="69" t="n">
        <f aca="false">MIN(SUM(OFFSET(TblConstr[[#This Row],[Plain]:[Water]],-1,0))+SUM(TblConstr[[#This Row],[Dest Hom]:[Dest Doc]])+IF(TblConstr[[#This Row],[Hour]]&gt;12,SUM(OFFSET(TblExplore[[#This Row],[Plains Explore]:[Water Explore]],-12,0)),0),SUM(TblConstr[[#This Row],[Hom]:[Doc]]))</f>
        <v>11</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1226</v>
      </c>
      <c r="AW49" s="69" t="n">
        <f aca="false">ROUND((TblConstr[[#This Row],[Land]]-250 - IF(TblExplore[[#This Row],[Land Bonus]]&lt;&gt;0,20,0))*0.285 + 87.5 + 0/4.25,0)</f>
        <v>173</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551</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377</v>
      </c>
      <c r="DA49" s="69" t="n">
        <f aca="false">H49+SUM(T38:U49)+SUM(BD49:BE49)</f>
        <v>25</v>
      </c>
      <c r="DB49" s="1" t="n">
        <f aca="false">I49+SUM(V38:W49)+SUM(BF49:BG49)</f>
        <v>0</v>
      </c>
      <c r="DC49" s="69" t="n">
        <f aca="false">J49+SUM(X38:Y49)+SUM(BH49:BI49)</f>
        <v>67</v>
      </c>
      <c r="DD49" s="69" t="n">
        <f aca="false">K49+SUM(AB38:AD49)+SUM(BL49:BN49)</f>
        <v>72</v>
      </c>
      <c r="DE49" s="1" t="n">
        <f aca="false">L49+SUM(AE38:AE49)+BO49</f>
        <v>0</v>
      </c>
      <c r="DF49" s="69" t="n">
        <f aca="false">M49+SUM(AG38:AG49)+BQ49</f>
        <v>10</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0</v>
      </c>
      <c r="C50" s="172" t="n">
        <f aca="false">SUM(TblConstr[[#This Row],[Tot Hom]:[Tot Doc]])</f>
        <v>409</v>
      </c>
      <c r="D50" s="172" t="n">
        <f aca="false">SUM(O39:AG50)</f>
        <v>154</v>
      </c>
      <c r="E50" s="173"/>
      <c r="F50" s="33" t="n">
        <f aca="false">TblConstr[[#This Row],[Barren]]+TblConstr[[#This Row],[Buildings]]+TblConstr[[#This Row],[Incoming]]</f>
        <v>563</v>
      </c>
      <c r="G50" s="199" t="n">
        <f aca="false">OFFSET(TblConstr[[#This Row],[Plain]],-1,0)+TblConstr[[#This Row],[Ch_Plain]]</f>
        <v>0</v>
      </c>
      <c r="H50" s="193" t="n">
        <f aca="false">OFFSET(TblConstr[[#This Row],[Forest]],-1,0)+TblConstr[[#This Row],[Ch_Forest]]</f>
        <v>0</v>
      </c>
      <c r="I50" s="200" t="n">
        <f aca="false">OFFSET(TblConstr[[#This Row],[Mountain]],-1,0)+TblConstr[[#This Row],[Ch_Mountain]]</f>
        <v>0</v>
      </c>
      <c r="J50" s="201" t="n">
        <f aca="false">OFFSET(TblConstr[[#This Row],[Hill]],-1,0)+TblConstr[[#This Row],[Ch_Hill]]</f>
        <v>0</v>
      </c>
      <c r="K50" s="202" t="n">
        <f aca="false">OFFSET(TblConstr[[#This Row],[Swamp]],-1,0)+TblConstr[[#This Row],[Ch_Swamp]]</f>
        <v>0</v>
      </c>
      <c r="L50" s="197" t="n">
        <f aca="false">OFFSET(TblConstr[[#This Row],[Cavern]],-1,0)+TblConstr[[#This Row],[Ch_Cavern]]</f>
        <v>0</v>
      </c>
      <c r="M50" s="198" t="n">
        <f aca="false">OFFSET(TblConstr[[#This Row],[Water]],-1,0)+TblConstr[[#This Row],[Ch_Water]]</f>
        <v>0</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0.101243339253996</v>
      </c>
      <c r="AJ50" s="130" t="n">
        <f aca="false">MIN(25%,(TblConstr[[#This Row],[Tot Fac]]+TblConstr[[#This Row],[Dest Fac]])/TblConstr[[#This Row],[Land]])</f>
        <v>0.101243339253996</v>
      </c>
      <c r="AK50" s="69" t="n">
        <f aca="false">TblProd[[#This Row],[Platinum]]</f>
        <v>197828</v>
      </c>
      <c r="AL50" s="69" t="n">
        <f aca="false">TblProd[[#This Row],[Lumber]]</f>
        <v>9822</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496</v>
      </c>
      <c r="AN50" s="69" t="n">
        <f aca="false">ROUNDDOWN( MAX(1 - MIN(facs_constr_factor*TblConstr[[#This Row],[Facs -DB]],facs_constr_max) + tech_1_11*TblTech[[#This Row],[11-1]] + tech_6_3_2*TblTech[[#This Row],[6-3]] + tech_5_2_3*TblTech[[#This Row],[5-2]], 1-global_constr_cap) * TblConstr[[#This Row],[RCPA Lumber]],0)</f>
        <v>88</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496</v>
      </c>
      <c r="AP50" s="69" t="n">
        <f aca="false">ROUNDDOWN( MAX(1 - MIN(facs_constr_factor*TblConstr[[#This Row],[Facs DB]],facs_constr_max) + tech_1_11*TblTech[[#This Row],[1-11]] + tech_6_3_2*TblTech[[#This Row],[6-3]] + tech_5_2_3*TblTech[[#This Row],[5-2]], 1-global_constr_cap) * ROUND((TblConstr[[#This Row],[Land]]-250)*0.285 + 87.5 + 0/4.25,0),0)</f>
        <v>88</v>
      </c>
      <c r="AQ50" s="1" t="n">
        <f aca="false">TblConstr[[#This Row],[build -db]]*TblConstr[[#This Row],[CPA Platinum -DB]] + TblConstr[[#This Row],[build db]]*TblConstr[[#This Row],[CPA Platinum DB]]</f>
        <v>5952</v>
      </c>
      <c r="AR50" s="1" t="n">
        <f aca="false">TblConstr[[#This Row],[build -db]]*TblConstr[[#This Row],[CPA Lumber -DB]]+TblConstr[[#This Row],[build db]]*TblConstr[[#This Row],[CPA Lumber DB]]</f>
        <v>1056</v>
      </c>
      <c r="AS50" s="69" t="n">
        <f aca="false">MIN(SUM(OFFSET(TblConstr[[#This Row],[Plain]:[Water]],-1,0))+SUM(TblConstr[[#This Row],[Dest Hom]:[Dest Doc]])+IF(TblConstr[[#This Row],[Hour]]&gt;12,SUM(OFFSET(TblExplore[[#This Row],[Plains Explore]:[Water Explore]],-12,0)),0),SUM(TblConstr[[#This Row],[Hom]:[Doc]]))</f>
        <v>12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1241</v>
      </c>
      <c r="AW50" s="69" t="n">
        <f aca="false">ROUND((TblConstr[[#This Row],[Land]]-250 - IF(TblExplore[[#This Row],[Land Bonus]]&lt;&gt;0,20,0))*0.285 + 87.5 + 0/4.25,0)</f>
        <v>177</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563</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389</v>
      </c>
      <c r="DA50" s="69" t="n">
        <f aca="false">H50+SUM(T39:U50)+SUM(BD50:BE50)</f>
        <v>25</v>
      </c>
      <c r="DB50" s="1" t="n">
        <f aca="false">I50+SUM(V39:W50)+SUM(BF50:BG50)</f>
        <v>0</v>
      </c>
      <c r="DC50" s="69" t="n">
        <f aca="false">J50+SUM(X39:Y50)+SUM(BH50:BI50)</f>
        <v>67</v>
      </c>
      <c r="DD50" s="69" t="n">
        <f aca="false">K50+SUM(AB39:AD50)+SUM(BL50:BN50)</f>
        <v>72</v>
      </c>
      <c r="DE50" s="1" t="n">
        <f aca="false">L50+SUM(AE39:AE50)+BO50</f>
        <v>0</v>
      </c>
      <c r="DF50" s="69" t="n">
        <f aca="false">M50+SUM(AG39:AG50)+BQ50</f>
        <v>10</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0</v>
      </c>
      <c r="C51" s="172" t="n">
        <f aca="false">SUM(TblConstr[[#This Row],[Tot Hom]:[Tot Doc]])</f>
        <v>419</v>
      </c>
      <c r="D51" s="172" t="n">
        <f aca="false">SUM(O40:AG51)</f>
        <v>177</v>
      </c>
      <c r="E51" s="173"/>
      <c r="F51" s="33" t="n">
        <f aca="false">TblConstr[[#This Row],[Barren]]+TblConstr[[#This Row],[Buildings]]+TblConstr[[#This Row],[Incoming]]</f>
        <v>596</v>
      </c>
      <c r="G51" s="199" t="n">
        <f aca="false">OFFSET(TblConstr[[#This Row],[Plain]],-1,0)+TblConstr[[#This Row],[Ch_Plain]]</f>
        <v>0</v>
      </c>
      <c r="H51" s="193" t="n">
        <f aca="false">OFFSET(TblConstr[[#This Row],[Forest]],-1,0)+TblConstr[[#This Row],[Ch_Forest]]</f>
        <v>0</v>
      </c>
      <c r="I51" s="200" t="n">
        <f aca="false">OFFSET(TblConstr[[#This Row],[Mountain]],-1,0)+TblConstr[[#This Row],[Ch_Mountain]]</f>
        <v>0</v>
      </c>
      <c r="J51" s="201" t="n">
        <f aca="false">OFFSET(TblConstr[[#This Row],[Hill]],-1,0)+TblConstr[[#This Row],[Ch_Hill]]</f>
        <v>0</v>
      </c>
      <c r="K51" s="202" t="n">
        <f aca="false">OFFSET(TblConstr[[#This Row],[Swamp]],-1,0)+TblConstr[[#This Row],[Ch_Swamp]]</f>
        <v>0</v>
      </c>
      <c r="L51" s="197" t="n">
        <f aca="false">OFFSET(TblConstr[[#This Row],[Cavern]],-1,0)+TblConstr[[#This Row],[Ch_Cavern]]</f>
        <v>0</v>
      </c>
      <c r="M51" s="198" t="n">
        <f aca="false">OFFSET(TblConstr[[#This Row],[Water]],-1,0)+TblConstr[[#This Row],[Ch_Water]]</f>
        <v>0</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0.116319444444444</v>
      </c>
      <c r="AJ51" s="130" t="n">
        <f aca="false">MIN(25%,(TblConstr[[#This Row],[Tot Fac]]+TblConstr[[#This Row],[Dest Fac]])/TblConstr[[#This Row],[Land]])</f>
        <v>0.11241610738255</v>
      </c>
      <c r="AK51" s="69" t="n">
        <f aca="false">TblProd[[#This Row],[Platinum]]</f>
        <v>256520</v>
      </c>
      <c r="AL51" s="69" t="n">
        <f aca="false">TblProd[[#This Row],[Lumber]]</f>
        <v>7819</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503</v>
      </c>
      <c r="AN51" s="69" t="n">
        <f aca="false">ROUNDDOWN( MAX(1 - MIN(facs_constr_factor*TblConstr[[#This Row],[Facs -DB]],facs_constr_max) + tech_1_11*TblTech[[#This Row],[11-1]] + tech_6_3_2*TblTech[[#This Row],[6-3]] + tech_5_2_3*TblTech[[#This Row],[5-2]], 1-global_constr_cap) * TblConstr[[#This Row],[RCPA Lumber]],0)</f>
        <v>90</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513</v>
      </c>
      <c r="AP51" s="69" t="n">
        <f aca="false">ROUNDDOWN( MAX(1 - MIN(facs_constr_factor*TblConstr[[#This Row],[Facs DB]],facs_constr_max) + tech_1_11*TblTech[[#This Row],[1-11]] + tech_6_3_2*TblTech[[#This Row],[6-3]] + tech_5_2_3*TblTech[[#This Row],[5-2]], 1-global_constr_cap) * ROUND((TblConstr[[#This Row],[Land]]-250)*0.285 + 87.5 + 0/4.25,0),0)</f>
        <v>93</v>
      </c>
      <c r="AQ51" s="1" t="n">
        <f aca="false">TblConstr[[#This Row],[build -db]]*TblConstr[[#This Row],[CPA Platinum -DB]] + TblConstr[[#This Row],[build db]]*TblConstr[[#This Row],[CPA Platinum DB]]</f>
        <v>16799</v>
      </c>
      <c r="AR51" s="1" t="n">
        <f aca="false">TblConstr[[#This Row],[build -db]]*TblConstr[[#This Row],[CPA Lumber -DB]]+TblConstr[[#This Row],[build db]]*TblConstr[[#This Row],[CPA Lumber DB]]</f>
        <v>3030</v>
      </c>
      <c r="AS51" s="69" t="n">
        <f aca="false">MIN(SUM(OFFSET(TblConstr[[#This Row],[Plain]:[Water]],-1,0))+SUM(TblConstr[[#This Row],[Dest Hom]:[Dest Doc]])+IF(TblConstr[[#This Row],[Hour]]&gt;12,SUM(OFFSET(TblExplore[[#This Row],[Plains Explore]:[Water Explore]],-12,0)),0),SUM(TblConstr[[#This Row],[Hom]:[Doc]]))</f>
        <v>13</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1258</v>
      </c>
      <c r="AW51" s="69" t="n">
        <f aca="false">ROUND((TblConstr[[#This Row],[Land]]-250 - IF(TblExplore[[#This Row],[Land Bonus]]&lt;&gt;0,20,0))*0.285 + 87.5 + 0/4.25,0)</f>
        <v>180</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596</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402</v>
      </c>
      <c r="DA51" s="69" t="n">
        <f aca="false">H51+SUM(T40:U51)+SUM(BD51:BE51)</f>
        <v>25</v>
      </c>
      <c r="DB51" s="1" t="n">
        <f aca="false">I51+SUM(V40:W51)+SUM(BF51:BG51)</f>
        <v>0</v>
      </c>
      <c r="DC51" s="69" t="n">
        <f aca="false">J51+SUM(X40:Y51)+SUM(BH51:BI51)</f>
        <v>67</v>
      </c>
      <c r="DD51" s="69" t="n">
        <f aca="false">K51+SUM(AB40:AD51)+SUM(BL51:BN51)</f>
        <v>72</v>
      </c>
      <c r="DE51" s="1" t="n">
        <f aca="false">L51+SUM(AE40:AE51)+BO51</f>
        <v>0</v>
      </c>
      <c r="DF51" s="69" t="n">
        <f aca="false">M51+SUM(AG40:AG51)+BQ51</f>
        <v>10</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0</v>
      </c>
      <c r="C52" s="172" t="n">
        <f aca="false">SUM(TblConstr[[#This Row],[Tot Hom]:[Tot Doc]])</f>
        <v>419</v>
      </c>
      <c r="D52" s="172" t="n">
        <f aca="false">SUM(O41:AG52)</f>
        <v>210</v>
      </c>
      <c r="E52" s="173"/>
      <c r="F52" s="33" t="n">
        <f aca="false">TblConstr[[#This Row],[Barren]]+TblConstr[[#This Row],[Buildings]]+TblConstr[[#This Row],[Incoming]]</f>
        <v>629</v>
      </c>
      <c r="G52" s="199" t="n">
        <f aca="false">OFFSET(TblConstr[[#This Row],[Plain]],-1,0)+TblConstr[[#This Row],[Ch_Plain]]</f>
        <v>0</v>
      </c>
      <c r="H52" s="193" t="n">
        <f aca="false">OFFSET(TblConstr[[#This Row],[Forest]],-1,0)+TblConstr[[#This Row],[Ch_Forest]]</f>
        <v>0</v>
      </c>
      <c r="I52" s="200" t="n">
        <f aca="false">OFFSET(TblConstr[[#This Row],[Mountain]],-1,0)+TblConstr[[#This Row],[Ch_Mountain]]</f>
        <v>0</v>
      </c>
      <c r="J52" s="201" t="n">
        <f aca="false">OFFSET(TblConstr[[#This Row],[Hill]],-1,0)+TblConstr[[#This Row],[Ch_Hill]]</f>
        <v>0</v>
      </c>
      <c r="K52" s="202" t="n">
        <f aca="false">OFFSET(TblConstr[[#This Row],[Swamp]],-1,0)+TblConstr[[#This Row],[Ch_Swamp]]</f>
        <v>0</v>
      </c>
      <c r="L52" s="197" t="n">
        <f aca="false">OFFSET(TblConstr[[#This Row],[Cavern]],-1,0)+TblConstr[[#This Row],[Ch_Cavern]]</f>
        <v>0</v>
      </c>
      <c r="M52" s="198" t="n">
        <f aca="false">OFFSET(TblConstr[[#This Row],[Water]],-1,0)+TblConstr[[#This Row],[Ch_Water]]</f>
        <v>0</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0.110016420361248</v>
      </c>
      <c r="AJ52" s="130" t="n">
        <f aca="false">MIN(25%,(TblConstr[[#This Row],[Tot Fac]]+TblConstr[[#This Row],[Dest Fac]])/TblConstr[[#This Row],[Land]])</f>
        <v>0.106518282988871</v>
      </c>
      <c r="AK52" s="69" t="n">
        <f aca="false">TblProd[[#This Row],[Platinum]]</f>
        <v>279495</v>
      </c>
      <c r="AL52" s="69" t="n">
        <f aca="false">TblProd[[#This Row],[Lumber]]</f>
        <v>5671</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519</v>
      </c>
      <c r="AN52" s="69" t="n">
        <f aca="false">ROUNDDOWN( MAX(1 - MIN(facs_constr_factor*TblConstr[[#This Row],[Facs -DB]],facs_constr_max) + tech_1_11*TblTech[[#This Row],[11-1]] + tech_6_3_2*TblTech[[#This Row],[6-3]] + tech_5_2_3*TblTech[[#This Row],[5-2]], 1-global_constr_cap) * TblConstr[[#This Row],[RCPA Lumber]],0)</f>
        <v>95</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529</v>
      </c>
      <c r="AP52" s="69" t="n">
        <f aca="false">ROUNDDOWN( MAX(1 - MIN(facs_constr_factor*TblConstr[[#This Row],[Facs DB]],facs_constr_max) + tech_1_11*TblTech[[#This Row],[1-11]] + tech_6_3_2*TblTech[[#This Row],[6-3]] + tech_5_2_3*TblTech[[#This Row],[5-2]], 1-global_constr_cap) * ROUND((TblConstr[[#This Row],[Land]]-250)*0.285 + 87.5 + 0/4.25,0),0)</f>
        <v>98</v>
      </c>
      <c r="AQ52" s="1" t="n">
        <f aca="false">TblConstr[[#This Row],[build -db]]*TblConstr[[#This Row],[CPA Platinum -DB]] + TblConstr[[#This Row],[build db]]*TblConstr[[#This Row],[CPA Platinum DB]]</f>
        <v>17327</v>
      </c>
      <c r="AR52" s="1" t="n">
        <f aca="false">TblConstr[[#This Row],[build -db]]*TblConstr[[#This Row],[CPA Lumber -DB]]+TblConstr[[#This Row],[build db]]*TblConstr[[#This Row],[CPA Lumber DB]]</f>
        <v>3195</v>
      </c>
      <c r="AS52" s="69" t="n">
        <f aca="false">MIN(SUM(OFFSET(TblConstr[[#This Row],[Plain]:[Water]],-1,0))+SUM(TblConstr[[#This Row],[Dest Hom]:[Dest Doc]])+IF(TblConstr[[#This Row],[Hour]]&gt;12,SUM(OFFSET(TblExplore[[#This Row],[Plains Explore]:[Water Explore]],-12,0)),0),SUM(TblConstr[[#This Row],[Hom]:[Doc]]))</f>
        <v>13</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1299</v>
      </c>
      <c r="AW52" s="69" t="n">
        <f aca="false">ROUND((TblConstr[[#This Row],[Land]]-250 - IF(TblExplore[[#This Row],[Land Bonus]]&lt;&gt;0,20,0))*0.285 + 87.5 + 0/4.25,0)</f>
        <v>190</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629</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415</v>
      </c>
      <c r="DA52" s="69" t="n">
        <f aca="false">H52+SUM(T41:U52)+SUM(BD52:BE52)</f>
        <v>25</v>
      </c>
      <c r="DB52" s="1" t="n">
        <f aca="false">I52+SUM(V41:W52)+SUM(BF52:BG52)</f>
        <v>0</v>
      </c>
      <c r="DC52" s="69" t="n">
        <f aca="false">J52+SUM(X41:Y52)+SUM(BH52:BI52)</f>
        <v>67</v>
      </c>
      <c r="DD52" s="69" t="n">
        <f aca="false">K52+SUM(AB41:AD52)+SUM(BL52:BN52)</f>
        <v>72</v>
      </c>
      <c r="DE52" s="1" t="n">
        <f aca="false">L52+SUM(AE41:AE52)+BO52</f>
        <v>0</v>
      </c>
      <c r="DF52" s="69" t="n">
        <f aca="false">M52+SUM(AG41:AG52)+BQ52</f>
        <v>10</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0</v>
      </c>
      <c r="C53" s="172" t="n">
        <f aca="false">SUM(TblConstr[[#This Row],[Tot Hom]:[Tot Doc]])</f>
        <v>419</v>
      </c>
      <c r="D53" s="172" t="n">
        <f aca="false">SUM(O42:AG53)</f>
        <v>223</v>
      </c>
      <c r="E53" s="173"/>
      <c r="F53" s="33" t="n">
        <f aca="false">TblConstr[[#This Row],[Barren]]+TblConstr[[#This Row],[Buildings]]+TblConstr[[#This Row],[Incoming]]</f>
        <v>642</v>
      </c>
      <c r="G53" s="199" t="n">
        <f aca="false">OFFSET(TblConstr[[#This Row],[Plain]],-1,0)+TblConstr[[#This Row],[Ch_Plain]]</f>
        <v>0</v>
      </c>
      <c r="H53" s="193" t="n">
        <f aca="false">OFFSET(TblConstr[[#This Row],[Forest]],-1,0)+TblConstr[[#This Row],[Ch_Forest]]</f>
        <v>0</v>
      </c>
      <c r="I53" s="200" t="n">
        <f aca="false">OFFSET(TblConstr[[#This Row],[Mountain]],-1,0)+TblConstr[[#This Row],[Ch_Mountain]]</f>
        <v>0</v>
      </c>
      <c r="J53" s="201" t="n">
        <f aca="false">OFFSET(TblConstr[[#This Row],[Hill]],-1,0)+TblConstr[[#This Row],[Ch_Hill]]</f>
        <v>0</v>
      </c>
      <c r="K53" s="202" t="n">
        <f aca="false">OFFSET(TblConstr[[#This Row],[Swamp]],-1,0)+TblConstr[[#This Row],[Ch_Swamp]]</f>
        <v>0</v>
      </c>
      <c r="L53" s="197" t="n">
        <f aca="false">OFFSET(TblConstr[[#This Row],[Cavern]],-1,0)+TblConstr[[#This Row],[Ch_Cavern]]</f>
        <v>0</v>
      </c>
      <c r="M53" s="198" t="n">
        <f aca="false">OFFSET(TblConstr[[#This Row],[Water]],-1,0)+TblConstr[[#This Row],[Ch_Water]]</f>
        <v>0</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0.104361370716511</v>
      </c>
      <c r="AJ53" s="130" t="n">
        <f aca="false">MIN(25%,(TblConstr[[#This Row],[Tot Fac]]+TblConstr[[#This Row],[Dest Fac]])/TblConstr[[#This Row],[Land]])</f>
        <v>0.104361370716511</v>
      </c>
      <c r="AK53" s="69" t="n">
        <f aca="false">TblProd[[#This Row],[Platinum]]</f>
        <v>312829</v>
      </c>
      <c r="AL53" s="69" t="n">
        <f aca="false">TblProd[[#This Row],[Lumber]]</f>
        <v>5452</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536</v>
      </c>
      <c r="AN53" s="69" t="n">
        <f aca="false">ROUNDDOWN( MAX(1 - MIN(facs_constr_factor*TblConstr[[#This Row],[Facs -DB]],facs_constr_max) + tech_1_11*TblTech[[#This Row],[11-1]] + tech_6_3_2*TblTech[[#This Row],[6-3]] + tech_5_2_3*TblTech[[#This Row],[5-2]], 1-global_constr_cap) * TblConstr[[#This Row],[RCPA Lumber]],0)</f>
        <v>99</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536</v>
      </c>
      <c r="AP53" s="69" t="n">
        <f aca="false">ROUNDDOWN( MAX(1 - MIN(facs_constr_factor*TblConstr[[#This Row],[Facs DB]],facs_constr_max) + tech_1_11*TblTech[[#This Row],[1-11]] + tech_6_3_2*TblTech[[#This Row],[6-3]] + tech_5_2_3*TblTech[[#This Row],[5-2]], 1-global_constr_cap) * ROUND((TblConstr[[#This Row],[Land]]-250)*0.285 + 87.5 + 0/4.25,0),0)</f>
        <v>99</v>
      </c>
      <c r="AQ53" s="1" t="n">
        <f aca="false">TblConstr[[#This Row],[build -db]]*TblConstr[[#This Row],[CPA Platinum -DB]] + TblConstr[[#This Row],[build db]]*TblConstr[[#This Row],[CPA Platinum DB]]</f>
        <v>6968</v>
      </c>
      <c r="AR53" s="1" t="n">
        <f aca="false">TblConstr[[#This Row],[build -db]]*TblConstr[[#This Row],[CPA Lumber -DB]]+TblConstr[[#This Row],[build db]]*TblConstr[[#This Row],[CPA Lumber DB]]</f>
        <v>1287</v>
      </c>
      <c r="AS53" s="69" t="n">
        <f aca="false">MIN(SUM(OFFSET(TblConstr[[#This Row],[Plain]:[Water]],-1,0))+SUM(TblConstr[[#This Row],[Dest Hom]:[Dest Doc]])+IF(TblConstr[[#This Row],[Hour]]&gt;12,SUM(OFFSET(TblExplore[[#This Row],[Plains Explore]:[Water Explore]],-12,0)),0),SUM(TblConstr[[#This Row],[Hom]:[Doc]]))</f>
        <v>13</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1340</v>
      </c>
      <c r="AW53" s="69" t="n">
        <f aca="false">ROUND((TblConstr[[#This Row],[Land]]-250 - IF(TblExplore[[#This Row],[Land Bonus]]&lt;&gt;0,20,0))*0.285 + 87.5 + 0/4.25,0)</f>
        <v>199</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642</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422</v>
      </c>
      <c r="DA53" s="69" t="n">
        <f aca="false">H53+SUM(T42:U53)+SUM(BD53:BE53)</f>
        <v>25</v>
      </c>
      <c r="DB53" s="1" t="n">
        <f aca="false">I53+SUM(V42:W53)+SUM(BF53:BG53)</f>
        <v>0</v>
      </c>
      <c r="DC53" s="69" t="n">
        <f aca="false">J53+SUM(X42:Y53)+SUM(BH53:BI53)</f>
        <v>67</v>
      </c>
      <c r="DD53" s="69" t="n">
        <f aca="false">K53+SUM(AB42:AD53)+SUM(BL53:BN53)</f>
        <v>72</v>
      </c>
      <c r="DE53" s="1" t="n">
        <f aca="false">L53+SUM(AE42:AE53)+BO53</f>
        <v>0</v>
      </c>
      <c r="DF53" s="69" t="n">
        <f aca="false">M53+SUM(AG42:AG53)+BQ53</f>
        <v>16</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0</v>
      </c>
      <c r="C54" s="172" t="n">
        <f aca="false">SUM(TblConstr[[#This Row],[Tot Hom]:[Tot Doc]])</f>
        <v>419</v>
      </c>
      <c r="D54" s="172" t="n">
        <f aca="false">SUM(O43:AG54)</f>
        <v>237</v>
      </c>
      <c r="E54" s="173"/>
      <c r="F54" s="33" t="n">
        <f aca="false">TblConstr[[#This Row],[Barren]]+TblConstr[[#This Row],[Buildings]]+TblConstr[[#This Row],[Incoming]]</f>
        <v>656</v>
      </c>
      <c r="G54" s="199" t="n">
        <f aca="false">OFFSET(TblConstr[[#This Row],[Plain]],-1,0)+TblConstr[[#This Row],[Ch_Plain]]</f>
        <v>0</v>
      </c>
      <c r="H54" s="193" t="n">
        <f aca="false">OFFSET(TblConstr[[#This Row],[Forest]],-1,0)+TblConstr[[#This Row],[Ch_Forest]]</f>
        <v>0</v>
      </c>
      <c r="I54" s="200" t="n">
        <f aca="false">OFFSET(TblConstr[[#This Row],[Mountain]],-1,0)+TblConstr[[#This Row],[Ch_Mountain]]</f>
        <v>0</v>
      </c>
      <c r="J54" s="201" t="n">
        <f aca="false">OFFSET(TblConstr[[#This Row],[Hill]],-1,0)+TblConstr[[#This Row],[Ch_Hill]]</f>
        <v>0</v>
      </c>
      <c r="K54" s="202" t="n">
        <f aca="false">OFFSET(TblConstr[[#This Row],[Swamp]],-1,0)+TblConstr[[#This Row],[Ch_Swamp]]</f>
        <v>0</v>
      </c>
      <c r="L54" s="197" t="n">
        <f aca="false">OFFSET(TblConstr[[#This Row],[Cavern]],-1,0)+TblConstr[[#This Row],[Ch_Cavern]]</f>
        <v>0</v>
      </c>
      <c r="M54" s="198" t="n">
        <f aca="false">OFFSET(TblConstr[[#This Row],[Water]],-1,0)+TblConstr[[#This Row],[Ch_Water]]</f>
        <v>0</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0.102134146341463</v>
      </c>
      <c r="AJ54" s="130" t="n">
        <f aca="false">MIN(25%,(TblConstr[[#This Row],[Tot Fac]]+TblConstr[[#This Row],[Dest Fac]])/TblConstr[[#This Row],[Land]])</f>
        <v>0.102134146341463</v>
      </c>
      <c r="AK54" s="69" t="n">
        <f aca="false">TblProd[[#This Row],[Platinum]]</f>
        <v>345529</v>
      </c>
      <c r="AL54" s="69" t="n">
        <f aca="false">TblProd[[#This Row],[Lumber]]</f>
        <v>5108</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543</v>
      </c>
      <c r="AN54" s="69" t="n">
        <f aca="false">ROUNDDOWN( MAX(1 - MIN(facs_constr_factor*TblConstr[[#This Row],[Facs -DB]],facs_constr_max) + tech_1_11*TblTech[[#This Row],[11-1]] + tech_6_3_2*TblTech[[#This Row],[6-3]] + tech_5_2_3*TblTech[[#This Row],[5-2]], 1-global_constr_cap) * TblConstr[[#This Row],[RCPA Lumber]],0)</f>
        <v>101</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543</v>
      </c>
      <c r="AP54" s="69" t="n">
        <f aca="false">ROUNDDOWN( MAX(1 - MIN(facs_constr_factor*TblConstr[[#This Row],[Facs DB]],facs_constr_max) + tech_1_11*TblTech[[#This Row],[1-11]] + tech_6_3_2*TblTech[[#This Row],[6-3]] + tech_5_2_3*TblTech[[#This Row],[5-2]], 1-global_constr_cap) * ROUND((TblConstr[[#This Row],[Land]]-250)*0.285 + 87.5 + 0/4.25,0),0)</f>
        <v>101</v>
      </c>
      <c r="AQ54" s="1" t="n">
        <f aca="false">TblConstr[[#This Row],[build -db]]*TblConstr[[#This Row],[CPA Platinum -DB]] + TblConstr[[#This Row],[build db]]*TblConstr[[#This Row],[CPA Platinum DB]]</f>
        <v>7602</v>
      </c>
      <c r="AR54" s="1" t="n">
        <f aca="false">TblConstr[[#This Row],[build -db]]*TblConstr[[#This Row],[CPA Lumber -DB]]+TblConstr[[#This Row],[build db]]*TblConstr[[#This Row],[CPA Lumber DB]]</f>
        <v>1414</v>
      </c>
      <c r="AS54" s="69" t="n">
        <f aca="false">MIN(SUM(OFFSET(TblConstr[[#This Row],[Plain]:[Water]],-1,0))+SUM(TblConstr[[#This Row],[Dest Hom]:[Dest Doc]])+IF(TblConstr[[#This Row],[Hour]]&gt;12,SUM(OFFSET(TblExplore[[#This Row],[Plains Explore]:[Water Explore]],-12,0)),0),SUM(TblConstr[[#This Row],[Hom]:[Doc]]))</f>
        <v>14</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1358</v>
      </c>
      <c r="AW54" s="69" t="n">
        <f aca="false">ROUND((TblConstr[[#This Row],[Land]]-250 - IF(TblExplore[[#This Row],[Land Bonus]]&lt;&gt;0,20,0))*0.285 + 87.5 + 0/4.25,0)</f>
        <v>203</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656</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428</v>
      </c>
      <c r="DA54" s="69" t="n">
        <f aca="false">H54+SUM(T43:U54)+SUM(BD54:BE54)</f>
        <v>25</v>
      </c>
      <c r="DB54" s="1" t="n">
        <f aca="false">I54+SUM(V43:W54)+SUM(BF54:BG54)</f>
        <v>0</v>
      </c>
      <c r="DC54" s="69" t="n">
        <f aca="false">J54+SUM(X43:Y54)+SUM(BH54:BI54)</f>
        <v>67</v>
      </c>
      <c r="DD54" s="69" t="n">
        <f aca="false">K54+SUM(AB43:AD54)+SUM(BL54:BN54)</f>
        <v>72</v>
      </c>
      <c r="DE54" s="1" t="n">
        <f aca="false">L54+SUM(AE43:AE54)+BO54</f>
        <v>0</v>
      </c>
      <c r="DF54" s="69" t="n">
        <f aca="false">M54+SUM(AG43:AG54)+BQ54</f>
        <v>24</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0</v>
      </c>
      <c r="C55" s="172" t="n">
        <f aca="false">SUM(TblConstr[[#This Row],[Tot Hom]:[Tot Doc]])</f>
        <v>419</v>
      </c>
      <c r="D55" s="172" t="n">
        <f aca="false">SUM(O44:AG55)</f>
        <v>250</v>
      </c>
      <c r="E55" s="173"/>
      <c r="F55" s="33" t="n">
        <f aca="false">TblConstr[[#This Row],[Barren]]+TblConstr[[#This Row],[Buildings]]+TblConstr[[#This Row],[Incoming]]</f>
        <v>669</v>
      </c>
      <c r="G55" s="199" t="n">
        <f aca="false">OFFSET(TblConstr[[#This Row],[Plain]],-1,0)+TblConstr[[#This Row],[Ch_Plain]]</f>
        <v>0</v>
      </c>
      <c r="H55" s="193" t="n">
        <f aca="false">OFFSET(TblConstr[[#This Row],[Forest]],-1,0)+TblConstr[[#This Row],[Ch_Forest]]</f>
        <v>0</v>
      </c>
      <c r="I55" s="200" t="n">
        <f aca="false">OFFSET(TblConstr[[#This Row],[Mountain]],-1,0)+TblConstr[[#This Row],[Ch_Mountain]]</f>
        <v>0</v>
      </c>
      <c r="J55" s="201" t="n">
        <f aca="false">OFFSET(TblConstr[[#This Row],[Hill]],-1,0)+TblConstr[[#This Row],[Ch_Hill]]</f>
        <v>0</v>
      </c>
      <c r="K55" s="202" t="n">
        <f aca="false">OFFSET(TblConstr[[#This Row],[Swamp]],-1,0)+TblConstr[[#This Row],[Ch_Swamp]]</f>
        <v>0</v>
      </c>
      <c r="L55" s="197" t="n">
        <f aca="false">OFFSET(TblConstr[[#This Row],[Cavern]],-1,0)+TblConstr[[#This Row],[Ch_Cavern]]</f>
        <v>0</v>
      </c>
      <c r="M55" s="198" t="n">
        <f aca="false">OFFSET(TblConstr[[#This Row],[Water]],-1,0)+TblConstr[[#This Row],[Ch_Water]]</f>
        <v>0</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0.100149476831091</v>
      </c>
      <c r="AJ55" s="130" t="n">
        <f aca="false">MIN(25%,(TblConstr[[#This Row],[Tot Fac]]+TblConstr[[#This Row],[Dest Fac]])/TblConstr[[#This Row],[Land]])</f>
        <v>0.100149476831091</v>
      </c>
      <c r="AK55" s="69" t="n">
        <f aca="false">TblProd[[#This Row],[Platinum]]</f>
        <v>378694</v>
      </c>
      <c r="AL55" s="69" t="n">
        <f aca="false">TblProd[[#This Row],[Lumber]]</f>
        <v>4843</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549</v>
      </c>
      <c r="AN55" s="69" t="n">
        <f aca="false">ROUNDDOWN( MAX(1 - MIN(facs_constr_factor*TblConstr[[#This Row],[Facs -DB]],facs_constr_max) + tech_1_11*TblTech[[#This Row],[11-1]] + tech_6_3_2*TblTech[[#This Row],[6-3]] + tech_5_2_3*TblTech[[#This Row],[5-2]], 1-global_constr_cap) * TblConstr[[#This Row],[RCPA Lumber]],0)</f>
        <v>103</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549</v>
      </c>
      <c r="AP55" s="69" t="n">
        <f aca="false">ROUNDDOWN( MAX(1 - MIN(facs_constr_factor*TblConstr[[#This Row],[Facs DB]],facs_constr_max) + tech_1_11*TblTech[[#This Row],[1-11]] + tech_6_3_2*TblTech[[#This Row],[6-3]] + tech_5_2_3*TblTech[[#This Row],[5-2]], 1-global_constr_cap) * ROUND((TblConstr[[#This Row],[Land]]-250)*0.285 + 87.5 + 0/4.25,0),0)</f>
        <v>103</v>
      </c>
      <c r="AQ55" s="1" t="n">
        <f aca="false">TblConstr[[#This Row],[build -db]]*TblConstr[[#This Row],[CPA Platinum -DB]] + TblConstr[[#This Row],[build db]]*TblConstr[[#This Row],[CPA Platinum DB]]</f>
        <v>7137</v>
      </c>
      <c r="AR55" s="1" t="n">
        <f aca="false">TblConstr[[#This Row],[build -db]]*TblConstr[[#This Row],[CPA Lumber -DB]]+TblConstr[[#This Row],[build db]]*TblConstr[[#This Row],[CPA Lumber DB]]</f>
        <v>1339</v>
      </c>
      <c r="AS55" s="69" t="n">
        <f aca="false">MIN(SUM(OFFSET(TblConstr[[#This Row],[Plain]:[Water]],-1,0))+SUM(TblConstr[[#This Row],[Dest Hom]:[Dest Doc]])+IF(TblConstr[[#This Row],[Hour]]&gt;12,SUM(OFFSET(TblExplore[[#This Row],[Plains Explore]:[Water Explore]],-12,0)),0),SUM(TblConstr[[#This Row],[Hom]:[Doc]]))</f>
        <v>13</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1374</v>
      </c>
      <c r="AW55" s="69" t="n">
        <f aca="false">ROUND((TblConstr[[#This Row],[Land]]-250 - IF(TblExplore[[#This Row],[Land Bonus]]&lt;&gt;0,20,0))*0.285 + 87.5 + 0/4.25,0)</f>
        <v>207</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669</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430</v>
      </c>
      <c r="DA55" s="69" t="n">
        <f aca="false">H55+SUM(T44:U55)+SUM(BD55:BE55)</f>
        <v>25</v>
      </c>
      <c r="DB55" s="1" t="n">
        <f aca="false">I55+SUM(V44:W55)+SUM(BF55:BG55)</f>
        <v>0</v>
      </c>
      <c r="DC55" s="69" t="n">
        <f aca="false">J55+SUM(X44:Y55)+SUM(BH55:BI55)</f>
        <v>67</v>
      </c>
      <c r="DD55" s="69" t="n">
        <f aca="false">K55+SUM(AB44:AD55)+SUM(BL55:BN55)</f>
        <v>72</v>
      </c>
      <c r="DE55" s="1" t="n">
        <f aca="false">L55+SUM(AE44:AE55)+BO55</f>
        <v>0</v>
      </c>
      <c r="DF55" s="69" t="n">
        <f aca="false">M55+SUM(AG44:AG55)+BQ55</f>
        <v>24</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0</v>
      </c>
      <c r="C56" s="172" t="n">
        <f aca="false">SUM(TblConstr[[#This Row],[Tot Hom]:[Tot Doc]])</f>
        <v>501</v>
      </c>
      <c r="D56" s="172" t="n">
        <f aca="false">SUM(O45:AG56)</f>
        <v>179</v>
      </c>
      <c r="E56" s="173"/>
      <c r="F56" s="33" t="n">
        <f aca="false">TblConstr[[#This Row],[Barren]]+TblConstr[[#This Row],[Buildings]]+TblConstr[[#This Row],[Incoming]]</f>
        <v>680</v>
      </c>
      <c r="G56" s="199" t="n">
        <f aca="false">OFFSET(TblConstr[[#This Row],[Plain]],-1,0)+TblConstr[[#This Row],[Ch_Plain]]</f>
        <v>0</v>
      </c>
      <c r="H56" s="193" t="n">
        <f aca="false">OFFSET(TblConstr[[#This Row],[Forest]],-1,0)+TblConstr[[#This Row],[Ch_Forest]]</f>
        <v>0</v>
      </c>
      <c r="I56" s="200" t="n">
        <f aca="false">OFFSET(TblConstr[[#This Row],[Mountain]],-1,0)+TblConstr[[#This Row],[Ch_Mountain]]</f>
        <v>0</v>
      </c>
      <c r="J56" s="201" t="n">
        <f aca="false">OFFSET(TblConstr[[#This Row],[Hill]],-1,0)+TblConstr[[#This Row],[Ch_Hill]]</f>
        <v>0</v>
      </c>
      <c r="K56" s="202" t="n">
        <f aca="false">OFFSET(TblConstr[[#This Row],[Swamp]],-1,0)+TblConstr[[#This Row],[Ch_Swamp]]</f>
        <v>0</v>
      </c>
      <c r="L56" s="197" t="n">
        <f aca="false">OFFSET(TblConstr[[#This Row],[Cavern]],-1,0)+TblConstr[[#This Row],[Ch_Cavern]]</f>
        <v>0</v>
      </c>
      <c r="M56" s="198" t="n">
        <f aca="false">OFFSET(TblConstr[[#This Row],[Water]],-1,0)+TblConstr[[#This Row],[Ch_Water]]</f>
        <v>0</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0.0985294117647059</v>
      </c>
      <c r="AJ56" s="130" t="n">
        <f aca="false">MIN(25%,(TblConstr[[#This Row],[Tot Fac]]+TblConstr[[#This Row],[Dest Fac]])/TblConstr[[#This Row],[Land]])</f>
        <v>0.0985294117647059</v>
      </c>
      <c r="AK56" s="69" t="n">
        <f aca="false">TblProd[[#This Row],[Platinum]]</f>
        <v>418640</v>
      </c>
      <c r="AL56" s="69" t="n">
        <f aca="false">TblProd[[#This Row],[Lumber]]</f>
        <v>4754</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56" s="69" t="n">
        <f aca="false">ROUNDDOWN( MAX(1 - MIN(facs_constr_factor*TblConstr[[#This Row],[Facs -DB]],facs_constr_max) + tech_1_11*TblTech[[#This Row],[11-1]] + tech_6_3_2*TblTech[[#This Row],[6-3]] + tech_5_2_3*TblTech[[#This Row],[5-2]], 1-global_constr_cap) * TblConstr[[#This Row],[RCPA Lumber]],0)</f>
        <v>106</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56" s="69" t="n">
        <f aca="false">ROUNDDOWN( MAX(1 - MIN(facs_constr_factor*TblConstr[[#This Row],[Facs DB]],facs_constr_max) + tech_1_11*TblTech[[#This Row],[1-11]] + tech_6_3_2*TblTech[[#This Row],[6-3]] + tech_5_2_3*TblTech[[#This Row],[5-2]], 1-global_constr_cap) * ROUND((TblConstr[[#This Row],[Land]]-250)*0.285 + 87.5 + 0/4.25,0),0)</f>
        <v>106</v>
      </c>
      <c r="AQ56" s="1" t="n">
        <f aca="false">TblConstr[[#This Row],[build -db]]*TblConstr[[#This Row],[CPA Platinum -DB]] + TblConstr[[#This Row],[build db]]*TblConstr[[#This Row],[CPA Platinum DB]]</f>
        <v>6215</v>
      </c>
      <c r="AR56" s="1" t="n">
        <f aca="false">TblConstr[[#This Row],[build -db]]*TblConstr[[#This Row],[CPA Lumber -DB]]+TblConstr[[#This Row],[build db]]*TblConstr[[#This Row],[CPA Lumber DB]]</f>
        <v>1166</v>
      </c>
      <c r="AS56" s="69" t="n">
        <f aca="false">MIN(SUM(OFFSET(TblConstr[[#This Row],[Plain]:[Water]],-1,0))+SUM(TblConstr[[#This Row],[Dest Hom]:[Dest Doc]])+IF(TblConstr[[#This Row],[Hour]]&gt;12,SUM(OFFSET(TblExplore[[#This Row],[Plains Explore]:[Water Explore]],-12,0)),0),SUM(TblConstr[[#This Row],[Hom]:[Doc]]))</f>
        <v>11</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1388</v>
      </c>
      <c r="AW56" s="69" t="n">
        <f aca="false">ROUND((TblConstr[[#This Row],[Land]]-250 - IF(TblExplore[[#This Row],[Land Bonus]]&lt;&gt;0,20,0))*0.285 + 87.5 + 0/4.25,0)</f>
        <v>210</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680</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430</v>
      </c>
      <c r="DA56" s="69" t="n">
        <f aca="false">H56+SUM(T45:U56)+SUM(BD56:BE56)</f>
        <v>25</v>
      </c>
      <c r="DB56" s="1" t="n">
        <f aca="false">I56+SUM(V45:W56)+SUM(BF56:BG56)</f>
        <v>0</v>
      </c>
      <c r="DC56" s="69" t="n">
        <f aca="false">J56+SUM(X45:Y56)+SUM(BH56:BI56)</f>
        <v>67</v>
      </c>
      <c r="DD56" s="69" t="n">
        <f aca="false">K56+SUM(AB45:AD56)+SUM(BL56:BN56)</f>
        <v>72</v>
      </c>
      <c r="DE56" s="1" t="n">
        <f aca="false">L56+SUM(AE45:AE56)+BO56</f>
        <v>0</v>
      </c>
      <c r="DF56" s="69" t="n">
        <f aca="false">M56+SUM(AG45:AG56)+BQ56</f>
        <v>24</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0</v>
      </c>
      <c r="C57" s="172" t="n">
        <f aca="false">SUM(TblConstr[[#This Row],[Tot Hom]:[Tot Doc]])</f>
        <v>510</v>
      </c>
      <c r="D57" s="172" t="n">
        <f aca="false">SUM(O46:AG57)</f>
        <v>182</v>
      </c>
      <c r="E57" s="173"/>
      <c r="F57" s="33" t="n">
        <f aca="false">TblConstr[[#This Row],[Barren]]+TblConstr[[#This Row],[Buildings]]+TblConstr[[#This Row],[Incoming]]</f>
        <v>692</v>
      </c>
      <c r="G57" s="199" t="n">
        <f aca="false">OFFSET(TblConstr[[#This Row],[Plain]],-1,0)+TblConstr[[#This Row],[Ch_Plain]]</f>
        <v>0</v>
      </c>
      <c r="H57" s="193" t="n">
        <f aca="false">OFFSET(TblConstr[[#This Row],[Forest]],-1,0)+TblConstr[[#This Row],[Ch_Forest]]</f>
        <v>0</v>
      </c>
      <c r="I57" s="200" t="n">
        <f aca="false">OFFSET(TblConstr[[#This Row],[Mountain]],-1,0)+TblConstr[[#This Row],[Ch_Mountain]]</f>
        <v>0</v>
      </c>
      <c r="J57" s="201" t="n">
        <f aca="false">OFFSET(TblConstr[[#This Row],[Hill]],-1,0)+TblConstr[[#This Row],[Ch_Hill]]</f>
        <v>0</v>
      </c>
      <c r="K57" s="202" t="n">
        <f aca="false">OFFSET(TblConstr[[#This Row],[Swamp]],-1,0)+TblConstr[[#This Row],[Ch_Swamp]]</f>
        <v>0</v>
      </c>
      <c r="L57" s="197" t="n">
        <f aca="false">OFFSET(TblConstr[[#This Row],[Cavern]],-1,0)+TblConstr[[#This Row],[Ch_Cavern]]</f>
        <v>0</v>
      </c>
      <c r="M57" s="198" t="n">
        <f aca="false">OFFSET(TblConstr[[#This Row],[Water]],-1,0)+TblConstr[[#This Row],[Ch_Water]]</f>
        <v>0</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0.0968208092485549</v>
      </c>
      <c r="AJ57" s="130" t="n">
        <f aca="false">MIN(25%,(TblConstr[[#This Row],[Tot Fac]]+TblConstr[[#This Row],[Dest Fac]])/TblConstr[[#This Row],[Land]])</f>
        <v>0.0968208092485549</v>
      </c>
      <c r="AK57" s="69" t="n">
        <f aca="false">TblProd[[#This Row],[Platinum]]</f>
        <v>458166</v>
      </c>
      <c r="AL57" s="69" t="n">
        <f aca="false">TblProd[[#This Row],[Lumber]]</f>
        <v>4523</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583</v>
      </c>
      <c r="AN57" s="69" t="n">
        <f aca="false">ROUNDDOWN( MAX(1 - MIN(facs_constr_factor*TblConstr[[#This Row],[Facs -DB]],facs_constr_max) + tech_1_11*TblTech[[#This Row],[11-1]] + tech_6_3_2*TblTech[[#This Row],[6-3]] + tech_5_2_3*TblTech[[#This Row],[5-2]], 1-global_constr_cap) * TblConstr[[#This Row],[RCPA Lumber]],0)</f>
        <v>109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583</v>
      </c>
      <c r="AP57" s="69" t="n">
        <f aca="false">ROUNDDOWN( MAX(1 - MIN(facs_constr_factor*TblConstr[[#This Row],[Facs DB]],facs_constr_max) + tech_1_11*TblTech[[#This Row],[1-11]] + tech_6_3_2*TblTech[[#This Row],[6-3]] + tech_5_2_3*TblTech[[#This Row],[5-2]], 1-global_constr_cap) * ROUND((TblConstr[[#This Row],[Land]]-250)*0.285 + 87.5 + 0/4.25,0),0)</f>
        <v>109</v>
      </c>
      <c r="AQ57" s="1" t="n">
        <f aca="false">TblConstr[[#This Row],[build -db]]*TblConstr[[#This Row],[CPA Platinum -DB]] + TblConstr[[#This Row],[build db]]*TblConstr[[#This Row],[CPA Platinum DB]]</f>
        <v>6996</v>
      </c>
      <c r="AR57" s="1" t="n">
        <f aca="false">TblConstr[[#This Row],[build -db]]*TblConstr[[#This Row],[CPA Lumber -DB]]+TblConstr[[#This Row],[build db]]*TblConstr[[#This Row],[CPA Lumber DB]]</f>
        <v>1308</v>
      </c>
      <c r="AS57" s="69" t="n">
        <f aca="false">MIN(SUM(OFFSET(TblConstr[[#This Row],[Plain]:[Water]],-1,0))+SUM(TblConstr[[#This Row],[Dest Hom]:[Dest Doc]])+IF(TblConstr[[#This Row],[Hour]]&gt;12,SUM(OFFSET(TblExplore[[#This Row],[Plains Explore]:[Water Explore]],-12,0)),0),SUM(TblConstr[[#This Row],[Hom]:[Doc]]))</f>
        <v>12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1403</v>
      </c>
      <c r="AW57" s="69" t="n">
        <f aca="false">ROUND((TblConstr[[#This Row],[Land]]-250 - IF(TblExplore[[#This Row],[Land Bonus]]&lt;&gt;0,20,0))*0.285 + 87.5 + 0/4.25,0)</f>
        <v>213</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692</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430</v>
      </c>
      <c r="DA57" s="69" t="n">
        <f aca="false">H57+SUM(T46:U57)+SUM(BD57:BE57)</f>
        <v>25</v>
      </c>
      <c r="DB57" s="1" t="n">
        <f aca="false">I57+SUM(V46:W57)+SUM(BF57:BG57)</f>
        <v>0</v>
      </c>
      <c r="DC57" s="69" t="n">
        <f aca="false">J57+SUM(X46:Y57)+SUM(BH57:BI57)</f>
        <v>67</v>
      </c>
      <c r="DD57" s="69" t="n">
        <f aca="false">K57+SUM(AB46:AD57)+SUM(BL57:BN57)</f>
        <v>72</v>
      </c>
      <c r="DE57" s="1" t="n">
        <f aca="false">L57+SUM(AE46:AE57)+BO57</f>
        <v>0</v>
      </c>
      <c r="DF57" s="69" t="n">
        <f aca="false">M57+SUM(AG46:AG57)+BQ57</f>
        <v>24</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0</v>
      </c>
      <c r="C58" s="172" t="n">
        <f aca="false">SUM(TblConstr[[#This Row],[Tot Hom]:[Tot Doc]])</f>
        <v>520</v>
      </c>
      <c r="D58" s="172" t="n">
        <f aca="false">SUM(O47:AG58)</f>
        <v>180</v>
      </c>
      <c r="E58" s="173"/>
      <c r="F58" s="33" t="n">
        <f aca="false">TblConstr[[#This Row],[Barren]]+TblConstr[[#This Row],[Buildings]]+TblConstr[[#This Row],[Incoming]]</f>
        <v>700</v>
      </c>
      <c r="G58" s="199" t="n">
        <f aca="false">OFFSET(TblConstr[[#This Row],[Plain]],-1,0)+TblConstr[[#This Row],[Ch_Plain]]</f>
        <v>0</v>
      </c>
      <c r="H58" s="193" t="n">
        <f aca="false">OFFSET(TblConstr[[#This Row],[Forest]],-1,0)+TblConstr[[#This Row],[Ch_Forest]]</f>
        <v>0</v>
      </c>
      <c r="I58" s="200" t="n">
        <f aca="false">OFFSET(TblConstr[[#This Row],[Mountain]],-1,0)+TblConstr[[#This Row],[Ch_Mountain]]</f>
        <v>0</v>
      </c>
      <c r="J58" s="201" t="n">
        <f aca="false">OFFSET(TblConstr[[#This Row],[Hill]],-1,0)+TblConstr[[#This Row],[Ch_Hill]]</f>
        <v>0</v>
      </c>
      <c r="K58" s="202" t="n">
        <f aca="false">OFFSET(TblConstr[[#This Row],[Swamp]],-1,0)+TblConstr[[#This Row],[Ch_Swamp]]</f>
        <v>0</v>
      </c>
      <c r="L58" s="197" t="n">
        <f aca="false">OFFSET(TblConstr[[#This Row],[Cavern]],-1,0)+TblConstr[[#This Row],[Ch_Cavern]]</f>
        <v>0</v>
      </c>
      <c r="M58" s="198" t="n">
        <f aca="false">OFFSET(TblConstr[[#This Row],[Water]],-1,0)+TblConstr[[#This Row],[Ch_Water]]</f>
        <v>0</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0.0957142857142857</v>
      </c>
      <c r="AJ58" s="130" t="n">
        <f aca="false">MIN(25%,(TblConstr[[#This Row],[Tot Fac]]+TblConstr[[#This Row],[Dest Fac]])/TblConstr[[#This Row],[Land]])</f>
        <v>0.0957142857142857</v>
      </c>
      <c r="AK58" s="69" t="n">
        <f aca="false">TblProd[[#This Row],[Platinum]]</f>
        <v>500238</v>
      </c>
      <c r="AL58" s="69" t="n">
        <f aca="false">TblProd[[#This Row],[Lumber]]</f>
        <v>4707</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8" s="69" t="n">
        <f aca="false">ROUNDDOWN( MAX(1 - MIN(facs_constr_factor*TblConstr[[#This Row],[Facs -DB]],facs_constr_max) + tech_1_11*TblTech[[#This Row],[11-1]] + tech_6_3_2*TblTech[[#This Row],[6-3]] + tech_5_2_3*TblTech[[#This Row],[5-2]], 1-global_constr_cap) * TblConstr[[#This Row],[RCPA Lumber]],0)</f>
        <v>112</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8" s="69" t="n">
        <f aca="false">ROUNDDOWN( MAX(1 - MIN(facs_constr_factor*TblConstr[[#This Row],[Facs DB]],facs_constr_max) + tech_1_11*TblTech[[#This Row],[1-11]] + tech_6_3_2*TblTech[[#This Row],[6-3]] + tech_5_2_3*TblTech[[#This Row],[5-2]], 1-global_constr_cap) * ROUND((TblConstr[[#This Row],[Land]]-250)*0.285 + 87.5 + 0/4.25,0),0)</f>
        <v>112</v>
      </c>
      <c r="AQ58" s="1" t="n">
        <f aca="false">TblConstr[[#This Row],[build -db]]*TblConstr[[#This Row],[CPA Platinum -DB]] + TblConstr[[#This Row],[build db]]*TblConstr[[#This Row],[CPA Platinum DB]]</f>
        <v>4760</v>
      </c>
      <c r="AR58" s="1" t="n">
        <f aca="false">TblConstr[[#This Row],[build -db]]*TblConstr[[#This Row],[CPA Lumber -DB]]+TblConstr[[#This Row],[build db]]*TblConstr[[#This Row],[CPA Lumber DB]]</f>
        <v>896</v>
      </c>
      <c r="AS58" s="69" t="n">
        <f aca="false">MIN(SUM(OFFSET(TblConstr[[#This Row],[Plain]:[Water]],-1,0))+SUM(TblConstr[[#This Row],[Dest Hom]:[Dest Doc]])+IF(TblConstr[[#This Row],[Hour]]&gt;12,SUM(OFFSET(TblExplore[[#This Row],[Plains Explore]:[Water Explore]],-12,0)),0),SUM(TblConstr[[#This Row],[Hom]:[Doc]]))</f>
        <v>8</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1413</v>
      </c>
      <c r="AW58" s="69" t="n">
        <f aca="false">ROUND((TblConstr[[#This Row],[Land]]-250 - IF(TblExplore[[#This Row],[Land Bonus]]&lt;&gt;0,20,0))*0.285 + 87.5 + 0/4.25,0)</f>
        <v>216</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700</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430</v>
      </c>
      <c r="DA58" s="69" t="n">
        <f aca="false">H58+SUM(T47:U58)+SUM(BD58:BE58)</f>
        <v>25</v>
      </c>
      <c r="DB58" s="1" t="n">
        <f aca="false">I58+SUM(V47:W58)+SUM(BF58:BG58)</f>
        <v>0</v>
      </c>
      <c r="DC58" s="69" t="n">
        <f aca="false">J58+SUM(X47:Y58)+SUM(BH58:BI58)</f>
        <v>67</v>
      </c>
      <c r="DD58" s="69" t="n">
        <f aca="false">K58+SUM(AB47:AD58)+SUM(BL58:BN58)</f>
        <v>76</v>
      </c>
      <c r="DE58" s="1" t="n">
        <f aca="false">L58+SUM(AE47:AE58)+BO58</f>
        <v>0</v>
      </c>
      <c r="DF58" s="69" t="n">
        <f aca="false">M58+SUM(AG47:AG58)+BQ58</f>
        <v>24</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0</v>
      </c>
      <c r="C59" s="172" t="n">
        <f aca="false">SUM(TblConstr[[#This Row],[Tot Hom]:[Tot Doc]])</f>
        <v>529</v>
      </c>
      <c r="D59" s="172" t="n">
        <f aca="false">SUM(O48:AG59)</f>
        <v>171</v>
      </c>
      <c r="E59" s="173"/>
      <c r="F59" s="33" t="n">
        <f aca="false">TblConstr[[#This Row],[Barren]]+TblConstr[[#This Row],[Buildings]]+TblConstr[[#This Row],[Incoming]]</f>
        <v>700</v>
      </c>
      <c r="G59" s="199" t="n">
        <f aca="false">OFFSET(TblConstr[[#This Row],[Plain]],-1,0)+TblConstr[[#This Row],[Ch_Plain]]</f>
        <v>0</v>
      </c>
      <c r="H59" s="193" t="n">
        <f aca="false">OFFSET(TblConstr[[#This Row],[Forest]],-1,0)+TblConstr[[#This Row],[Ch_Forest]]</f>
        <v>0</v>
      </c>
      <c r="I59" s="200" t="n">
        <f aca="false">OFFSET(TblConstr[[#This Row],[Mountain]],-1,0)+TblConstr[[#This Row],[Ch_Mountain]]</f>
        <v>0</v>
      </c>
      <c r="J59" s="201" t="n">
        <f aca="false">OFFSET(TblConstr[[#This Row],[Hill]],-1,0)+TblConstr[[#This Row],[Ch_Hill]]</f>
        <v>0</v>
      </c>
      <c r="K59" s="202" t="n">
        <f aca="false">OFFSET(TblConstr[[#This Row],[Swamp]],-1,0)+TblConstr[[#This Row],[Ch_Swamp]]</f>
        <v>0</v>
      </c>
      <c r="L59" s="197" t="n">
        <f aca="false">OFFSET(TblConstr[[#This Row],[Cavern]],-1,0)+TblConstr[[#This Row],[Ch_Cavern]]</f>
        <v>0</v>
      </c>
      <c r="M59" s="198" t="n">
        <f aca="false">OFFSET(TblConstr[[#This Row],[Water]],-1,0)+TblConstr[[#This Row],[Ch_Water]]</f>
        <v>0</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0.0957142857142857</v>
      </c>
      <c r="AJ59" s="130" t="n">
        <f aca="false">MIN(25%,(TblConstr[[#This Row],[Tot Fac]]+TblConstr[[#This Row],[Dest Fac]])/TblConstr[[#This Row],[Land]])</f>
        <v>0.0957142857142857</v>
      </c>
      <c r="AK59" s="69" t="n">
        <f aca="false">TblProd[[#This Row],[Platinum]]</f>
        <v>546753</v>
      </c>
      <c r="AL59" s="69" t="n">
        <f aca="false">TblProd[[#This Row],[Lumber]]</f>
        <v>5673</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9" s="69" t="n">
        <f aca="false">ROUNDDOWN( MAX(1 - MIN(facs_constr_factor*TblConstr[[#This Row],[Facs -DB]],facs_constr_max) + tech_1_11*TblTech[[#This Row],[11-1]] + tech_6_3_2*TblTech[[#This Row],[6-3]] + tech_5_2_3*TblTech[[#This Row],[5-2]], 1-global_constr_cap) * TblConstr[[#This Row],[RCPA Lumber]],0)</f>
        <v>112</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9" s="69" t="n">
        <f aca="false">ROUNDDOWN( MAX(1 - MIN(facs_constr_factor*TblConstr[[#This Row],[Facs DB]],facs_constr_max) + tech_1_11*TblTech[[#This Row],[1-11]] + tech_6_3_2*TblTech[[#This Row],[6-3]] + tech_5_2_3*TblTech[[#This Row],[5-2]], 1-global_constr_cap) * ROUND((TblConstr[[#This Row],[Land]]-250)*0.285 + 87.5 + 0/4.25,0),0)</f>
        <v>112</v>
      </c>
      <c r="AQ59" s="1" t="n">
        <f aca="false">TblConstr[[#This Row],[build -db]]*TblConstr[[#This Row],[CPA Platinum -DB]] + TblConstr[[#This Row],[build db]]*TblConstr[[#This Row],[CPA Platinum DB]]</f>
        <v>595</v>
      </c>
      <c r="AR59" s="1" t="n">
        <f aca="false">TblConstr[[#This Row],[build -db]]*TblConstr[[#This Row],[CPA Lumber -DB]]+TblConstr[[#This Row],[build db]]*TblConstr[[#This Row],[CPA Lumber DB]]</f>
        <v>112</v>
      </c>
      <c r="AS59" s="69" t="n">
        <f aca="false">MIN(SUM(OFFSET(TblConstr[[#This Row],[Plain]:[Water]],-1,0))+SUM(TblConstr[[#This Row],[Dest Hom]:[Dest Doc]])+IF(TblConstr[[#This Row],[Hour]]&gt;12,SUM(OFFSET(TblExplore[[#This Row],[Plains Explore]:[Water Explore]],-12,0)),0),SUM(TblConstr[[#This Row],[Hom]:[Doc]]))</f>
        <v>1</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1413</v>
      </c>
      <c r="AW59" s="69" t="n">
        <f aca="false">ROUND((TblConstr[[#This Row],[Land]]-250 - IF(TblExplore[[#This Row],[Land Bonus]]&lt;&gt;0,20,0))*0.285 + 87.5 + 0/4.25,0)</f>
        <v>216</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700</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430</v>
      </c>
      <c r="DA59" s="69" t="n">
        <f aca="false">H59+SUM(T48:U59)+SUM(BD59:BE59)</f>
        <v>25</v>
      </c>
      <c r="DB59" s="1" t="n">
        <f aca="false">I59+SUM(V48:W59)+SUM(BF59:BG59)</f>
        <v>0</v>
      </c>
      <c r="DC59" s="69" t="n">
        <f aca="false">J59+SUM(X48:Y59)+SUM(BH59:BI59)</f>
        <v>67</v>
      </c>
      <c r="DD59" s="69" t="n">
        <f aca="false">K59+SUM(AB48:AD59)+SUM(BL59:BN59)</f>
        <v>76</v>
      </c>
      <c r="DE59" s="1" t="n">
        <f aca="false">L59+SUM(AE48:AE59)+BO59</f>
        <v>0</v>
      </c>
      <c r="DF59" s="69" t="n">
        <f aca="false">M59+SUM(AG48:AG59)+BQ59</f>
        <v>24</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0</v>
      </c>
      <c r="C60" s="172" t="n">
        <f aca="false">SUM(TblConstr[[#This Row],[Tot Hom]:[Tot Doc]])</f>
        <v>538</v>
      </c>
      <c r="D60" s="172" t="n">
        <f aca="false">SUM(O49:AG60)</f>
        <v>162</v>
      </c>
      <c r="E60" s="173"/>
      <c r="F60" s="33" t="n">
        <f aca="false">TblConstr[[#This Row],[Barren]]+TblConstr[[#This Row],[Buildings]]+TblConstr[[#This Row],[Incoming]]</f>
        <v>700</v>
      </c>
      <c r="G60" s="199" t="n">
        <f aca="false">OFFSET(TblConstr[[#This Row],[Plain]],-1,0)+TblConstr[[#This Row],[Ch_Plain]]</f>
        <v>0</v>
      </c>
      <c r="H60" s="193" t="n">
        <f aca="false">OFFSET(TblConstr[[#This Row],[Forest]],-1,0)+TblConstr[[#This Row],[Ch_Forest]]</f>
        <v>0</v>
      </c>
      <c r="I60" s="200" t="n">
        <f aca="false">OFFSET(TblConstr[[#This Row],[Mountain]],-1,0)+TblConstr[[#This Row],[Ch_Mountain]]</f>
        <v>0</v>
      </c>
      <c r="J60" s="201" t="n">
        <f aca="false">OFFSET(TblConstr[[#This Row],[Hill]],-1,0)+TblConstr[[#This Row],[Ch_Hill]]</f>
        <v>0</v>
      </c>
      <c r="K60" s="202" t="n">
        <f aca="false">OFFSET(TblConstr[[#This Row],[Swamp]],-1,0)+TblConstr[[#This Row],[Ch_Swamp]]</f>
        <v>0</v>
      </c>
      <c r="L60" s="197" t="n">
        <f aca="false">OFFSET(TblConstr[[#This Row],[Cavern]],-1,0)+TblConstr[[#This Row],[Ch_Cavern]]</f>
        <v>0</v>
      </c>
      <c r="M60" s="198" t="n">
        <f aca="false">OFFSET(TblConstr[[#This Row],[Water]],-1,0)+TblConstr[[#This Row],[Ch_Water]]</f>
        <v>0</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0.0942857142857143</v>
      </c>
      <c r="AJ60" s="130" t="n">
        <f aca="false">MIN(25%,(TblConstr[[#This Row],[Tot Fac]]+TblConstr[[#This Row],[Dest Fac]])/TblConstr[[#This Row],[Land]])</f>
        <v>0.0942857142857143</v>
      </c>
      <c r="AK60" s="69" t="n">
        <f aca="false">TblProd[[#This Row],[Platinum]]</f>
        <v>593274</v>
      </c>
      <c r="AL60" s="69" t="n">
        <f aca="false">TblProd[[#This Row],[Lumber]]</f>
        <v>6627</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605</v>
      </c>
      <c r="AN60" s="69" t="n">
        <f aca="false">ROUNDDOWN( MAX(1 - MIN(facs_constr_factor*TblConstr[[#This Row],[Facs -DB]],facs_constr_max) + tech_1_11*TblTech[[#This Row],[11-1]] + tech_6_3_2*TblTech[[#This Row],[6-3]] + tech_5_2_3*TblTech[[#This Row],[5-2]], 1-global_constr_cap) * TblConstr[[#This Row],[RCPA Lumber]],0)</f>
        <v>114</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605</v>
      </c>
      <c r="AP60" s="69" t="n">
        <f aca="false">ROUNDDOWN( MAX(1 - MIN(facs_constr_factor*TblConstr[[#This Row],[Facs DB]],facs_constr_max) + tech_1_11*TblTech[[#This Row],[1-11]] + tech_6_3_2*TblTech[[#This Row],[6-3]] + tech_5_2_3*TblTech[[#This Row],[5-2]], 1-global_constr_cap) * ROUND((TblConstr[[#This Row],[Land]]-250)*0.285 + 87.5 + 0/4.25,0),0)</f>
        <v>114</v>
      </c>
      <c r="AQ60" s="1" t="n">
        <f aca="false">TblConstr[[#This Row],[build -db]]*TblConstr[[#This Row],[CPA Platinum -DB]] + TblConstr[[#This Row],[build db]]*TblConstr[[#This Row],[CPA Platinum DB]]</f>
        <v>605</v>
      </c>
      <c r="AR60" s="1" t="n">
        <f aca="false">TblConstr[[#This Row],[build -db]]*TblConstr[[#This Row],[CPA Lumber -DB]]+TblConstr[[#This Row],[build db]]*TblConstr[[#This Row],[CPA Lumber DB]]</f>
        <v>114</v>
      </c>
      <c r="AS60" s="69" t="n">
        <f aca="false">MIN(SUM(OFFSET(TblConstr[[#This Row],[Plain]:[Water]],-1,0))+SUM(TblConstr[[#This Row],[Dest Hom]:[Dest Doc]])+IF(TblConstr[[#This Row],[Hour]]&gt;12,SUM(OFFSET(TblExplore[[#This Row],[Plains Explore]:[Water Explore]],-12,0)),0),SUM(TblConstr[[#This Row],[Hom]:[Doc]]))</f>
        <v>1</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1413</v>
      </c>
      <c r="AW60" s="69" t="n">
        <f aca="false">ROUND((TblConstr[[#This Row],[Land]]-250 - IF(TblExplore[[#This Row],[Land Bonus]]&lt;&gt;0,20,0))*0.285 + 87.5 + 0/4.25,0)</f>
        <v>216</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700</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430</v>
      </c>
      <c r="DA60" s="69" t="n">
        <f aca="false">H60+SUM(T49:U60)+SUM(BD60:BE60)</f>
        <v>25</v>
      </c>
      <c r="DB60" s="1" t="n">
        <f aca="false">I60+SUM(V49:W60)+SUM(BF60:BG60)</f>
        <v>0</v>
      </c>
      <c r="DC60" s="69" t="n">
        <f aca="false">J60+SUM(X49:Y60)+SUM(BH60:BI60)</f>
        <v>67</v>
      </c>
      <c r="DD60" s="69" t="n">
        <f aca="false">K60+SUM(AB49:AD60)+SUM(BL60:BN60)</f>
        <v>76</v>
      </c>
      <c r="DE60" s="1" t="n">
        <f aca="false">L60+SUM(AE49:AE60)+BO60</f>
        <v>0</v>
      </c>
      <c r="DF60" s="69" t="n">
        <f aca="false">M60+SUM(AG49:AG60)+BQ60</f>
        <v>24</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0</v>
      </c>
      <c r="C61" s="172" t="n">
        <f aca="false">SUM(TblConstr[[#This Row],[Tot Hom]:[Tot Doc]])</f>
        <v>548</v>
      </c>
      <c r="D61" s="172" t="n">
        <f aca="false">SUM(O50:AG61)</f>
        <v>152</v>
      </c>
      <c r="E61" s="173"/>
      <c r="F61" s="33" t="n">
        <f aca="false">TblConstr[[#This Row],[Barren]]+TblConstr[[#This Row],[Buildings]]+TblConstr[[#This Row],[Incoming]]</f>
        <v>700</v>
      </c>
      <c r="G61" s="199" t="n">
        <f aca="false">OFFSET(TblConstr[[#This Row],[Plain]],-1,0)+TblConstr[[#This Row],[Ch_Plain]]</f>
        <v>0</v>
      </c>
      <c r="H61" s="193" t="n">
        <f aca="false">OFFSET(TblConstr[[#This Row],[Forest]],-1,0)+TblConstr[[#This Row],[Ch_Forest]]</f>
        <v>0</v>
      </c>
      <c r="I61" s="200" t="n">
        <f aca="false">OFFSET(TblConstr[[#This Row],[Mountain]],-1,0)+TblConstr[[#This Row],[Ch_Mountain]]</f>
        <v>0</v>
      </c>
      <c r="J61" s="201" t="n">
        <f aca="false">OFFSET(TblConstr[[#This Row],[Hill]],-1,0)+TblConstr[[#This Row],[Ch_Hill]]</f>
        <v>0</v>
      </c>
      <c r="K61" s="202" t="n">
        <f aca="false">OFFSET(TblConstr[[#This Row],[Swamp]],-1,0)+TblConstr[[#This Row],[Ch_Swamp]]</f>
        <v>0</v>
      </c>
      <c r="L61" s="197" t="n">
        <f aca="false">OFFSET(TblConstr[[#This Row],[Cavern]],-1,0)+TblConstr[[#This Row],[Ch_Cavern]]</f>
        <v>0</v>
      </c>
      <c r="M61" s="198" t="n">
        <f aca="false">OFFSET(TblConstr[[#This Row],[Water]],-1,0)+TblConstr[[#This Row],[Ch_Water]]</f>
        <v>0</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0.0928571428571429</v>
      </c>
      <c r="AJ61" s="130" t="n">
        <f aca="false">MIN(25%,(TblConstr[[#This Row],[Tot Fac]]+TblConstr[[#This Row],[Dest Fac]])/TblConstr[[#This Row],[Land]])</f>
        <v>0.0928571428571429</v>
      </c>
      <c r="AK61" s="69" t="n">
        <f aca="false">TblProd[[#This Row],[Platinum]]</f>
        <v>639546</v>
      </c>
      <c r="AL61" s="69" t="n">
        <f aca="false">TblProd[[#This Row],[Lumber]]</f>
        <v>7571</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615</v>
      </c>
      <c r="AN61" s="69" t="n">
        <f aca="false">ROUNDDOWN( MAX(1 - MIN(facs_constr_factor*TblConstr[[#This Row],[Facs -DB]],facs_constr_max) + tech_1_11*TblTech[[#This Row],[11-1]] + tech_6_3_2*TblTech[[#This Row],[6-3]] + tech_5_2_3*TblTech[[#This Row],[5-2]], 1-global_constr_cap) * TblConstr[[#This Row],[RCPA Lumber]],0)</f>
        <v>115</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615</v>
      </c>
      <c r="AP61" s="69" t="n">
        <f aca="false">ROUNDDOWN( MAX(1 - MIN(facs_constr_factor*TblConstr[[#This Row],[Facs DB]],facs_constr_max) + tech_1_11*TblTech[[#This Row],[1-11]] + tech_6_3_2*TblTech[[#This Row],[6-3]] + tech_5_2_3*TblTech[[#This Row],[5-2]], 1-global_constr_cap) * ROUND((TblConstr[[#This Row],[Land]]-250)*0.285 + 87.5 + 0/4.25,0),0)</f>
        <v>115</v>
      </c>
      <c r="AQ61" s="1" t="n">
        <f aca="false">TblConstr[[#This Row],[build -db]]*TblConstr[[#This Row],[CPA Platinum -DB]] + TblConstr[[#This Row],[build db]]*TblConstr[[#This Row],[CPA Platinum DB]]</f>
        <v>615</v>
      </c>
      <c r="AR61" s="1" t="n">
        <f aca="false">TblConstr[[#This Row],[build -db]]*TblConstr[[#This Row],[CPA Lumber -DB]]+TblConstr[[#This Row],[build db]]*TblConstr[[#This Row],[CPA Lumber DB]]</f>
        <v>115</v>
      </c>
      <c r="AS61" s="69" t="n">
        <f aca="false">MIN(SUM(OFFSET(TblConstr[[#This Row],[Plain]:[Water]],-1,0))+SUM(TblConstr[[#This Row],[Dest Hom]:[Dest Doc]])+IF(TblConstr[[#This Row],[Hour]]&gt;12,SUM(OFFSET(TblExplore[[#This Row],[Plains Explore]:[Water Explore]],-12,0)),0),SUM(TblConstr[[#This Row],[Hom]:[Doc]]))</f>
        <v>1</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1413</v>
      </c>
      <c r="AW61" s="69" t="n">
        <f aca="false">ROUND((TblConstr[[#This Row],[Land]]-250 - IF(TblExplore[[#This Row],[Land Bonus]]&lt;&gt;0,20,0))*0.285 + 87.5 + 0/4.25,0)</f>
        <v>216</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700</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430</v>
      </c>
      <c r="DA61" s="69" t="n">
        <f aca="false">H61+SUM(T50:U61)+SUM(BD61:BE61)</f>
        <v>25</v>
      </c>
      <c r="DB61" s="1" t="n">
        <f aca="false">I61+SUM(V50:W61)+SUM(BF61:BG61)</f>
        <v>0</v>
      </c>
      <c r="DC61" s="69" t="n">
        <f aca="false">J61+SUM(X50:Y61)+SUM(BH61:BI61)</f>
        <v>67</v>
      </c>
      <c r="DD61" s="69" t="n">
        <f aca="false">K61+SUM(AB50:AD61)+SUM(BL61:BN61)</f>
        <v>76</v>
      </c>
      <c r="DE61" s="1" t="n">
        <f aca="false">L61+SUM(AE50:AE61)+BO61</f>
        <v>0</v>
      </c>
      <c r="DF61" s="69" t="n">
        <f aca="false">M61+SUM(AG50:AG61)+BQ61</f>
        <v>24</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0</v>
      </c>
      <c r="C62" s="172" t="n">
        <f aca="false">SUM(TblConstr[[#This Row],[Tot Hom]:[Tot Doc]])</f>
        <v>559</v>
      </c>
      <c r="D62" s="172" t="n">
        <f aca="false">SUM(O51:AG62)</f>
        <v>141</v>
      </c>
      <c r="E62" s="173"/>
      <c r="F62" s="33" t="n">
        <f aca="false">TblConstr[[#This Row],[Barren]]+TblConstr[[#This Row],[Buildings]]+TblConstr[[#This Row],[Incoming]]</f>
        <v>700</v>
      </c>
      <c r="G62" s="199" t="n">
        <f aca="false">OFFSET(TblConstr[[#This Row],[Plain]],-1,0)+TblConstr[[#This Row],[Ch_Plain]]</f>
        <v>0</v>
      </c>
      <c r="H62" s="193" t="n">
        <f aca="false">OFFSET(TblConstr[[#This Row],[Forest]],-1,0)+TblConstr[[#This Row],[Ch_Forest]]</f>
        <v>0</v>
      </c>
      <c r="I62" s="200" t="n">
        <f aca="false">OFFSET(TblConstr[[#This Row],[Mountain]],-1,0)+TblConstr[[#This Row],[Ch_Mountain]]</f>
        <v>0</v>
      </c>
      <c r="J62" s="201" t="n">
        <f aca="false">OFFSET(TblConstr[[#This Row],[Hill]],-1,0)+TblConstr[[#This Row],[Ch_Hill]]</f>
        <v>0</v>
      </c>
      <c r="K62" s="202" t="n">
        <f aca="false">OFFSET(TblConstr[[#This Row],[Swamp]],-1,0)+TblConstr[[#This Row],[Ch_Swamp]]</f>
        <v>0</v>
      </c>
      <c r="L62" s="197" t="n">
        <f aca="false">OFFSET(TblConstr[[#This Row],[Cavern]],-1,0)+TblConstr[[#This Row],[Ch_Cavern]]</f>
        <v>0</v>
      </c>
      <c r="M62" s="198" t="n">
        <f aca="false">OFFSET(TblConstr[[#This Row],[Water]],-1,0)+TblConstr[[#This Row],[Ch_Water]]</f>
        <v>0</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0.0914285714285714</v>
      </c>
      <c r="AJ62" s="130" t="n">
        <f aca="false">MIN(25%,(TblConstr[[#This Row],[Tot Fac]]+TblConstr[[#This Row],[Dest Fac]])/TblConstr[[#This Row],[Land]])</f>
        <v>0.0914285714285714</v>
      </c>
      <c r="AK62" s="69" t="n">
        <f aca="false">TblProd[[#This Row],[Platinum]]</f>
        <v>685636</v>
      </c>
      <c r="AL62" s="69" t="n">
        <f aca="false">TblProd[[#This Row],[Lumber]]</f>
        <v>8503</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625</v>
      </c>
      <c r="AN62" s="69" t="n">
        <f aca="false">ROUNDDOWN( MAX(1 - MIN(facs_constr_factor*TblConstr[[#This Row],[Facs -DB]],facs_constr_max) + tech_1_11*TblTech[[#This Row],[11-1]] + tech_6_3_2*TblTech[[#This Row],[6-3]] + tech_5_2_3*TblTech[[#This Row],[5-2]], 1-global_constr_cap) * TblConstr[[#This Row],[RCPA Lumber]],0)</f>
        <v>117</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625</v>
      </c>
      <c r="AP62" s="69" t="n">
        <f aca="false">ROUNDDOWN( MAX(1 - MIN(facs_constr_factor*TblConstr[[#This Row],[Facs DB]],facs_constr_max) + tech_1_11*TblTech[[#This Row],[1-11]] + tech_6_3_2*TblTech[[#This Row],[6-3]] + tech_5_2_3*TblTech[[#This Row],[5-2]], 1-global_constr_cap) * ROUND((TblConstr[[#This Row],[Land]]-250)*0.285 + 87.5 + 0/4.25,0),0)</f>
        <v>117</v>
      </c>
      <c r="AQ62" s="1" t="n">
        <f aca="false">TblConstr[[#This Row],[build -db]]*TblConstr[[#This Row],[CPA Platinum -DB]] + TblConstr[[#This Row],[build db]]*TblConstr[[#This Row],[CPA Platinum DB]]</f>
        <v>625</v>
      </c>
      <c r="AR62" s="1" t="n">
        <f aca="false">TblConstr[[#This Row],[build -db]]*TblConstr[[#This Row],[CPA Lumber -DB]]+TblConstr[[#This Row],[build db]]*TblConstr[[#This Row],[CPA Lumber DB]]</f>
        <v>117</v>
      </c>
      <c r="AS62" s="69" t="n">
        <f aca="false">MIN(SUM(OFFSET(TblConstr[[#This Row],[Plain]:[Water]],-1,0))+SUM(TblConstr[[#This Row],[Dest Hom]:[Dest Doc]])+IF(TblConstr[[#This Row],[Hour]]&gt;12,SUM(OFFSET(TblExplore[[#This Row],[Plains Explore]:[Water Explore]],-12,0)),0),SUM(TblConstr[[#This Row],[Hom]:[Doc]]))</f>
        <v>1</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1413</v>
      </c>
      <c r="AW62" s="69" t="n">
        <f aca="false">ROUND((TblConstr[[#This Row],[Land]]-250 - IF(TblExplore[[#This Row],[Land Bonus]]&lt;&gt;0,20,0))*0.285 + 87.5 + 0/4.25,0)</f>
        <v>216</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700</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430</v>
      </c>
      <c r="DA62" s="69" t="n">
        <f aca="false">H62+SUM(T51:U62)+SUM(BD62:BE62)</f>
        <v>25</v>
      </c>
      <c r="DB62" s="1" t="n">
        <f aca="false">I62+SUM(V51:W62)+SUM(BF62:BG62)</f>
        <v>0</v>
      </c>
      <c r="DC62" s="69" t="n">
        <f aca="false">J62+SUM(X51:Y62)+SUM(BH62:BI62)</f>
        <v>67</v>
      </c>
      <c r="DD62" s="69" t="n">
        <f aca="false">K62+SUM(AB51:AD62)+SUM(BL62:BN62)</f>
        <v>76</v>
      </c>
      <c r="DE62" s="1" t="n">
        <f aca="false">L62+SUM(AE51:AE62)+BO62</f>
        <v>0</v>
      </c>
      <c r="DF62" s="69" t="n">
        <f aca="false">M62+SUM(AG51:AG62)+BQ62</f>
        <v>24</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0</v>
      </c>
      <c r="C63" s="172" t="n">
        <f aca="false">SUM(TblConstr[[#This Row],[Tot Hom]:[Tot Doc]])</f>
        <v>591</v>
      </c>
      <c r="D63" s="172" t="n">
        <f aca="false">SUM(O52:AG63)</f>
        <v>109</v>
      </c>
      <c r="E63" s="173"/>
      <c r="F63" s="33" t="n">
        <f aca="false">TblConstr[[#This Row],[Barren]]+TblConstr[[#This Row],[Buildings]]+TblConstr[[#This Row],[Incoming]]</f>
        <v>700</v>
      </c>
      <c r="G63" s="199" t="n">
        <f aca="false">OFFSET(TblConstr[[#This Row],[Plain]],-1,0)+TblConstr[[#This Row],[Ch_Plain]]</f>
        <v>0</v>
      </c>
      <c r="H63" s="193" t="n">
        <f aca="false">OFFSET(TblConstr[[#This Row],[Forest]],-1,0)+TblConstr[[#This Row],[Ch_Forest]]</f>
        <v>0</v>
      </c>
      <c r="I63" s="200" t="n">
        <f aca="false">OFFSET(TblConstr[[#This Row],[Mountain]],-1,0)+TblConstr[[#This Row],[Ch_Mountain]]</f>
        <v>0</v>
      </c>
      <c r="J63" s="201" t="n">
        <f aca="false">OFFSET(TblConstr[[#This Row],[Hill]],-1,0)+TblConstr[[#This Row],[Ch_Hill]]</f>
        <v>0</v>
      </c>
      <c r="K63" s="202" t="n">
        <f aca="false">OFFSET(TblConstr[[#This Row],[Swamp]],-1,0)+TblConstr[[#This Row],[Ch_Swamp]]</f>
        <v>0</v>
      </c>
      <c r="L63" s="197" t="n">
        <f aca="false">OFFSET(TblConstr[[#This Row],[Cavern]],-1,0)+TblConstr[[#This Row],[Ch_Cavern]]</f>
        <v>0</v>
      </c>
      <c r="M63" s="198" t="n">
        <f aca="false">OFFSET(TblConstr[[#This Row],[Water]],-1,0)+TblConstr[[#This Row],[Ch_Water]]</f>
        <v>0</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v>
      </c>
      <c r="AJ63" s="130" t="n">
        <f aca="false">MIN(25%,(TblConstr[[#This Row],[Tot Fac]]+TblConstr[[#This Row],[Dest Fac]])/TblConstr[[#This Row],[Land]])</f>
        <v>0.09</v>
      </c>
      <c r="AK63" s="69" t="n">
        <f aca="false">TblProd[[#This Row],[Platinum]]</f>
        <v>731483</v>
      </c>
      <c r="AL63" s="69" t="n">
        <f aca="false">TblProd[[#This Row],[Lumber]]</f>
        <v>9425</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635</v>
      </c>
      <c r="AN63" s="69" t="n">
        <f aca="false">ROUNDDOWN( MAX(1 - MIN(facs_constr_factor*TblConstr[[#This Row],[Facs -DB]],facs_constr_max) + tech_1_11*TblTech[[#This Row],[11-1]] + tech_6_3_2*TblTech[[#This Row],[6-3]] + tech_5_2_3*TblTech[[#This Row],[5-2]], 1-global_constr_cap) * TblConstr[[#This Row],[RCPA Lumber]],0)</f>
        <v>118</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635</v>
      </c>
      <c r="AP63" s="69" t="n">
        <f aca="false">ROUNDDOWN( MAX(1 - MIN(facs_constr_factor*TblConstr[[#This Row],[Facs DB]],facs_constr_max) + tech_1_11*TblTech[[#This Row],[1-11]] + tech_6_3_2*TblTech[[#This Row],[6-3]] + tech_5_2_3*TblTech[[#This Row],[5-2]], 1-global_constr_cap) * ROUND((TblConstr[[#This Row],[Land]]-250)*0.285 + 87.5 + 0/4.25,0),0)</f>
        <v>118</v>
      </c>
      <c r="AQ63" s="1" t="n">
        <f aca="false">TblConstr[[#This Row],[build -db]]*TblConstr[[#This Row],[CPA Platinum -DB]] + TblConstr[[#This Row],[build db]]*TblConstr[[#This Row],[CPA Platinum DB]]</f>
        <v>635</v>
      </c>
      <c r="AR63" s="1" t="n">
        <f aca="false">TblConstr[[#This Row],[build -db]]*TblConstr[[#This Row],[CPA Lumber -DB]]+TblConstr[[#This Row],[build db]]*TblConstr[[#This Row],[CPA Lumber DB]]</f>
        <v>118</v>
      </c>
      <c r="AS63" s="69" t="n">
        <f aca="false">MIN(SUM(OFFSET(TblConstr[[#This Row],[Plain]:[Water]],-1,0))+SUM(TblConstr[[#This Row],[Dest Hom]:[Dest Doc]])+IF(TblConstr[[#This Row],[Hour]]&gt;12,SUM(OFFSET(TblExplore[[#This Row],[Plains Explore]:[Water Explore]],-12,0)),0),SUM(TblConstr[[#This Row],[Hom]:[Doc]]))</f>
        <v>1</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1413</v>
      </c>
      <c r="AW63" s="69" t="n">
        <f aca="false">ROUND((TblConstr[[#This Row],[Land]]-250 - IF(TblExplore[[#This Row],[Land Bonus]]&lt;&gt;0,20,0))*0.285 + 87.5 + 0/4.25,0)</f>
        <v>216</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700</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430</v>
      </c>
      <c r="DA63" s="69" t="n">
        <f aca="false">H63+SUM(T52:U63)+SUM(BD63:BE63)</f>
        <v>25</v>
      </c>
      <c r="DB63" s="1" t="n">
        <f aca="false">I63+SUM(V52:W63)+SUM(BF63:BG63)</f>
        <v>0</v>
      </c>
      <c r="DC63" s="69" t="n">
        <f aca="false">J63+SUM(X52:Y63)+SUM(BH63:BI63)</f>
        <v>67</v>
      </c>
      <c r="DD63" s="69" t="n">
        <f aca="false">K63+SUM(AB52:AD63)+SUM(BL63:BN63)</f>
        <v>76</v>
      </c>
      <c r="DE63" s="1" t="n">
        <f aca="false">L63+SUM(AE52:AE63)+BO63</f>
        <v>0</v>
      </c>
      <c r="DF63" s="69" t="n">
        <f aca="false">M63+SUM(AG52:AG63)+BQ63</f>
        <v>24</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0</v>
      </c>
      <c r="C64" s="172" t="n">
        <f aca="false">SUM(TblConstr[[#This Row],[Tot Hom]:[Tot Doc]])</f>
        <v>574</v>
      </c>
      <c r="D64" s="172" t="n">
        <f aca="false">SUM(O53:AG64)</f>
        <v>126</v>
      </c>
      <c r="E64" s="173"/>
      <c r="F64" s="33" t="n">
        <f aca="false">TblConstr[[#This Row],[Barren]]+TblConstr[[#This Row],[Buildings]]+TblConstr[[#This Row],[Incoming]]</f>
        <v>700</v>
      </c>
      <c r="G64" s="199" t="n">
        <f aca="false">OFFSET(TblConstr[[#This Row],[Plain]],-1,0)+TblConstr[[#This Row],[Ch_Plain]]</f>
        <v>0</v>
      </c>
      <c r="H64" s="193" t="n">
        <f aca="false">OFFSET(TblConstr[[#This Row],[Forest]],-1,0)+TblConstr[[#This Row],[Ch_Forest]]</f>
        <v>0</v>
      </c>
      <c r="I64" s="200" t="n">
        <f aca="false">OFFSET(TblConstr[[#This Row],[Mountain]],-1,0)+TblConstr[[#This Row],[Ch_Mountain]]</f>
        <v>0</v>
      </c>
      <c r="J64" s="201" t="n">
        <f aca="false">OFFSET(TblConstr[[#This Row],[Hill]],-1,0)+TblConstr[[#This Row],[Ch_Hill]]</f>
        <v>0</v>
      </c>
      <c r="K64" s="202" t="n">
        <f aca="false">OFFSET(TblConstr[[#This Row],[Swamp]],-1,0)+TblConstr[[#This Row],[Ch_Swamp]]</f>
        <v>0</v>
      </c>
      <c r="L64" s="197" t="n">
        <f aca="false">OFFSET(TblConstr[[#This Row],[Cavern]],-1,0)+TblConstr[[#This Row],[Ch_Cavern]]</f>
        <v>0</v>
      </c>
      <c r="M64" s="198" t="n">
        <f aca="false">OFFSET(TblConstr[[#This Row],[Water]],-1,0)+TblConstr[[#This Row],[Ch_Water]]</f>
        <v>0</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0.0885714285714286</v>
      </c>
      <c r="AJ64" s="130" t="n">
        <f aca="false">MIN(25%,(TblConstr[[#This Row],[Tot Fac]]+TblConstr[[#This Row],[Dest Fac]])/TblConstr[[#This Row],[Land]])</f>
        <v>0.0885714285714286</v>
      </c>
      <c r="AK64" s="69" t="n">
        <f aca="false">TblProd[[#This Row],[Platinum]]</f>
        <v>4808</v>
      </c>
      <c r="AL64" s="69" t="n">
        <f aca="false">TblProd[[#This Row],[Lumber]]</f>
        <v>4456</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645</v>
      </c>
      <c r="AN64" s="69" t="n">
        <f aca="false">ROUNDDOWN( MAX(1 - MIN(facs_constr_factor*TblConstr[[#This Row],[Facs -DB]],facs_constr_max) + tech_1_11*TblTech[[#This Row],[11-1]] + tech_6_3_2*TblTech[[#This Row],[6-3]] + tech_5_2_3*TblTech[[#This Row],[5-2]], 1-global_constr_cap) * TblConstr[[#This Row],[RCPA Lumber]],0)</f>
        <v>120</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645</v>
      </c>
      <c r="AP64" s="69" t="n">
        <f aca="false">ROUNDDOWN( MAX(1 - MIN(facs_constr_factor*TblConstr[[#This Row],[Facs DB]],facs_constr_max) + tech_1_11*TblTech[[#This Row],[1-11]] + tech_6_3_2*TblTech[[#This Row],[6-3]] + tech_5_2_3*TblTech[[#This Row],[5-2]], 1-global_constr_cap) * ROUND((TblConstr[[#This Row],[Land]]-250)*0.285 + 87.5 + 0/4.25,0),0)</f>
        <v>120</v>
      </c>
      <c r="AQ64" s="1" t="n">
        <f aca="false">TblConstr[[#This Row],[build -db]]*TblConstr[[#This Row],[CPA Platinum -DB]] + TblConstr[[#This Row],[build db]]*TblConstr[[#This Row],[CPA Platinum DB]]</f>
        <v>32250</v>
      </c>
      <c r="AR64" s="1" t="n">
        <f aca="false">TblConstr[[#This Row],[build -db]]*TblConstr[[#This Row],[CPA Lumber -DB]]+TblConstr[[#This Row],[build db]]*TblConstr[[#This Row],[CPA Lumber DB]]</f>
        <v>6000</v>
      </c>
      <c r="AS64" s="69" t="n">
        <f aca="false">MIN(SUM(OFFSET(TblConstr[[#This Row],[Plain]:[Water]],-1,0))+SUM(TblConstr[[#This Row],[Dest Hom]:[Dest Doc]])+IF(TblConstr[[#This Row],[Hour]]&gt;12,SUM(OFFSET(TblExplore[[#This Row],[Plains Explore]:[Water Explore]],-12,0)),0),SUM(TblConstr[[#This Row],[Hom]:[Doc]]))</f>
        <v>50</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1413</v>
      </c>
      <c r="AW64" s="69" t="n">
        <f aca="false">ROUND((TblConstr[[#This Row],[Land]]-250 - IF(TblExplore[[#This Row],[Land Bonus]]&lt;&gt;0,20,0))*0.285 + 87.5 + 0/4.25,0)</f>
        <v>216</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700</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430</v>
      </c>
      <c r="DA64" s="69" t="n">
        <f aca="false">H64+SUM(T53:U64)+SUM(BD64:BE64)</f>
        <v>25</v>
      </c>
      <c r="DB64" s="1" t="n">
        <f aca="false">I64+SUM(V53:W64)+SUM(BF64:BG64)</f>
        <v>0</v>
      </c>
      <c r="DC64" s="69" t="n">
        <f aca="false">J64+SUM(X53:Y64)+SUM(BH64:BI64)</f>
        <v>67</v>
      </c>
      <c r="DD64" s="69" t="n">
        <f aca="false">K64+SUM(AB53:AD64)+SUM(BL64:BN64)</f>
        <v>76</v>
      </c>
      <c r="DE64" s="1" t="n">
        <f aca="false">L64+SUM(AE53:AE64)+BO64</f>
        <v>0</v>
      </c>
      <c r="DF64" s="69" t="n">
        <f aca="false">M64+SUM(AG53:AG64)+BQ64</f>
        <v>24</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0</v>
      </c>
      <c r="C65" s="172" t="n">
        <f aca="false">SUM(TblConstr[[#This Row],[Tot Hom]:[Tot Doc]])</f>
        <v>582</v>
      </c>
      <c r="D65" s="172" t="n">
        <f aca="false">SUM(O54:AG65)</f>
        <v>118</v>
      </c>
      <c r="E65" s="173"/>
      <c r="F65" s="33" t="n">
        <f aca="false">TblConstr[[#This Row],[Barren]]+TblConstr[[#This Row],[Buildings]]+TblConstr[[#This Row],[Incoming]]</f>
        <v>700</v>
      </c>
      <c r="G65" s="199" t="n">
        <f aca="false">OFFSET(TblConstr[[#This Row],[Plain]],-1,0)+TblConstr[[#This Row],[Ch_Plain]]</f>
        <v>0</v>
      </c>
      <c r="H65" s="193" t="n">
        <f aca="false">OFFSET(TblConstr[[#This Row],[Forest]],-1,0)+TblConstr[[#This Row],[Ch_Forest]]</f>
        <v>0</v>
      </c>
      <c r="I65" s="200" t="n">
        <f aca="false">OFFSET(TblConstr[[#This Row],[Mountain]],-1,0)+TblConstr[[#This Row],[Ch_Mountain]]</f>
        <v>0</v>
      </c>
      <c r="J65" s="201" t="n">
        <f aca="false">OFFSET(TblConstr[[#This Row],[Hill]],-1,0)+TblConstr[[#This Row],[Ch_Hill]]</f>
        <v>0</v>
      </c>
      <c r="K65" s="202" t="n">
        <f aca="false">OFFSET(TblConstr[[#This Row],[Swamp]],-1,0)+TblConstr[[#This Row],[Ch_Swamp]]</f>
        <v>0</v>
      </c>
      <c r="L65" s="197" t="n">
        <f aca="false">OFFSET(TblConstr[[#This Row],[Cavern]],-1,0)+TblConstr[[#This Row],[Ch_Cavern]]</f>
        <v>0</v>
      </c>
      <c r="M65" s="198" t="n">
        <f aca="false">OFFSET(TblConstr[[#This Row],[Water]],-1,0)+TblConstr[[#This Row],[Ch_Water]]</f>
        <v>0</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0.0171428571428571</v>
      </c>
      <c r="AJ65" s="130" t="n">
        <f aca="false">MIN(25%,(TblConstr[[#This Row],[Tot Fac]]+TblConstr[[#This Row],[Dest Fac]])/TblConstr[[#This Row],[Land]])</f>
        <v>0.0171428571428571</v>
      </c>
      <c r="AK65" s="69" t="n">
        <f aca="false">TblProd[[#This Row],[Platinum]]</f>
        <v>47244</v>
      </c>
      <c r="AL65" s="69" t="n">
        <f aca="false">TblProd[[#This Row],[Lumber]]</f>
        <v>4551</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1150</v>
      </c>
      <c r="AN65" s="69" t="n">
        <f aca="false">ROUNDDOWN( MAX(1 - MIN(facs_constr_factor*TblConstr[[#This Row],[Facs -DB]],facs_constr_max) + tech_1_11*TblTech[[#This Row],[11-1]] + tech_6_3_2*TblTech[[#This Row],[6-3]] + tech_5_2_3*TblTech[[#This Row],[5-2]], 1-global_constr_cap) * TblConstr[[#This Row],[RCPA Lumber]],0)</f>
        <v>197</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1150</v>
      </c>
      <c r="AP65" s="69" t="n">
        <f aca="false">ROUNDDOWN( MAX(1 - MIN(facs_constr_factor*TblConstr[[#This Row],[Facs DB]],facs_constr_max) + tech_1_11*TblTech[[#This Row],[1-11]] + tech_6_3_2*TblTech[[#This Row],[6-3]] + tech_5_2_3*TblTech[[#This Row],[5-2]], 1-global_constr_cap) * ROUND((TblConstr[[#This Row],[Land]]-250)*0.285 + 87.5 + 0/4.25,0),0)</f>
        <v>197</v>
      </c>
      <c r="AQ65" s="1" t="n">
        <f aca="false">TblConstr[[#This Row],[build -db]]*TblConstr[[#This Row],[CPA Platinum -DB]] + TblConstr[[#This Row],[build db]]*TblConstr[[#This Row],[CPA Platinum DB]]</f>
        <v>5750</v>
      </c>
      <c r="AR65" s="1" t="n">
        <f aca="false">TblConstr[[#This Row],[build -db]]*TblConstr[[#This Row],[CPA Lumber -DB]]+TblConstr[[#This Row],[build db]]*TblConstr[[#This Row],[CPA Lumber DB]]</f>
        <v>985</v>
      </c>
      <c r="AS65" s="69" t="n">
        <f aca="false">MIN(SUM(OFFSET(TblConstr[[#This Row],[Plain]:[Water]],-1,0))+SUM(TblConstr[[#This Row],[Dest Hom]:[Dest Doc]])+IF(TblConstr[[#This Row],[Hour]]&gt;12,SUM(OFFSET(TblExplore[[#This Row],[Plains Explore]:[Water Explore]],-12,0)),0),SUM(TblConstr[[#This Row],[Hom]:[Doc]]))</f>
        <v>5</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1413</v>
      </c>
      <c r="AW65" s="69" t="n">
        <f aca="false">ROUND((TblConstr[[#This Row],[Land]]-250 - IF(TblExplore[[#This Row],[Land Bonus]]&lt;&gt;0,20,0))*0.285 + 87.5 + 0/4.25,0)</f>
        <v>216</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700</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430</v>
      </c>
      <c r="DA65" s="69" t="n">
        <f aca="false">H65+SUM(T54:U65)+SUM(BD65:BE65)</f>
        <v>25</v>
      </c>
      <c r="DB65" s="1" t="n">
        <f aca="false">I65+SUM(V54:W65)+SUM(BF65:BG65)</f>
        <v>0</v>
      </c>
      <c r="DC65" s="69" t="n">
        <f aca="false">J65+SUM(X54:Y65)+SUM(BH65:BI65)</f>
        <v>62</v>
      </c>
      <c r="DD65" s="69" t="n">
        <f aca="false">K65+SUM(AB54:AD65)+SUM(BL65:BN65)</f>
        <v>76</v>
      </c>
      <c r="DE65" s="1" t="n">
        <f aca="false">L65+SUM(AE54:AE65)+BO65</f>
        <v>0</v>
      </c>
      <c r="DF65" s="69" t="n">
        <f aca="false">M65+SUM(AG54:AG65)+BQ65</f>
        <v>24</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0</v>
      </c>
      <c r="C66" s="172" t="n">
        <f aca="false">SUM(TblConstr[[#This Row],[Tot Hom]:[Tot Doc]])</f>
        <v>591</v>
      </c>
      <c r="D66" s="172" t="n">
        <f aca="false">SUM(O55:AG66)</f>
        <v>109</v>
      </c>
      <c r="E66" s="173"/>
      <c r="F66" s="33" t="n">
        <f aca="false">TblConstr[[#This Row],[Barren]]+TblConstr[[#This Row],[Buildings]]+TblConstr[[#This Row],[Incoming]]</f>
        <v>700</v>
      </c>
      <c r="G66" s="199" t="n">
        <f aca="false">OFFSET(TblConstr[[#This Row],[Plain]],-1,0)+TblConstr[[#This Row],[Ch_Plain]]</f>
        <v>0</v>
      </c>
      <c r="H66" s="193" t="n">
        <f aca="false">OFFSET(TblConstr[[#This Row],[Forest]],-1,0)+TblConstr[[#This Row],[Ch_Forest]]</f>
        <v>0</v>
      </c>
      <c r="I66" s="200" t="n">
        <f aca="false">OFFSET(TblConstr[[#This Row],[Mountain]],-1,0)+TblConstr[[#This Row],[Ch_Mountain]]</f>
        <v>0</v>
      </c>
      <c r="J66" s="201" t="n">
        <f aca="false">OFFSET(TblConstr[[#This Row],[Hill]],-1,0)+TblConstr[[#This Row],[Ch_Hill]]</f>
        <v>0</v>
      </c>
      <c r="K66" s="202" t="n">
        <f aca="false">OFFSET(TblConstr[[#This Row],[Swamp]],-1,0)+TblConstr[[#This Row],[Ch_Swamp]]</f>
        <v>0</v>
      </c>
      <c r="L66" s="197" t="n">
        <f aca="false">OFFSET(TblConstr[[#This Row],[Cavern]],-1,0)+TblConstr[[#This Row],[Ch_Cavern]]</f>
        <v>0</v>
      </c>
      <c r="M66" s="198" t="n">
        <f aca="false">OFFSET(TblConstr[[#This Row],[Water]],-1,0)+TblConstr[[#This Row],[Ch_Water]]</f>
        <v>0</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v>
      </c>
      <c r="AJ66" s="130" t="n">
        <f aca="false">MIN(25%,(TblConstr[[#This Row],[Tot Fac]]+TblConstr[[#This Row],[Dest Fac]])/TblConstr[[#This Row],[Land]])</f>
        <v>0.01</v>
      </c>
      <c r="AK66" s="69" t="n">
        <f aca="false">TblProd[[#This Row],[Platinum]]</f>
        <v>89119</v>
      </c>
      <c r="AL66" s="69" t="n">
        <f aca="false">TblProd[[#This Row],[Lumber]]</f>
        <v>4605</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1201</v>
      </c>
      <c r="AN66" s="69" t="n">
        <f aca="false">ROUNDDOWN( MAX(1 - MIN(facs_constr_factor*TblConstr[[#This Row],[Facs -DB]],facs_constr_max) + tech_1_11*TblTech[[#This Row],[11-1]] + tech_6_3_2*TblTech[[#This Row],[6-3]] + tech_5_2_3*TblTech[[#This Row],[5-2]], 1-global_constr_cap) * TblConstr[[#This Row],[RCPA Lumber]],0)</f>
        <v>205</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1201</v>
      </c>
      <c r="AP66" s="69" t="n">
        <f aca="false">ROUNDDOWN( MAX(1 - MIN(facs_constr_factor*TblConstr[[#This Row],[Facs DB]],facs_constr_max) + tech_1_11*TblTech[[#This Row],[1-11]] + tech_6_3_2*TblTech[[#This Row],[6-3]] + tech_5_2_3*TblTech[[#This Row],[5-2]], 1-global_constr_cap) * ROUND((TblConstr[[#This Row],[Land]]-250)*0.285 + 87.5 + 0/4.25,0),0)</f>
        <v>205</v>
      </c>
      <c r="AQ66" s="1" t="n">
        <f aca="false">TblConstr[[#This Row],[build -db]]*TblConstr[[#This Row],[CPA Platinum -DB]] + TblConstr[[#This Row],[build db]]*TblConstr[[#This Row],[CPA Platinum DB]]</f>
        <v>6005</v>
      </c>
      <c r="AR66" s="1" t="n">
        <f aca="false">TblConstr[[#This Row],[build -db]]*TblConstr[[#This Row],[CPA Lumber -DB]]+TblConstr[[#This Row],[build db]]*TblConstr[[#This Row],[CPA Lumber DB]]</f>
        <v>1025</v>
      </c>
      <c r="AS66" s="69" t="n">
        <f aca="false">MIN(SUM(OFFSET(TblConstr[[#This Row],[Plain]:[Water]],-1,0))+SUM(TblConstr[[#This Row],[Dest Hom]:[Dest Doc]])+IF(TblConstr[[#This Row],[Hour]]&gt;12,SUM(OFFSET(TblExplore[[#This Row],[Plains Explore]:[Water Explore]],-12,0)),0),SUM(TblConstr[[#This Row],[Hom]:[Doc]]))</f>
        <v>5</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1413</v>
      </c>
      <c r="AW66" s="69" t="n">
        <f aca="false">ROUND((TblConstr[[#This Row],[Land]]-250 - IF(TblExplore[[#This Row],[Land Bonus]]&lt;&gt;0,20,0))*0.285 + 87.5 + 0/4.25,0)</f>
        <v>216</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700</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430</v>
      </c>
      <c r="DA66" s="69" t="n">
        <f aca="false">H66+SUM(T55:U66)+SUM(BD66:BE66)</f>
        <v>25</v>
      </c>
      <c r="DB66" s="1" t="n">
        <f aca="false">I66+SUM(V55:W66)+SUM(BF66:BG66)</f>
        <v>0</v>
      </c>
      <c r="DC66" s="69" t="n">
        <f aca="false">J66+SUM(X55:Y66)+SUM(BH66:BI66)</f>
        <v>57</v>
      </c>
      <c r="DD66" s="69" t="n">
        <f aca="false">K66+SUM(AB55:AD66)+SUM(BL66:BN66)</f>
        <v>76</v>
      </c>
      <c r="DE66" s="1" t="n">
        <f aca="false">L66+SUM(AE55:AE66)+BO66</f>
        <v>0</v>
      </c>
      <c r="DF66" s="69" t="n">
        <f aca="false">M66+SUM(AG55:AG66)+BQ66</f>
        <v>24</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0</v>
      </c>
      <c r="C67" s="172" t="n">
        <f aca="false">SUM(TblConstr[[#This Row],[Tot Hom]:[Tot Doc]])</f>
        <v>602</v>
      </c>
      <c r="D67" s="172" t="n">
        <f aca="false">SUM(O56:AG67)</f>
        <v>98</v>
      </c>
      <c r="E67" s="173"/>
      <c r="F67" s="33" t="n">
        <f aca="false">TblConstr[[#This Row],[Barren]]+TblConstr[[#This Row],[Buildings]]+TblConstr[[#This Row],[Incoming]]</f>
        <v>700</v>
      </c>
      <c r="G67" s="199" t="n">
        <f aca="false">OFFSET(TblConstr[[#This Row],[Plain]],-1,0)+TblConstr[[#This Row],[Ch_Plain]]</f>
        <v>0</v>
      </c>
      <c r="H67" s="193" t="n">
        <f aca="false">OFFSET(TblConstr[[#This Row],[Forest]],-1,0)+TblConstr[[#This Row],[Ch_Forest]]</f>
        <v>0</v>
      </c>
      <c r="I67" s="200" t="n">
        <f aca="false">OFFSET(TblConstr[[#This Row],[Mountain]],-1,0)+TblConstr[[#This Row],[Ch_Mountain]]</f>
        <v>0</v>
      </c>
      <c r="J67" s="201" t="n">
        <f aca="false">OFFSET(TblConstr[[#This Row],[Hill]],-1,0)+TblConstr[[#This Row],[Ch_Hill]]</f>
        <v>0</v>
      </c>
      <c r="K67" s="202" t="n">
        <f aca="false">OFFSET(TblConstr[[#This Row],[Swamp]],-1,0)+TblConstr[[#This Row],[Ch_Swamp]]</f>
        <v>0</v>
      </c>
      <c r="L67" s="197" t="n">
        <f aca="false">OFFSET(TblConstr[[#This Row],[Cavern]],-1,0)+TblConstr[[#This Row],[Ch_Cavern]]</f>
        <v>0</v>
      </c>
      <c r="M67" s="198" t="n">
        <f aca="false">OFFSET(TblConstr[[#This Row],[Water]],-1,0)+TblConstr[[#This Row],[Ch_Water]]</f>
        <v>0</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0.00285714285714286</v>
      </c>
      <c r="AJ67" s="130" t="n">
        <f aca="false">MIN(25%,(TblConstr[[#This Row],[Tot Fac]]+TblConstr[[#This Row],[Dest Fac]])/TblConstr[[#This Row],[Land]])</f>
        <v>0.00285714285714286</v>
      </c>
      <c r="AK67" s="69" t="n">
        <f aca="false">TblProd[[#This Row],[Platinum]]</f>
        <v>-14</v>
      </c>
      <c r="AL67" s="69" t="n">
        <f aca="false">TblProd[[#This Row],[Lumber]]</f>
        <v>5260</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1251</v>
      </c>
      <c r="AN67" s="69" t="n">
        <f aca="false">ROUNDDOWN( MAX(1 - MIN(facs_constr_factor*TblConstr[[#This Row],[Facs -DB]],facs_constr_max) + tech_1_11*TblTech[[#This Row],[11-1]] + tech_6_3_2*TblTech[[#This Row],[6-3]] + tech_5_2_3*TblTech[[#This Row],[5-2]], 1-global_constr_cap) * TblConstr[[#This Row],[RCPA Lumber]],0)</f>
        <v>212</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1251</v>
      </c>
      <c r="AP67" s="69" t="n">
        <f aca="false">ROUNDDOWN( MAX(1 - MIN(facs_constr_factor*TblConstr[[#This Row],[Facs DB]],facs_constr_max) + tech_1_11*TblTech[[#This Row],[1-11]] + tech_6_3_2*TblTech[[#This Row],[6-3]] + tech_5_2_3*TblTech[[#This Row],[5-2]], 1-global_constr_cap) * ROUND((TblConstr[[#This Row],[Land]]-250)*0.285 + 87.5 + 0/4.25,0),0)</f>
        <v>212</v>
      </c>
      <c r="AQ67" s="1" t="n">
        <f aca="false">TblConstr[[#This Row],[build -db]]*TblConstr[[#This Row],[CPA Platinum -DB]] + TblConstr[[#This Row],[build db]]*TblConstr[[#This Row],[CPA Platinum DB]]</f>
        <v>2502</v>
      </c>
      <c r="AR67" s="1" t="n">
        <f aca="false">TblConstr[[#This Row],[build -db]]*TblConstr[[#This Row],[CPA Lumber -DB]]+TblConstr[[#This Row],[build db]]*TblConstr[[#This Row],[CPA Lumber DB]]</f>
        <v>424</v>
      </c>
      <c r="AS67" s="69" t="n">
        <f aca="false">MIN(SUM(OFFSET(TblConstr[[#This Row],[Plain]:[Water]],-1,0))+SUM(TblConstr[[#This Row],[Dest Hom]:[Dest Doc]])+IF(TblConstr[[#This Row],[Hour]]&gt;12,SUM(OFFSET(TblExplore[[#This Row],[Plains Explore]:[Water Explore]],-12,0)),0),SUM(TblConstr[[#This Row],[Hom]:[Doc]]))</f>
        <v>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1413</v>
      </c>
      <c r="AW67" s="69" t="n">
        <f aca="false">ROUND((TblConstr[[#This Row],[Land]]-250 - IF(TblExplore[[#This Row],[Land Bonus]]&lt;&gt;0,20,0))*0.285 + 87.5 + 0/4.25,0)</f>
        <v>216</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700</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430</v>
      </c>
      <c r="DA67" s="69" t="n">
        <f aca="false">H67+SUM(T56:U67)+SUM(BD67:BE67)</f>
        <v>25</v>
      </c>
      <c r="DB67" s="1" t="n">
        <f aca="false">I67+SUM(V56:W67)+SUM(BF67:BG67)</f>
        <v>0</v>
      </c>
      <c r="DC67" s="69" t="n">
        <f aca="false">J67+SUM(X56:Y67)+SUM(BH67:BI67)</f>
        <v>55</v>
      </c>
      <c r="DD67" s="69" t="n">
        <f aca="false">K67+SUM(AB56:AD67)+SUM(BL67:BN67)</f>
        <v>76</v>
      </c>
      <c r="DE67" s="1" t="n">
        <f aca="false">L67+SUM(AE56:AE67)+BO67</f>
        <v>0</v>
      </c>
      <c r="DF67" s="69" t="n">
        <f aca="false">M67+SUM(AG56:AG67)+BQ67</f>
        <v>24</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0</v>
      </c>
      <c r="C68" s="172" t="n">
        <f aca="false">SUM(TblConstr[[#This Row],[Tot Hom]:[Tot Doc]])</f>
        <v>613</v>
      </c>
      <c r="D68" s="172" t="n">
        <f aca="false">SUM(O57:AG68)</f>
        <v>87</v>
      </c>
      <c r="E68" s="173"/>
      <c r="F68" s="33" t="n">
        <f aca="false">TblConstr[[#This Row],[Barren]]+TblConstr[[#This Row],[Buildings]]+TblConstr[[#This Row],[Incoming]]</f>
        <v>700</v>
      </c>
      <c r="G68" s="199" t="n">
        <f aca="false">OFFSET(TblConstr[[#This Row],[Plain]],-1,0)+TblConstr[[#This Row],[Ch_Plain]]</f>
        <v>0</v>
      </c>
      <c r="H68" s="193" t="n">
        <f aca="false">OFFSET(TblConstr[[#This Row],[Forest]],-1,0)+TblConstr[[#This Row],[Ch_Forest]]</f>
        <v>0</v>
      </c>
      <c r="I68" s="200" t="n">
        <f aca="false">OFFSET(TblConstr[[#This Row],[Mountain]],-1,0)+TblConstr[[#This Row],[Ch_Mountain]]</f>
        <v>0</v>
      </c>
      <c r="J68" s="201" t="n">
        <f aca="false">OFFSET(TblConstr[[#This Row],[Hill]],-1,0)+TblConstr[[#This Row],[Ch_Hill]]</f>
        <v>0</v>
      </c>
      <c r="K68" s="202" t="n">
        <f aca="false">OFFSET(TblConstr[[#This Row],[Swamp]],-1,0)+TblConstr[[#This Row],[Ch_Swamp]]</f>
        <v>0</v>
      </c>
      <c r="L68" s="197" t="n">
        <f aca="false">OFFSET(TblConstr[[#This Row],[Cavern]],-1,0)+TblConstr[[#This Row],[Ch_Cavern]]</f>
        <v>0</v>
      </c>
      <c r="M68" s="198" t="n">
        <f aca="false">OFFSET(TblConstr[[#This Row],[Water]],-1,0)+TblConstr[[#This Row],[Ch_Water]]</f>
        <v>0</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28906</v>
      </c>
      <c r="AL68" s="69" t="n">
        <f aca="false">TblProd[[#This Row],[Lumber]]</f>
        <v>6332</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8" s="69" t="n">
        <f aca="false">ROUNDDOWN( MAX(1 - MIN(facs_constr_factor*TblConstr[[#This Row],[Facs -DB]],facs_constr_max) + tech_1_11*TblTech[[#This Row],[11-1]] + tech_6_3_2*TblTech[[#This Row],[6-3]] + tech_5_2_3*TblTech[[#This Row],[5-2]], 1-global_constr_cap) * TblConstr[[#This Row],[RCPA Lumber]],0)</f>
        <v>216</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8" s="69" t="n">
        <f aca="false">ROUNDDOWN( MAX(1 - MIN(facs_constr_factor*TblConstr[[#This Row],[Facs DB]],facs_constr_max) + tech_1_11*TblTech[[#This Row],[1-11]] + tech_6_3_2*TblTech[[#This Row],[6-3]] + tech_5_2_3*TblTech[[#This Row],[5-2]], 1-global_constr_cap) * ROUND((TblConstr[[#This Row],[Land]]-250)*0.285 + 87.5 + 0/4.25,0),0)</f>
        <v>216</v>
      </c>
      <c r="AQ68" s="1" t="n">
        <f aca="false">TblConstr[[#This Row],[build -db]]*TblConstr[[#This Row],[CPA Platinum -DB]] + TblConstr[[#This Row],[build db]]*TblConstr[[#This Row],[CPA Platinum DB]]</f>
        <v>0</v>
      </c>
      <c r="AR68" s="1" t="n">
        <f aca="false">TblConstr[[#This Row],[build -db]]*TblConstr[[#This Row],[CPA Lumber -DB]]+TblConstr[[#This Row],[build db]]*TblConstr[[#This Row],[CPA Lumber DB]]</f>
        <v>0</v>
      </c>
      <c r="AS68" s="69" t="n">
        <f aca="false">MIN(SUM(OFFSET(TblConstr[[#This Row],[Plain]:[Water]],-1,0))+SUM(TblConstr[[#This Row],[Dest Hom]:[Dest Doc]])+IF(TblConstr[[#This Row],[Hour]]&gt;12,SUM(OFFSET(TblExplore[[#This Row],[Plains Explore]:[Water Explore]],-12,0)),0),SUM(TblConstr[[#This Row],[Hom]:[Doc]]))</f>
        <v>0</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1413</v>
      </c>
      <c r="AW68" s="69" t="n">
        <f aca="false">ROUND((TblConstr[[#This Row],[Land]]-250 - IF(TblExplore[[#This Row],[Land Bonus]]&lt;&gt;0,20,0))*0.285 + 87.5 + 0/4.25,0)</f>
        <v>216</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700</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430</v>
      </c>
      <c r="DA68" s="69" t="n">
        <f aca="false">H68+SUM(T57:U68)+SUM(BD68:BE68)</f>
        <v>25</v>
      </c>
      <c r="DB68" s="1" t="n">
        <f aca="false">I68+SUM(V57:W68)+SUM(BF68:BG68)</f>
        <v>0</v>
      </c>
      <c r="DC68" s="69" t="n">
        <f aca="false">J68+SUM(X57:Y68)+SUM(BH68:BI68)</f>
        <v>55</v>
      </c>
      <c r="DD68" s="69" t="n">
        <f aca="false">K68+SUM(AB57:AD68)+SUM(BL68:BN68)</f>
        <v>76</v>
      </c>
      <c r="DE68" s="1" t="n">
        <f aca="false">L68+SUM(AE57:AE68)+BO68</f>
        <v>0</v>
      </c>
      <c r="DF68" s="69" t="n">
        <f aca="false">M68+SUM(AG57:AG68)+BQ68</f>
        <v>24</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0</v>
      </c>
      <c r="C69" s="172" t="n">
        <f aca="false">SUM(TblConstr[[#This Row],[Tot Hom]:[Tot Doc]])</f>
        <v>625</v>
      </c>
      <c r="D69" s="172" t="n">
        <f aca="false">SUM(O58:AG69)</f>
        <v>75</v>
      </c>
      <c r="E69" s="173"/>
      <c r="F69" s="33" t="n">
        <f aca="false">TblConstr[[#This Row],[Barren]]+TblConstr[[#This Row],[Buildings]]+TblConstr[[#This Row],[Incoming]]</f>
        <v>700</v>
      </c>
      <c r="G69" s="199" t="n">
        <f aca="false">OFFSET(TblConstr[[#This Row],[Plain]],-1,0)+TblConstr[[#This Row],[Ch_Plain]]</f>
        <v>0</v>
      </c>
      <c r="H69" s="193" t="n">
        <f aca="false">OFFSET(TblConstr[[#This Row],[Forest]],-1,0)+TblConstr[[#This Row],[Ch_Forest]]</f>
        <v>0</v>
      </c>
      <c r="I69" s="200" t="n">
        <f aca="false">OFFSET(TblConstr[[#This Row],[Mountain]],-1,0)+TblConstr[[#This Row],[Ch_Mountain]]</f>
        <v>0</v>
      </c>
      <c r="J69" s="201" t="n">
        <f aca="false">OFFSET(TblConstr[[#This Row],[Hill]],-1,0)+TblConstr[[#This Row],[Ch_Hill]]</f>
        <v>0</v>
      </c>
      <c r="K69" s="202" t="n">
        <f aca="false">OFFSET(TblConstr[[#This Row],[Swamp]],-1,0)+TblConstr[[#This Row],[Ch_Swamp]]</f>
        <v>0</v>
      </c>
      <c r="L69" s="197" t="n">
        <f aca="false">OFFSET(TblConstr[[#This Row],[Cavern]],-1,0)+TblConstr[[#This Row],[Ch_Cavern]]</f>
        <v>0</v>
      </c>
      <c r="M69" s="198" t="n">
        <f aca="false">OFFSET(TblConstr[[#This Row],[Water]],-1,0)+TblConstr[[#This Row],[Ch_Water]]</f>
        <v>0</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57978</v>
      </c>
      <c r="AL69" s="69" t="n">
        <f aca="false">TblProd[[#This Row],[Lumber]]</f>
        <v>7394</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9" s="69" t="n">
        <f aca="false">ROUNDDOWN( MAX(1 - MIN(facs_constr_factor*TblConstr[[#This Row],[Facs -DB]],facs_constr_max) + tech_1_11*TblTech[[#This Row],[11-1]] + tech_6_3_2*TblTech[[#This Row],[6-3]] + tech_5_2_3*TblTech[[#This Row],[5-2]], 1-global_constr_cap) * TblConstr[[#This Row],[RCPA Lumber]],0)</f>
        <v>216</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9" s="69" t="n">
        <f aca="false">ROUNDDOWN( MAX(1 - MIN(facs_constr_factor*TblConstr[[#This Row],[Facs DB]],facs_constr_max) + tech_1_11*TblTech[[#This Row],[1-11]] + tech_6_3_2*TblTech[[#This Row],[6-3]] + tech_5_2_3*TblTech[[#This Row],[5-2]], 1-global_constr_cap) * ROUND((TblConstr[[#This Row],[Land]]-250)*0.285 + 87.5 + 0/4.25,0),0)</f>
        <v>216</v>
      </c>
      <c r="AQ69" s="1" t="n">
        <f aca="false">TblConstr[[#This Row],[build -db]]*TblConstr[[#This Row],[CPA Platinum -DB]] + TblConstr[[#This Row],[build db]]*TblConstr[[#This Row],[CPA Platinum DB]]</f>
        <v>0</v>
      </c>
      <c r="AR69" s="1" t="n">
        <f aca="false">TblConstr[[#This Row],[build -db]]*TblConstr[[#This Row],[CPA Lumber -DB]]+TblConstr[[#This Row],[build db]]*TblConstr[[#This Row],[CPA Lumber DB]]</f>
        <v>0</v>
      </c>
      <c r="AS69" s="69" t="n">
        <f aca="false">MIN(SUM(OFFSET(TblConstr[[#This Row],[Plain]:[Water]],-1,0))+SUM(TblConstr[[#This Row],[Dest Hom]:[Dest Doc]])+IF(TblConstr[[#This Row],[Hour]]&gt;12,SUM(OFFSET(TblExplore[[#This Row],[Plains Explore]:[Water Explore]],-12,0)),0),SUM(TblConstr[[#This Row],[Hom]:[Doc]]))</f>
        <v>0</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1413</v>
      </c>
      <c r="AW69" s="69" t="n">
        <f aca="false">ROUND((TblConstr[[#This Row],[Land]]-250 - IF(TblExplore[[#This Row],[Land Bonus]]&lt;&gt;0,20,0))*0.285 + 87.5 + 0/4.25,0)</f>
        <v>216</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700</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430</v>
      </c>
      <c r="DA69" s="69" t="n">
        <f aca="false">H69+SUM(T58:U69)+SUM(BD69:BE69)</f>
        <v>25</v>
      </c>
      <c r="DB69" s="1" t="n">
        <f aca="false">I69+SUM(V58:W69)+SUM(BF69:BG69)</f>
        <v>0</v>
      </c>
      <c r="DC69" s="69" t="n">
        <f aca="false">J69+SUM(X58:Y69)+SUM(BH69:BI69)</f>
        <v>55</v>
      </c>
      <c r="DD69" s="69" t="n">
        <f aca="false">K69+SUM(AB58:AD69)+SUM(BL69:BN69)</f>
        <v>76</v>
      </c>
      <c r="DE69" s="1" t="n">
        <f aca="false">L69+SUM(AE58:AE69)+BO69</f>
        <v>0</v>
      </c>
      <c r="DF69" s="69" t="n">
        <f aca="false">M69+SUM(AG58:AG69)+BQ69</f>
        <v>24</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0</v>
      </c>
      <c r="C70" s="172" t="n">
        <f aca="false">SUM(TblConstr[[#This Row],[Tot Hom]:[Tot Doc]])</f>
        <v>633</v>
      </c>
      <c r="D70" s="172" t="n">
        <f aca="false">SUM(O59:AG70)</f>
        <v>67</v>
      </c>
      <c r="E70" s="173"/>
      <c r="F70" s="33" t="n">
        <f aca="false">TblConstr[[#This Row],[Barren]]+TblConstr[[#This Row],[Buildings]]+TblConstr[[#This Row],[Incoming]]</f>
        <v>700</v>
      </c>
      <c r="G70" s="199" t="n">
        <f aca="false">OFFSET(TblConstr[[#This Row],[Plain]],-1,0)+TblConstr[[#This Row],[Ch_Plain]]</f>
        <v>0</v>
      </c>
      <c r="H70" s="193" t="n">
        <f aca="false">OFFSET(TblConstr[[#This Row],[Forest]],-1,0)+TblConstr[[#This Row],[Ch_Forest]]</f>
        <v>0</v>
      </c>
      <c r="I70" s="200" t="n">
        <f aca="false">OFFSET(TblConstr[[#This Row],[Mountain]],-1,0)+TblConstr[[#This Row],[Ch_Mountain]]</f>
        <v>0</v>
      </c>
      <c r="J70" s="201" t="n">
        <f aca="false">OFFSET(TblConstr[[#This Row],[Hill]],-1,0)+TblConstr[[#This Row],[Ch_Hill]]</f>
        <v>0</v>
      </c>
      <c r="K70" s="202" t="n">
        <f aca="false">OFFSET(TblConstr[[#This Row],[Swamp]],-1,0)+TblConstr[[#This Row],[Ch_Swamp]]</f>
        <v>0</v>
      </c>
      <c r="L70" s="197" t="n">
        <f aca="false">OFFSET(TblConstr[[#This Row],[Cavern]],-1,0)+TblConstr[[#This Row],[Ch_Cavern]]</f>
        <v>0</v>
      </c>
      <c r="M70" s="198" t="n">
        <f aca="false">OFFSET(TblConstr[[#This Row],[Water]],-1,0)+TblConstr[[#This Row],[Ch_Water]]</f>
        <v>0</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61403</v>
      </c>
      <c r="AL70" s="69" t="n">
        <f aca="false">TblProd[[#This Row],[Lumber]]</f>
        <v>8445</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0" s="69" t="n">
        <f aca="false">ROUNDDOWN( MAX(1 - MIN(facs_constr_factor*TblConstr[[#This Row],[Facs -DB]],facs_constr_max) + tech_1_11*TblTech[[#This Row],[11-1]] + tech_6_3_2*TblTech[[#This Row],[6-3]] + tech_5_2_3*TblTech[[#This Row],[5-2]], 1-global_constr_cap) * TblConstr[[#This Row],[RCPA Lumber]],0)</f>
        <v>216</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0" s="69" t="n">
        <f aca="false">ROUNDDOWN( MAX(1 - MIN(facs_constr_factor*TblConstr[[#This Row],[Facs DB]],facs_constr_max) + tech_1_11*TblTech[[#This Row],[1-11]] + tech_6_3_2*TblTech[[#This Row],[6-3]] + tech_5_2_3*TblTech[[#This Row],[5-2]], 1-global_constr_cap) * ROUND((TblConstr[[#This Row],[Land]]-250)*0.285 + 87.5 + 0/4.25,0),0)</f>
        <v>216</v>
      </c>
      <c r="AQ70" s="1" t="n">
        <f aca="false">TblConstr[[#This Row],[build -db]]*TblConstr[[#This Row],[CPA Platinum -DB]] + TblConstr[[#This Row],[build db]]*TblConstr[[#This Row],[CPA Platinum DB]]</f>
        <v>0</v>
      </c>
      <c r="AR70" s="1" t="n">
        <f aca="false">TblConstr[[#This Row],[build -db]]*TblConstr[[#This Row],[CPA Lumber -DB]]+TblConstr[[#This Row],[build db]]*TblConstr[[#This Row],[CPA Lumber DB]]</f>
        <v>0</v>
      </c>
      <c r="AS70" s="69" t="n">
        <f aca="false">MIN(SUM(OFFSET(TblConstr[[#This Row],[Plain]:[Water]],-1,0))+SUM(TblConstr[[#This Row],[Dest Hom]:[Dest Doc]])+IF(TblConstr[[#This Row],[Hour]]&gt;12,SUM(OFFSET(TblExplore[[#This Row],[Plains Explore]:[Water Explore]],-12,0)),0),SUM(TblConstr[[#This Row],[Hom]:[Doc]]))</f>
        <v>0</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1413</v>
      </c>
      <c r="AW70" s="69" t="n">
        <f aca="false">ROUND((TblConstr[[#This Row],[Land]]-250 - IF(TblExplore[[#This Row],[Land Bonus]]&lt;&gt;0,20,0))*0.285 + 87.5 + 0/4.25,0)</f>
        <v>216</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700</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430</v>
      </c>
      <c r="DA70" s="69" t="n">
        <f aca="false">H70+SUM(T59:U70)+SUM(BD70:BE70)</f>
        <v>25</v>
      </c>
      <c r="DB70" s="1" t="n">
        <f aca="false">I70+SUM(V59:W70)+SUM(BF70:BG70)</f>
        <v>0</v>
      </c>
      <c r="DC70" s="69" t="n">
        <f aca="false">J70+SUM(X59:Y70)+SUM(BH70:BI70)</f>
        <v>55</v>
      </c>
      <c r="DD70" s="69" t="n">
        <f aca="false">K70+SUM(AB59:AD70)+SUM(BL70:BN70)</f>
        <v>76</v>
      </c>
      <c r="DE70" s="1" t="n">
        <f aca="false">L70+SUM(AE59:AE70)+BO70</f>
        <v>0</v>
      </c>
      <c r="DF70" s="69" t="n">
        <f aca="false">M70+SUM(AG59:AG70)+BQ70</f>
        <v>24</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0</v>
      </c>
      <c r="C71" s="172" t="n">
        <f aca="false">SUM(TblConstr[[#This Row],[Tot Hom]:[Tot Doc]])</f>
        <v>634</v>
      </c>
      <c r="D71" s="172" t="n">
        <f aca="false">SUM(O60:AG71)</f>
        <v>66</v>
      </c>
      <c r="E71" s="173"/>
      <c r="F71" s="33" t="n">
        <f aca="false">TblConstr[[#This Row],[Barren]]+TblConstr[[#This Row],[Buildings]]+TblConstr[[#This Row],[Incoming]]</f>
        <v>700</v>
      </c>
      <c r="G71" s="199" t="n">
        <f aca="false">OFFSET(TblConstr[[#This Row],[Plain]],-1,0)+TblConstr[[#This Row],[Ch_Plain]]</f>
        <v>0</v>
      </c>
      <c r="H71" s="193" t="n">
        <f aca="false">OFFSET(TblConstr[[#This Row],[Forest]],-1,0)+TblConstr[[#This Row],[Ch_Forest]]</f>
        <v>0</v>
      </c>
      <c r="I71" s="200" t="n">
        <f aca="false">OFFSET(TblConstr[[#This Row],[Mountain]],-1,0)+TblConstr[[#This Row],[Ch_Mountain]]</f>
        <v>0</v>
      </c>
      <c r="J71" s="201" t="n">
        <f aca="false">OFFSET(TblConstr[[#This Row],[Hill]],-1,0)+TblConstr[[#This Row],[Ch_Hill]]</f>
        <v>0</v>
      </c>
      <c r="K71" s="202" t="n">
        <f aca="false">OFFSET(TblConstr[[#This Row],[Swamp]],-1,0)+TblConstr[[#This Row],[Ch_Swamp]]</f>
        <v>0</v>
      </c>
      <c r="L71" s="197" t="n">
        <f aca="false">OFFSET(TblConstr[[#This Row],[Cavern]],-1,0)+TblConstr[[#This Row],[Ch_Cavern]]</f>
        <v>0</v>
      </c>
      <c r="M71" s="198" t="n">
        <f aca="false">OFFSET(TblConstr[[#This Row],[Water]],-1,0)+TblConstr[[#This Row],[Ch_Water]]</f>
        <v>0</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68402</v>
      </c>
      <c r="AL71" s="69" t="n">
        <f aca="false">TblProd[[#This Row],[Lumber]]</f>
        <v>9486</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1" s="69" t="n">
        <f aca="false">ROUNDDOWN( MAX(1 - MIN(facs_constr_factor*TblConstr[[#This Row],[Facs -DB]],facs_constr_max) + tech_1_11*TblTech[[#This Row],[11-1]] + tech_6_3_2*TblTech[[#This Row],[6-3]] + tech_5_2_3*TblTech[[#This Row],[5-2]], 1-global_constr_cap) * TblConstr[[#This Row],[RCPA Lumber]],0)</f>
        <v>216</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1" s="69" t="n">
        <f aca="false">ROUNDDOWN( MAX(1 - MIN(facs_constr_factor*TblConstr[[#This Row],[Facs DB]],facs_constr_max) + tech_1_11*TblTech[[#This Row],[1-11]] + tech_6_3_2*TblTech[[#This Row],[6-3]] + tech_5_2_3*TblTech[[#This Row],[5-2]], 1-global_constr_cap) * ROUND((TblConstr[[#This Row],[Land]]-250)*0.285 + 87.5 + 0/4.25,0),0)</f>
        <v>216</v>
      </c>
      <c r="AQ71" s="1" t="n">
        <f aca="false">TblConstr[[#This Row],[build -db]]*TblConstr[[#This Row],[CPA Platinum -DB]] + TblConstr[[#This Row],[build db]]*TblConstr[[#This Row],[CPA Platinum DB]]</f>
        <v>0</v>
      </c>
      <c r="AR71" s="1" t="n">
        <f aca="false">TblConstr[[#This Row],[build -db]]*TblConstr[[#This Row],[CPA Lumber -DB]]+TblConstr[[#This Row],[build db]]*TblConstr[[#This Row],[CPA Lumber DB]]</f>
        <v>0</v>
      </c>
      <c r="AS71" s="69" t="n">
        <f aca="false">MIN(SUM(OFFSET(TblConstr[[#This Row],[Plain]:[Water]],-1,0))+SUM(TblConstr[[#This Row],[Dest Hom]:[Dest Doc]])+IF(TblConstr[[#This Row],[Hour]]&gt;12,SUM(OFFSET(TblExplore[[#This Row],[Plains Explore]:[Water Explore]],-12,0)),0),SUM(TblConstr[[#This Row],[Hom]:[Doc]]))</f>
        <v>0</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1413</v>
      </c>
      <c r="AW71" s="69" t="n">
        <f aca="false">ROUND((TblConstr[[#This Row],[Land]]-250 - IF(TblExplore[[#This Row],[Land Bonus]]&lt;&gt;0,20,0))*0.285 + 87.5 + 0/4.25,0)</f>
        <v>216</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700</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430</v>
      </c>
      <c r="DA71" s="69" t="n">
        <f aca="false">H71+SUM(T60:U71)+SUM(BD71:BE71)</f>
        <v>25</v>
      </c>
      <c r="DB71" s="1" t="n">
        <f aca="false">I71+SUM(V60:W71)+SUM(BF71:BG71)</f>
        <v>0</v>
      </c>
      <c r="DC71" s="69" t="n">
        <f aca="false">J71+SUM(X60:Y71)+SUM(BH71:BI71)</f>
        <v>55</v>
      </c>
      <c r="DD71" s="69" t="n">
        <f aca="false">K71+SUM(AB60:AD71)+SUM(BL71:BN71)</f>
        <v>76</v>
      </c>
      <c r="DE71" s="1" t="n">
        <f aca="false">L71+SUM(AE60:AE71)+BO71</f>
        <v>0</v>
      </c>
      <c r="DF71" s="69" t="n">
        <f aca="false">M71+SUM(AG60:AG71)+BQ71</f>
        <v>24</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0</v>
      </c>
      <c r="C72" s="172" t="n">
        <f aca="false">SUM(TblConstr[[#This Row],[Tot Hom]:[Tot Doc]])</f>
        <v>635</v>
      </c>
      <c r="D72" s="172" t="n">
        <f aca="false">SUM(O61:AG72)</f>
        <v>65</v>
      </c>
      <c r="E72" s="173"/>
      <c r="F72" s="33" t="n">
        <f aca="false">TblConstr[[#This Row],[Barren]]+TblConstr[[#This Row],[Buildings]]+TblConstr[[#This Row],[Incoming]]</f>
        <v>700</v>
      </c>
      <c r="G72" s="199" t="n">
        <f aca="false">OFFSET(TblConstr[[#This Row],[Plain]],-1,0)+TblConstr[[#This Row],[Ch_Plain]]</f>
        <v>0</v>
      </c>
      <c r="H72" s="193" t="n">
        <f aca="false">OFFSET(TblConstr[[#This Row],[Forest]],-1,0)+TblConstr[[#This Row],[Ch_Forest]]</f>
        <v>0</v>
      </c>
      <c r="I72" s="200" t="n">
        <f aca="false">OFFSET(TblConstr[[#This Row],[Mountain]],-1,0)+TblConstr[[#This Row],[Ch_Mountain]]</f>
        <v>0</v>
      </c>
      <c r="J72" s="201" t="n">
        <f aca="false">OFFSET(TblConstr[[#This Row],[Hill]],-1,0)+TblConstr[[#This Row],[Ch_Hill]]</f>
        <v>0</v>
      </c>
      <c r="K72" s="202" t="n">
        <f aca="false">OFFSET(TblConstr[[#This Row],[Swamp]],-1,0)+TblConstr[[#This Row],[Ch_Swamp]]</f>
        <v>0</v>
      </c>
      <c r="L72" s="197" t="n">
        <f aca="false">OFFSET(TblConstr[[#This Row],[Cavern]],-1,0)+TblConstr[[#This Row],[Ch_Cavern]]</f>
        <v>0</v>
      </c>
      <c r="M72" s="198" t="n">
        <f aca="false">OFFSET(TblConstr[[#This Row],[Water]],-1,0)+TblConstr[[#This Row],[Ch_Water]]</f>
        <v>0</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54065</v>
      </c>
      <c r="AL72" s="69" t="n">
        <f aca="false">TblProd[[#This Row],[Lumber]]</f>
        <v>10516</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2" s="69" t="n">
        <f aca="false">ROUNDDOWN( MAX(1 - MIN(facs_constr_factor*TblConstr[[#This Row],[Facs -DB]],facs_constr_max) + tech_1_11*TblTech[[#This Row],[11-1]] + tech_6_3_2*TblTech[[#This Row],[6-3]] + tech_5_2_3*TblTech[[#This Row],[5-2]], 1-global_constr_cap) * TblConstr[[#This Row],[RCPA Lumber]],0)</f>
        <v>216</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2" s="69" t="n">
        <f aca="false">ROUNDDOWN( MAX(1 - MIN(facs_constr_factor*TblConstr[[#This Row],[Facs DB]],facs_constr_max) + tech_1_11*TblTech[[#This Row],[1-11]] + tech_6_3_2*TblTech[[#This Row],[6-3]] + tech_5_2_3*TblTech[[#This Row],[5-2]], 1-global_constr_cap) * ROUND((TblConstr[[#This Row],[Land]]-250)*0.285 + 87.5 + 0/4.25,0),0)</f>
        <v>216</v>
      </c>
      <c r="AQ72" s="1" t="n">
        <f aca="false">TblConstr[[#This Row],[build -db]]*TblConstr[[#This Row],[CPA Platinum -DB]] + TblConstr[[#This Row],[build db]]*TblConstr[[#This Row],[CPA Platinum DB]]</f>
        <v>0</v>
      </c>
      <c r="AR72" s="1" t="n">
        <f aca="false">TblConstr[[#This Row],[build -db]]*TblConstr[[#This Row],[CPA Lumber -DB]]+TblConstr[[#This Row],[build db]]*TblConstr[[#This Row],[CPA Lumber DB]]</f>
        <v>0</v>
      </c>
      <c r="AS72" s="69" t="n">
        <f aca="false">MIN(SUM(OFFSET(TblConstr[[#This Row],[Plain]:[Water]],-1,0))+SUM(TblConstr[[#This Row],[Dest Hom]:[Dest Doc]])+IF(TblConstr[[#This Row],[Hour]]&gt;12,SUM(OFFSET(TblExplore[[#This Row],[Plains Explore]:[Water Explore]],-12,0)),0),SUM(TblConstr[[#This Row],[Hom]:[Doc]]))</f>
        <v>0</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1413</v>
      </c>
      <c r="AW72" s="69" t="n">
        <f aca="false">ROUND((TblConstr[[#This Row],[Land]]-250 - IF(TblExplore[[#This Row],[Land Bonus]]&lt;&gt;0,20,0))*0.285 + 87.5 + 0/4.25,0)</f>
        <v>216</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700</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430</v>
      </c>
      <c r="DA72" s="69" t="n">
        <f aca="false">H72+SUM(T61:U72)+SUM(BD72:BE72)</f>
        <v>25</v>
      </c>
      <c r="DB72" s="1" t="n">
        <f aca="false">I72+SUM(V61:W72)+SUM(BF72:BG72)</f>
        <v>0</v>
      </c>
      <c r="DC72" s="69" t="n">
        <f aca="false">J72+SUM(X61:Y72)+SUM(BH72:BI72)</f>
        <v>55</v>
      </c>
      <c r="DD72" s="69" t="n">
        <f aca="false">K72+SUM(AB61:AD72)+SUM(BL72:BN72)</f>
        <v>76</v>
      </c>
      <c r="DE72" s="1" t="n">
        <f aca="false">L72+SUM(AE61:AE72)+BO72</f>
        <v>0</v>
      </c>
      <c r="DF72" s="69" t="n">
        <f aca="false">M72+SUM(AG61:AG72)+BQ72</f>
        <v>24</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0</v>
      </c>
      <c r="C73" s="172" t="n">
        <f aca="false">SUM(TblConstr[[#This Row],[Tot Hom]:[Tot Doc]])</f>
        <v>636</v>
      </c>
      <c r="D73" s="172" t="n">
        <f aca="false">SUM(O62:AG73)</f>
        <v>64</v>
      </c>
      <c r="E73" s="173"/>
      <c r="F73" s="33" t="n">
        <f aca="false">TblConstr[[#This Row],[Barren]]+TblConstr[[#This Row],[Buildings]]+TblConstr[[#This Row],[Incoming]]</f>
        <v>700</v>
      </c>
      <c r="G73" s="199" t="n">
        <f aca="false">OFFSET(TblConstr[[#This Row],[Plain]],-1,0)+TblConstr[[#This Row],[Ch_Plain]]</f>
        <v>0</v>
      </c>
      <c r="H73" s="193" t="n">
        <f aca="false">OFFSET(TblConstr[[#This Row],[Forest]],-1,0)+TblConstr[[#This Row],[Ch_Forest]]</f>
        <v>0</v>
      </c>
      <c r="I73" s="200" t="n">
        <f aca="false">OFFSET(TblConstr[[#This Row],[Mountain]],-1,0)+TblConstr[[#This Row],[Ch_Mountain]]</f>
        <v>0</v>
      </c>
      <c r="J73" s="201" t="n">
        <f aca="false">OFFSET(TblConstr[[#This Row],[Hill]],-1,0)+TblConstr[[#This Row],[Ch_Hill]]</f>
        <v>0</v>
      </c>
      <c r="K73" s="202" t="n">
        <f aca="false">OFFSET(TblConstr[[#This Row],[Swamp]],-1,0)+TblConstr[[#This Row],[Ch_Swamp]]</f>
        <v>0</v>
      </c>
      <c r="L73" s="197" t="n">
        <f aca="false">OFFSET(TblConstr[[#This Row],[Cavern]],-1,0)+TblConstr[[#This Row],[Ch_Cavern]]</f>
        <v>0</v>
      </c>
      <c r="M73" s="198" t="n">
        <f aca="false">OFFSET(TblConstr[[#This Row],[Water]],-1,0)+TblConstr[[#This Row],[Ch_Water]]</f>
        <v>0</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40027</v>
      </c>
      <c r="AL73" s="69" t="n">
        <f aca="false">TblProd[[#This Row],[Lumber]]</f>
        <v>11536</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3" s="69" t="n">
        <f aca="false">ROUNDDOWN( MAX(1 - MIN(facs_constr_factor*TblConstr[[#This Row],[Facs -DB]],facs_constr_max) + tech_1_11*TblTech[[#This Row],[11-1]] + tech_6_3_2*TblTech[[#This Row],[6-3]] + tech_5_2_3*TblTech[[#This Row],[5-2]], 1-global_constr_cap) * TblConstr[[#This Row],[RCPA Lumber]],0)</f>
        <v>216</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3" s="69" t="n">
        <f aca="false">ROUNDDOWN( MAX(1 - MIN(facs_constr_factor*TblConstr[[#This Row],[Facs DB]],facs_constr_max) + tech_1_11*TblTech[[#This Row],[1-11]] + tech_6_3_2*TblTech[[#This Row],[6-3]] + tech_5_2_3*TblTech[[#This Row],[5-2]], 1-global_constr_cap) * ROUND((TblConstr[[#This Row],[Land]]-250)*0.285 + 87.5 + 0/4.25,0),0)</f>
        <v>216</v>
      </c>
      <c r="AQ73" s="1" t="n">
        <f aca="false">TblConstr[[#This Row],[build -db]]*TblConstr[[#This Row],[CPA Platinum -DB]] + TblConstr[[#This Row],[build db]]*TblConstr[[#This Row],[CPA Platinum DB]]</f>
        <v>0</v>
      </c>
      <c r="AR73" s="1" t="n">
        <f aca="false">TblConstr[[#This Row],[build -db]]*TblConstr[[#This Row],[CPA Lumber -DB]]+TblConstr[[#This Row],[build db]]*TblConstr[[#This Row],[CPA Lumber DB]]</f>
        <v>0</v>
      </c>
      <c r="AS73" s="69" t="n">
        <f aca="false">MIN(SUM(OFFSET(TblConstr[[#This Row],[Plain]:[Water]],-1,0))+SUM(TblConstr[[#This Row],[Dest Hom]:[Dest Doc]])+IF(TblConstr[[#This Row],[Hour]]&gt;12,SUM(OFFSET(TblExplore[[#This Row],[Plains Explore]:[Water Explore]],-12,0)),0),SUM(TblConstr[[#This Row],[Hom]:[Doc]]))</f>
        <v>0</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1413</v>
      </c>
      <c r="AW73" s="69" t="n">
        <f aca="false">ROUND((TblConstr[[#This Row],[Land]]-250 - IF(TblExplore[[#This Row],[Land Bonus]]&lt;&gt;0,20,0))*0.285 + 87.5 + 0/4.25,0)</f>
        <v>216</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700</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430</v>
      </c>
      <c r="DA73" s="69" t="n">
        <f aca="false">H73+SUM(T62:U73)+SUM(BD73:BE73)</f>
        <v>25</v>
      </c>
      <c r="DB73" s="1" t="n">
        <f aca="false">I73+SUM(V62:W73)+SUM(BF73:BG73)</f>
        <v>0</v>
      </c>
      <c r="DC73" s="69" t="n">
        <f aca="false">J73+SUM(X62:Y73)+SUM(BH73:BI73)</f>
        <v>55</v>
      </c>
      <c r="DD73" s="69" t="n">
        <f aca="false">K73+SUM(AB62:AD73)+SUM(BL73:BN73)</f>
        <v>76</v>
      </c>
      <c r="DE73" s="1" t="n">
        <f aca="false">L73+SUM(AE62:AE73)+BO73</f>
        <v>0</v>
      </c>
      <c r="DF73" s="69" t="n">
        <f aca="false">M73+SUM(AG62:AG73)+BQ73</f>
        <v>24</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0</v>
      </c>
      <c r="C74" s="172" t="n">
        <f aca="false">SUM(TblConstr[[#This Row],[Tot Hom]:[Tot Doc]])</f>
        <v>637</v>
      </c>
      <c r="D74" s="172" t="n">
        <f aca="false">SUM(O63:AG74)</f>
        <v>63</v>
      </c>
      <c r="E74" s="173"/>
      <c r="F74" s="33" t="n">
        <f aca="false">TblConstr[[#This Row],[Barren]]+TblConstr[[#This Row],[Buildings]]+TblConstr[[#This Row],[Incoming]]</f>
        <v>700</v>
      </c>
      <c r="G74" s="199" t="n">
        <f aca="false">OFFSET(TblConstr[[#This Row],[Plain]],-1,0)+TblConstr[[#This Row],[Ch_Plain]]</f>
        <v>0</v>
      </c>
      <c r="H74" s="193" t="n">
        <f aca="false">OFFSET(TblConstr[[#This Row],[Forest]],-1,0)+TblConstr[[#This Row],[Ch_Forest]]</f>
        <v>0</v>
      </c>
      <c r="I74" s="200" t="n">
        <f aca="false">OFFSET(TblConstr[[#This Row],[Mountain]],-1,0)+TblConstr[[#This Row],[Ch_Mountain]]</f>
        <v>0</v>
      </c>
      <c r="J74" s="201" t="n">
        <f aca="false">OFFSET(TblConstr[[#This Row],[Hill]],-1,0)+TblConstr[[#This Row],[Ch_Hill]]</f>
        <v>0</v>
      </c>
      <c r="K74" s="202" t="n">
        <f aca="false">OFFSET(TblConstr[[#This Row],[Swamp]],-1,0)+TblConstr[[#This Row],[Ch_Swamp]]</f>
        <v>0</v>
      </c>
      <c r="L74" s="197" t="n">
        <f aca="false">OFFSET(TblConstr[[#This Row],[Cavern]],-1,0)+TblConstr[[#This Row],[Ch_Cavern]]</f>
        <v>0</v>
      </c>
      <c r="M74" s="198" t="n">
        <f aca="false">OFFSET(TblConstr[[#This Row],[Water]],-1,0)+TblConstr[[#This Row],[Ch_Water]]</f>
        <v>0</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26294</v>
      </c>
      <c r="AL74" s="69" t="n">
        <f aca="false">TblProd[[#This Row],[Lumber]]</f>
        <v>12546</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4" s="69" t="n">
        <f aca="false">ROUNDDOWN( MAX(1 - MIN(facs_constr_factor*TblConstr[[#This Row],[Facs -DB]],facs_constr_max) + tech_1_11*TblTech[[#This Row],[11-1]] + tech_6_3_2*TblTech[[#This Row],[6-3]] + tech_5_2_3*TblTech[[#This Row],[5-2]], 1-global_constr_cap) * TblConstr[[#This Row],[RCPA Lumber]],0)</f>
        <v>216</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4" s="69" t="n">
        <f aca="false">ROUNDDOWN( MAX(1 - MIN(facs_constr_factor*TblConstr[[#This Row],[Facs DB]],facs_constr_max) + tech_1_11*TblTech[[#This Row],[1-11]] + tech_6_3_2*TblTech[[#This Row],[6-3]] + tech_5_2_3*TblTech[[#This Row],[5-2]], 1-global_constr_cap) * ROUND((TblConstr[[#This Row],[Land]]-250)*0.285 + 87.5 + 0/4.25,0),0)</f>
        <v>216</v>
      </c>
      <c r="AQ74" s="1" t="n">
        <f aca="false">TblConstr[[#This Row],[build -db]]*TblConstr[[#This Row],[CPA Platinum -DB]] + TblConstr[[#This Row],[build db]]*TblConstr[[#This Row],[CPA Platinum DB]]</f>
        <v>0</v>
      </c>
      <c r="AR74" s="1" t="n">
        <f aca="false">TblConstr[[#This Row],[build -db]]*TblConstr[[#This Row],[CPA Lumber -DB]]+TblConstr[[#This Row],[build db]]*TblConstr[[#This Row],[CPA Lumber DB]]</f>
        <v>0</v>
      </c>
      <c r="AS74" s="69" t="n">
        <f aca="false">MIN(SUM(OFFSET(TblConstr[[#This Row],[Plain]:[Water]],-1,0))+SUM(TblConstr[[#This Row],[Dest Hom]:[Dest Doc]])+IF(TblConstr[[#This Row],[Hour]]&gt;12,SUM(OFFSET(TblExplore[[#This Row],[Plains Explore]:[Water Explore]],-12,0)),0),SUM(TblConstr[[#This Row],[Hom]:[Doc]]))</f>
        <v>0</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1413</v>
      </c>
      <c r="AW74" s="69" t="n">
        <f aca="false">ROUND((TblConstr[[#This Row],[Land]]-250 - IF(TblExplore[[#This Row],[Land Bonus]]&lt;&gt;0,20,0))*0.285 + 87.5 + 0/4.25,0)</f>
        <v>216</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700</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430</v>
      </c>
      <c r="DA74" s="69" t="n">
        <f aca="false">H74+SUM(T63:U74)+SUM(BD74:BE74)</f>
        <v>25</v>
      </c>
      <c r="DB74" s="1" t="n">
        <f aca="false">I74+SUM(V63:W74)+SUM(BF74:BG74)</f>
        <v>0</v>
      </c>
      <c r="DC74" s="69" t="n">
        <f aca="false">J74+SUM(X63:Y74)+SUM(BH74:BI74)</f>
        <v>55</v>
      </c>
      <c r="DD74" s="69" t="n">
        <f aca="false">K74+SUM(AB63:AD74)+SUM(BL74:BN74)</f>
        <v>76</v>
      </c>
      <c r="DE74" s="1" t="n">
        <f aca="false">L74+SUM(AE63:AE74)+BO74</f>
        <v>0</v>
      </c>
      <c r="DF74" s="69" t="n">
        <f aca="false">M74+SUM(AG63:AG74)+BQ74</f>
        <v>24</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0</v>
      </c>
      <c r="C75" s="172" t="n">
        <f aca="false">SUM(TblConstr[[#This Row],[Tot Hom]:[Tot Doc]])</f>
        <v>638</v>
      </c>
      <c r="D75" s="172" t="n">
        <f aca="false">SUM(O64:AG75)</f>
        <v>62</v>
      </c>
      <c r="E75" s="173"/>
      <c r="F75" s="33" t="n">
        <f aca="false">TblConstr[[#This Row],[Barren]]+TblConstr[[#This Row],[Buildings]]+TblConstr[[#This Row],[Incoming]]</f>
        <v>700</v>
      </c>
      <c r="G75" s="199" t="n">
        <f aca="false">OFFSET(TblConstr[[#This Row],[Plain]],-1,0)+TblConstr[[#This Row],[Ch_Plain]]</f>
        <v>0</v>
      </c>
      <c r="H75" s="193" t="n">
        <f aca="false">OFFSET(TblConstr[[#This Row],[Forest]],-1,0)+TblConstr[[#This Row],[Ch_Forest]]</f>
        <v>0</v>
      </c>
      <c r="I75" s="200" t="n">
        <f aca="false">OFFSET(TblConstr[[#This Row],[Mountain]],-1,0)+TblConstr[[#This Row],[Ch_Mountain]]</f>
        <v>0</v>
      </c>
      <c r="J75" s="201" t="n">
        <f aca="false">OFFSET(TblConstr[[#This Row],[Hill]],-1,0)+TblConstr[[#This Row],[Ch_Hill]]</f>
        <v>0</v>
      </c>
      <c r="K75" s="202" t="n">
        <f aca="false">OFFSET(TblConstr[[#This Row],[Swamp]],-1,0)+TblConstr[[#This Row],[Ch_Swamp]]</f>
        <v>0</v>
      </c>
      <c r="L75" s="197" t="n">
        <f aca="false">OFFSET(TblConstr[[#This Row],[Cavern]],-1,0)+TblConstr[[#This Row],[Ch_Cavern]]</f>
        <v>0</v>
      </c>
      <c r="M75" s="198" t="n">
        <f aca="false">OFFSET(TblConstr[[#This Row],[Water]],-1,0)+TblConstr[[#This Row],[Ch_Water]]</f>
        <v>0</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12869</v>
      </c>
      <c r="AL75" s="69" t="n">
        <f aca="false">TblProd[[#This Row],[Lumber]]</f>
        <v>13546</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5" s="69" t="n">
        <f aca="false">ROUNDDOWN( MAX(1 - MIN(facs_constr_factor*TblConstr[[#This Row],[Facs -DB]],facs_constr_max) + tech_1_11*TblTech[[#This Row],[11-1]] + tech_6_3_2*TblTech[[#This Row],[6-3]] + tech_5_2_3*TblTech[[#This Row],[5-2]], 1-global_constr_cap) * TblConstr[[#This Row],[RCPA Lumber]],0)</f>
        <v>216</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5" s="69" t="n">
        <f aca="false">ROUNDDOWN( MAX(1 - MIN(facs_constr_factor*TblConstr[[#This Row],[Facs DB]],facs_constr_max) + tech_1_11*TblTech[[#This Row],[1-11]] + tech_6_3_2*TblTech[[#This Row],[6-3]] + tech_5_2_3*TblTech[[#This Row],[5-2]], 1-global_constr_cap) * ROUND((TblConstr[[#This Row],[Land]]-250)*0.285 + 87.5 + 0/4.25,0),0)</f>
        <v>216</v>
      </c>
      <c r="AQ75" s="1" t="n">
        <f aca="false">TblConstr[[#This Row],[build -db]]*TblConstr[[#This Row],[CPA Platinum -DB]] + TblConstr[[#This Row],[build db]]*TblConstr[[#This Row],[CPA Platinum DB]]</f>
        <v>0</v>
      </c>
      <c r="AR75" s="1" t="n">
        <f aca="false">TblConstr[[#This Row],[build -db]]*TblConstr[[#This Row],[CPA Lumber -DB]]+TblConstr[[#This Row],[build db]]*TblConstr[[#This Row],[CPA Lumber DB]]</f>
        <v>0</v>
      </c>
      <c r="AS75" s="69" t="n">
        <f aca="false">MIN(SUM(OFFSET(TblConstr[[#This Row],[Plain]:[Water]],-1,0))+SUM(TblConstr[[#This Row],[Dest Hom]:[Dest Doc]])+IF(TblConstr[[#This Row],[Hour]]&gt;12,SUM(OFFSET(TblExplore[[#This Row],[Plains Explore]:[Water Explore]],-12,0)),0),SUM(TblConstr[[#This Row],[Hom]:[Doc]]))</f>
        <v>0</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1413</v>
      </c>
      <c r="AW75" s="69" t="n">
        <f aca="false">ROUND((TblConstr[[#This Row],[Land]]-250 - IF(TblExplore[[#This Row],[Land Bonus]]&lt;&gt;0,20,0))*0.285 + 87.5 + 0/4.25,0)</f>
        <v>216</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700</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430</v>
      </c>
      <c r="DA75" s="69" t="n">
        <f aca="false">H75+SUM(T64:U75)+SUM(BD75:BE75)</f>
        <v>25</v>
      </c>
      <c r="DB75" s="1" t="n">
        <f aca="false">I75+SUM(V64:W75)+SUM(BF75:BG75)</f>
        <v>0</v>
      </c>
      <c r="DC75" s="69" t="n">
        <f aca="false">J75+SUM(X64:Y75)+SUM(BH75:BI75)</f>
        <v>55</v>
      </c>
      <c r="DD75" s="69" t="n">
        <f aca="false">K75+SUM(AB64:AD75)+SUM(BL75:BN75)</f>
        <v>76</v>
      </c>
      <c r="DE75" s="1" t="n">
        <f aca="false">L75+SUM(AE64:AE75)+BO75</f>
        <v>0</v>
      </c>
      <c r="DF75" s="69" t="n">
        <f aca="false">M75+SUM(AG64:AG75)+BQ75</f>
        <v>24</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0</v>
      </c>
      <c r="C76" s="212" t="n">
        <f aca="false">SUM(TblConstr[[#This Row],[Tot Hom]:[Tot Doc]])</f>
        <v>688</v>
      </c>
      <c r="D76" s="212" t="n">
        <f aca="false">SUM(O65:AG76)</f>
        <v>12</v>
      </c>
      <c r="E76" s="213"/>
      <c r="F76" s="214" t="n">
        <f aca="false">TblConstr[[#This Row],[Barren]]+TblConstr[[#This Row],[Buildings]]+TblConstr[[#This Row],[Incoming]]</f>
        <v>700</v>
      </c>
      <c r="G76" s="215" t="n">
        <f aca="false">OFFSET(TblConstr[[#This Row],[Plain]],-1,0)+TblConstr[[#This Row],[Ch_Plain]]</f>
        <v>0</v>
      </c>
      <c r="H76" s="216" t="n">
        <f aca="false">OFFSET(TblConstr[[#This Row],[Forest]],-1,0)+TblConstr[[#This Row],[Ch_Forest]]</f>
        <v>0</v>
      </c>
      <c r="I76" s="217" t="n">
        <f aca="false">OFFSET(TblConstr[[#This Row],[Mountain]],-1,0)+TblConstr[[#This Row],[Ch_Mountain]]</f>
        <v>0</v>
      </c>
      <c r="J76" s="218" t="n">
        <f aca="false">OFFSET(TblConstr[[#This Row],[Hill]],-1,0)+TblConstr[[#This Row],[Ch_Hill]]</f>
        <v>0</v>
      </c>
      <c r="K76" s="219" t="n">
        <f aca="false">OFFSET(TblConstr[[#This Row],[Swamp]],-1,0)+TblConstr[[#This Row],[Ch_Swamp]]</f>
        <v>0</v>
      </c>
      <c r="L76" s="220" t="n">
        <f aca="false">OFFSET(TblConstr[[#This Row],[Cavern]],-1,0)+TblConstr[[#This Row],[Ch_Cavern]]</f>
        <v>0</v>
      </c>
      <c r="M76" s="221" t="n">
        <f aca="false">OFFSET(TblConstr[[#This Row],[Water]],-1,0)+TblConstr[[#This Row],[Ch_Water]]</f>
        <v>0</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155</v>
      </c>
      <c r="AL76" s="226" t="n">
        <f aca="false">TblProd[[#This Row],[Lumber]]</f>
        <v>14536</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6" s="226" t="n">
        <f aca="false">ROUNDDOWN( MAX(1 - MIN(facs_constr_factor*TblConstr[[#This Row],[Facs -DB]],facs_constr_max) + tech_1_11*TblTech[[#This Row],[11-1]] + tech_6_3_2*TblTech[[#This Row],[6-3]] + tech_5_2_3*TblTech[[#This Row],[5-2]], 1-global_constr_cap) * TblConstr[[#This Row],[RCPA Lumber]],0)</f>
        <v>216</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6" s="226" t="n">
        <f aca="false">ROUNDDOWN( MAX(1 - MIN(facs_constr_factor*TblConstr[[#This Row],[Facs DB]],facs_constr_max) + tech_1_11*TblTech[[#This Row],[1-11]] + tech_6_3_2*TblTech[[#This Row],[6-3]] + tech_5_2_3*TblTech[[#This Row],[5-2]], 1-global_constr_cap) * ROUND((TblConstr[[#This Row],[Land]]-250)*0.285 + 87.5 + 0/4.25,0),0)</f>
        <v>216</v>
      </c>
      <c r="AQ76" s="1" t="n">
        <f aca="false">TblConstr[[#This Row],[build -db]]*TblConstr[[#This Row],[CPA Platinum -DB]] + TblConstr[[#This Row],[build db]]*TblConstr[[#This Row],[CPA Platinum DB]]</f>
        <v>0</v>
      </c>
      <c r="AR76" s="1" t="n">
        <f aca="false">TblConstr[[#This Row],[build -db]]*TblConstr[[#This Row],[CPA Lumber -DB]]+TblConstr[[#This Row],[build db]]*TblConstr[[#This Row],[CPA Lumber DB]]</f>
        <v>0</v>
      </c>
      <c r="AS76" s="226" t="n">
        <f aca="false">MIN(SUM(OFFSET(TblConstr[[#This Row],[Plain]:[Water]],-1,0))+SUM(TblConstr[[#This Row],[Dest Hom]:[Dest Doc]])+IF(TblConstr[[#This Row],[Hour]]&gt;12,SUM(OFFSET(TblExplore[[#This Row],[Plains Explore]:[Water Explore]],-12,0)),0),SUM(TblConstr[[#This Row],[Hom]:[Doc]]))</f>
        <v>0</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1413</v>
      </c>
      <c r="AW76" s="226" t="n">
        <f aca="false">ROUND((TblConstr[[#This Row],[Land]]-250 - IF(TblExplore[[#This Row],[Land Bonus]]&lt;&gt;0,20,0))*0.285 + 87.5 + 0/4.25,0)</f>
        <v>216</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700</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430</v>
      </c>
      <c r="DA76" s="226" t="n">
        <f aca="false">H76+SUM(T65:U76)+SUM(BD76:BE76)</f>
        <v>25</v>
      </c>
      <c r="DB76" s="239" t="n">
        <f aca="false">I76+SUM(V65:W76)+SUM(BF76:BG76)</f>
        <v>0</v>
      </c>
      <c r="DC76" s="226" t="n">
        <f aca="false">J76+SUM(X65:Y76)+SUM(BH76:BI76)</f>
        <v>55</v>
      </c>
      <c r="DD76" s="226" t="n">
        <f aca="false">K76+SUM(AB65:AD76)+SUM(BL76:BN76)</f>
        <v>76</v>
      </c>
      <c r="DE76" s="239" t="n">
        <f aca="false">L76+SUM(AE65:AE76)+BO76</f>
        <v>0</v>
      </c>
      <c r="DF76" s="226" t="n">
        <f aca="false">M76+SUM(AG65:AG76)+BQ76</f>
        <v>24</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0</v>
      </c>
      <c r="C77" s="172" t="n">
        <f aca="false">SUM(TblConstr[[#This Row],[Tot Hom]:[Tot Doc]])</f>
        <v>693</v>
      </c>
      <c r="D77" s="172" t="n">
        <f aca="false">SUM(O66:AG77)</f>
        <v>7</v>
      </c>
      <c r="E77" s="173"/>
      <c r="F77" s="33" t="n">
        <f aca="false">TblConstr[[#This Row],[Barren]]+TblConstr[[#This Row],[Buildings]]+TblConstr[[#This Row],[Incoming]]</f>
        <v>700</v>
      </c>
      <c r="G77" s="199" t="n">
        <f aca="false">OFFSET(TblConstr[[#This Row],[Plain]],-1,0)+TblConstr[[#This Row],[Ch_Plain]]</f>
        <v>0</v>
      </c>
      <c r="H77" s="193" t="n">
        <f aca="false">OFFSET(TblConstr[[#This Row],[Forest]],-1,0)+TblConstr[[#This Row],[Ch_Forest]]</f>
        <v>0</v>
      </c>
      <c r="I77" s="200" t="n">
        <f aca="false">OFFSET(TblConstr[[#This Row],[Mountain]],-1,0)+TblConstr[[#This Row],[Ch_Mountain]]</f>
        <v>0</v>
      </c>
      <c r="J77" s="201" t="n">
        <f aca="false">OFFSET(TblConstr[[#This Row],[Hill]],-1,0)+TblConstr[[#This Row],[Ch_Hill]]</f>
        <v>0</v>
      </c>
      <c r="K77" s="202" t="n">
        <f aca="false">OFFSET(TblConstr[[#This Row],[Swamp]],-1,0)+TblConstr[[#This Row],[Ch_Swamp]]</f>
        <v>0</v>
      </c>
      <c r="L77" s="197" t="n">
        <f aca="false">OFFSET(TblConstr[[#This Row],[Cavern]],-1,0)+TblConstr[[#This Row],[Ch_Cavern]]</f>
        <v>0</v>
      </c>
      <c r="M77" s="198" t="n">
        <f aca="false">OFFSET(TblConstr[[#This Row],[Water]],-1,0)+TblConstr[[#This Row],[Ch_Water]]</f>
        <v>0</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8123</v>
      </c>
      <c r="AL77" s="69" t="n">
        <f aca="false">TblProd[[#This Row],[Lumber]]</f>
        <v>15516</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7" s="69" t="n">
        <f aca="false">ROUNDDOWN( MAX(1 - MIN(facs_constr_factor*TblConstr[[#This Row],[Facs -DB]],facs_constr_max) + tech_1_11*TblTech[[#This Row],[11-1]] + tech_6_3_2*TblTech[[#This Row],[6-3]] + tech_5_2_3*TblTech[[#This Row],[5-2]], 1-global_constr_cap) * TblConstr[[#This Row],[RCPA Lumber]],0)</f>
        <v>216</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7" s="69" t="n">
        <f aca="false">ROUNDDOWN( MAX(1 - MIN(facs_constr_factor*TblConstr[[#This Row],[Facs DB]],facs_constr_max) + tech_1_11*TblTech[[#This Row],[1-11]] + tech_6_3_2*TblTech[[#This Row],[6-3]] + tech_5_2_3*TblTech[[#This Row],[5-2]], 1-global_constr_cap) * ROUND((TblConstr[[#This Row],[Land]]-250)*0.285 + 87.5 + 0/4.25,0),0)</f>
        <v>216</v>
      </c>
      <c r="AQ77" s="1" t="n">
        <f aca="false">TblConstr[[#This Row],[build -db]]*TblConstr[[#This Row],[CPA Platinum -DB]] + TblConstr[[#This Row],[build db]]*TblConstr[[#This Row],[CPA Platinum DB]]</f>
        <v>0</v>
      </c>
      <c r="AR77" s="1" t="n">
        <f aca="false">TblConstr[[#This Row],[build -db]]*TblConstr[[#This Row],[CPA Lumber -DB]]+TblConstr[[#This Row],[build db]]*TblConstr[[#This Row],[CPA Lumber DB]]</f>
        <v>0</v>
      </c>
      <c r="AS77" s="69" t="n">
        <f aca="false">MIN(SUM(OFFSET(TblConstr[[#This Row],[Plain]:[Water]],-1,0))+SUM(TblConstr[[#This Row],[Dest Hom]:[Dest Doc]])+IF(TblConstr[[#This Row],[Hour]]&gt;12,SUM(OFFSET(TblExplore[[#This Row],[Plains Explore]:[Water Explore]],-12,0)),0),SUM(TblConstr[[#This Row],[Hom]:[Doc]]))</f>
        <v>0</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1413</v>
      </c>
      <c r="AW77" s="69" t="n">
        <f aca="false">ROUND((TblConstr[[#This Row],[Land]]-250 - IF(TblExplore[[#This Row],[Land Bonus]]&lt;&gt;0,20,0))*0.285 + 87.5 + 0/4.25,0)</f>
        <v>216</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700</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430</v>
      </c>
      <c r="DA77" s="69" t="n">
        <f aca="false">H77+SUM(T66:U77)+SUM(BD77:BE77)</f>
        <v>25</v>
      </c>
      <c r="DB77" s="1" t="n">
        <f aca="false">I77+SUM(V66:W77)+SUM(BF77:BG77)</f>
        <v>0</v>
      </c>
      <c r="DC77" s="69" t="n">
        <f aca="false">J77+SUM(X66:Y77)+SUM(BH77:BI77)</f>
        <v>55</v>
      </c>
      <c r="DD77" s="69" t="n">
        <f aca="false">K77+SUM(AB66:AD77)+SUM(BL77:BN77)</f>
        <v>76</v>
      </c>
      <c r="DE77" s="1" t="n">
        <f aca="false">L77+SUM(AE66:AE77)+BO77</f>
        <v>0</v>
      </c>
      <c r="DF77" s="69" t="n">
        <f aca="false">M77+SUM(AG66:AG77)+BQ77</f>
        <v>24</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0</v>
      </c>
      <c r="C78" s="172" t="n">
        <f aca="false">SUM(TblConstr[[#This Row],[Tot Hom]:[Tot Doc]])</f>
        <v>698</v>
      </c>
      <c r="D78" s="172" t="n">
        <f aca="false">SUM(O67:AG78)</f>
        <v>2</v>
      </c>
      <c r="E78" s="173"/>
      <c r="F78" s="33" t="n">
        <f aca="false">TblConstr[[#This Row],[Barren]]+TblConstr[[#This Row],[Buildings]]+TblConstr[[#This Row],[Incoming]]</f>
        <v>700</v>
      </c>
      <c r="G78" s="199" t="n">
        <f aca="false">OFFSET(TblConstr[[#This Row],[Plain]],-1,0)+TblConstr[[#This Row],[Ch_Plain]]</f>
        <v>0</v>
      </c>
      <c r="H78" s="193" t="n">
        <f aca="false">OFFSET(TblConstr[[#This Row],[Forest]],-1,0)+TblConstr[[#This Row],[Ch_Forest]]</f>
        <v>0</v>
      </c>
      <c r="I78" s="200" t="n">
        <f aca="false">OFFSET(TblConstr[[#This Row],[Mountain]],-1,0)+TblConstr[[#This Row],[Ch_Mountain]]</f>
        <v>0</v>
      </c>
      <c r="J78" s="201" t="n">
        <f aca="false">OFFSET(TblConstr[[#This Row],[Hill]],-1,0)+TblConstr[[#This Row],[Ch_Hill]]</f>
        <v>0</v>
      </c>
      <c r="K78" s="202" t="n">
        <f aca="false">OFFSET(TblConstr[[#This Row],[Swamp]],-1,0)+TblConstr[[#This Row],[Ch_Swamp]]</f>
        <v>0</v>
      </c>
      <c r="L78" s="197" t="n">
        <f aca="false">OFFSET(TblConstr[[#This Row],[Cavern]],-1,0)+TblConstr[[#This Row],[Ch_Cavern]]</f>
        <v>0</v>
      </c>
      <c r="M78" s="198" t="n">
        <f aca="false">OFFSET(TblConstr[[#This Row],[Water]],-1,0)+TblConstr[[#This Row],[Ch_Water]]</f>
        <v>0</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36094</v>
      </c>
      <c r="AL78" s="69" t="n">
        <f aca="false">TblProd[[#This Row],[Lumber]]</f>
        <v>16486</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8" s="69" t="n">
        <f aca="false">ROUNDDOWN( MAX(1 - MIN(facs_constr_factor*TblConstr[[#This Row],[Facs -DB]],facs_constr_max) + tech_1_11*TblTech[[#This Row],[11-1]] + tech_6_3_2*TblTech[[#This Row],[6-3]] + tech_5_2_3*TblTech[[#This Row],[5-2]], 1-global_constr_cap) * TblConstr[[#This Row],[RCPA Lumber]],0)</f>
        <v>216</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8" s="69" t="n">
        <f aca="false">ROUNDDOWN( MAX(1 - MIN(facs_constr_factor*TblConstr[[#This Row],[Facs DB]],facs_constr_max) + tech_1_11*TblTech[[#This Row],[1-11]] + tech_6_3_2*TblTech[[#This Row],[6-3]] + tech_5_2_3*TblTech[[#This Row],[5-2]], 1-global_constr_cap) * ROUND((TblConstr[[#This Row],[Land]]-250)*0.285 + 87.5 + 0/4.25,0),0)</f>
        <v>216</v>
      </c>
      <c r="AQ78" s="1" t="n">
        <f aca="false">TblConstr[[#This Row],[build -db]]*TblConstr[[#This Row],[CPA Platinum -DB]] + TblConstr[[#This Row],[build db]]*TblConstr[[#This Row],[CPA Platinum DB]]</f>
        <v>0</v>
      </c>
      <c r="AR78" s="1" t="n">
        <f aca="false">TblConstr[[#This Row],[build -db]]*TblConstr[[#This Row],[CPA Lumber -DB]]+TblConstr[[#This Row],[build db]]*TblConstr[[#This Row],[CPA Lumber DB]]</f>
        <v>0</v>
      </c>
      <c r="AS78" s="69" t="n">
        <f aca="false">MIN(SUM(OFFSET(TblConstr[[#This Row],[Plain]:[Water]],-1,0))+SUM(TblConstr[[#This Row],[Dest Hom]:[Dest Doc]])+IF(TblConstr[[#This Row],[Hour]]&gt;12,SUM(OFFSET(TblExplore[[#This Row],[Plains Explore]:[Water Explore]],-12,0)),0),SUM(TblConstr[[#This Row],[Hom]:[Doc]]))</f>
        <v>0</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1413</v>
      </c>
      <c r="AW78" s="69" t="n">
        <f aca="false">ROUND((TblConstr[[#This Row],[Land]]-250 - IF(TblExplore[[#This Row],[Land Bonus]]&lt;&gt;0,20,0))*0.285 + 87.5 + 0/4.25,0)</f>
        <v>216</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700</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430</v>
      </c>
      <c r="DA78" s="69" t="n">
        <f aca="false">H78+SUM(T67:U78)+SUM(BD78:BE78)</f>
        <v>25</v>
      </c>
      <c r="DB78" s="1" t="n">
        <f aca="false">I78+SUM(V67:W78)+SUM(BF78:BG78)</f>
        <v>0</v>
      </c>
      <c r="DC78" s="69" t="n">
        <f aca="false">J78+SUM(X67:Y78)+SUM(BH78:BI78)</f>
        <v>55</v>
      </c>
      <c r="DD78" s="69" t="n">
        <f aca="false">K78+SUM(AB67:AD78)+SUM(BL78:BN78)</f>
        <v>76</v>
      </c>
      <c r="DE78" s="1" t="n">
        <f aca="false">L78+SUM(AE67:AE78)+BO78</f>
        <v>0</v>
      </c>
      <c r="DF78" s="69" t="n">
        <f aca="false">M78+SUM(AG67:AG78)+BQ78</f>
        <v>24</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0</v>
      </c>
      <c r="C79" s="172" t="n">
        <f aca="false">SUM(TblConstr[[#This Row],[Tot Hom]:[Tot Doc]])</f>
        <v>700</v>
      </c>
      <c r="D79" s="172" t="n">
        <f aca="false">SUM(O68:AG79)</f>
        <v>0</v>
      </c>
      <c r="E79" s="173"/>
      <c r="F79" s="33" t="n">
        <f aca="false">TblConstr[[#This Row],[Barren]]+TblConstr[[#This Row],[Buildings]]+TblConstr[[#This Row],[Incoming]]</f>
        <v>700</v>
      </c>
      <c r="G79" s="199" t="n">
        <f aca="false">OFFSET(TblConstr[[#This Row],[Plain]],-1,0)+TblConstr[[#This Row],[Ch_Plain]]</f>
        <v>0</v>
      </c>
      <c r="H79" s="193" t="n">
        <f aca="false">OFFSET(TblConstr[[#This Row],[Forest]],-1,0)+TblConstr[[#This Row],[Ch_Forest]]</f>
        <v>0</v>
      </c>
      <c r="I79" s="200" t="n">
        <f aca="false">OFFSET(TblConstr[[#This Row],[Mountain]],-1,0)+TblConstr[[#This Row],[Ch_Mountain]]</f>
        <v>0</v>
      </c>
      <c r="J79" s="201" t="n">
        <f aca="false">OFFSET(TblConstr[[#This Row],[Hill]],-1,0)+TblConstr[[#This Row],[Ch_Hill]]</f>
        <v>0</v>
      </c>
      <c r="K79" s="202" t="n">
        <f aca="false">OFFSET(TblConstr[[#This Row],[Swamp]],-1,0)+TblConstr[[#This Row],[Ch_Swamp]]</f>
        <v>0</v>
      </c>
      <c r="L79" s="197" t="n">
        <f aca="false">OFFSET(TblConstr[[#This Row],[Cavern]],-1,0)+TblConstr[[#This Row],[Ch_Cavern]]</f>
        <v>0</v>
      </c>
      <c r="M79" s="198" t="n">
        <f aca="false">OFFSET(TblConstr[[#This Row],[Water]],-1,0)+TblConstr[[#This Row],[Ch_Water]]</f>
        <v>0</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64068</v>
      </c>
      <c r="AL79" s="69" t="n">
        <f aca="false">TblProd[[#This Row],[Lumber]]</f>
        <v>17446</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9" s="69" t="n">
        <f aca="false">ROUNDDOWN( MAX(1 - MIN(facs_constr_factor*TblConstr[[#This Row],[Facs -DB]],facs_constr_max) + tech_1_11*TblTech[[#This Row],[11-1]] + tech_6_3_2*TblTech[[#This Row],[6-3]] + tech_5_2_3*TblTech[[#This Row],[5-2]], 1-global_constr_cap) * TblConstr[[#This Row],[RCPA Lumber]],0)</f>
        <v>216</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9" s="69" t="n">
        <f aca="false">ROUNDDOWN( MAX(1 - MIN(facs_constr_factor*TblConstr[[#This Row],[Facs DB]],facs_constr_max) + tech_1_11*TblTech[[#This Row],[1-11]] + tech_6_3_2*TblTech[[#This Row],[6-3]] + tech_5_2_3*TblTech[[#This Row],[5-2]], 1-global_constr_cap) * ROUND((TblConstr[[#This Row],[Land]]-250)*0.285 + 87.5 + 0/4.25,0),0)</f>
        <v>216</v>
      </c>
      <c r="AQ79" s="1" t="n">
        <f aca="false">TblConstr[[#This Row],[build -db]]*TblConstr[[#This Row],[CPA Platinum -DB]] + TblConstr[[#This Row],[build db]]*TblConstr[[#This Row],[CPA Platinum DB]]</f>
        <v>0</v>
      </c>
      <c r="AR79" s="1" t="n">
        <f aca="false">TblConstr[[#This Row],[build -db]]*TblConstr[[#This Row],[CPA Lumber -DB]]+TblConstr[[#This Row],[build db]]*TblConstr[[#This Row],[CPA Lumber DB]]</f>
        <v>0</v>
      </c>
      <c r="AS79" s="69" t="n">
        <f aca="false">MIN(SUM(OFFSET(TblConstr[[#This Row],[Plain]:[Water]],-1,0))+SUM(TblConstr[[#This Row],[Dest Hom]:[Dest Doc]])+IF(TblConstr[[#This Row],[Hour]]&gt;12,SUM(OFFSET(TblExplore[[#This Row],[Plains Explore]:[Water Explore]],-12,0)),0),SUM(TblConstr[[#This Row],[Hom]:[Doc]]))</f>
        <v>0</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1413</v>
      </c>
      <c r="AW79" s="69" t="n">
        <f aca="false">ROUND((TblConstr[[#This Row],[Land]]-250 - IF(TblExplore[[#This Row],[Land Bonus]]&lt;&gt;0,20,0))*0.285 + 87.5 + 0/4.25,0)</f>
        <v>216</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700</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430</v>
      </c>
      <c r="DA79" s="69" t="n">
        <f aca="false">H79+SUM(T68:U79)+SUM(BD79:BE79)</f>
        <v>25</v>
      </c>
      <c r="DB79" s="1" t="n">
        <f aca="false">I79+SUM(V68:W79)+SUM(BF79:BG79)</f>
        <v>0</v>
      </c>
      <c r="DC79" s="69" t="n">
        <f aca="false">J79+SUM(X68:Y79)+SUM(BH79:BI79)</f>
        <v>55</v>
      </c>
      <c r="DD79" s="69" t="n">
        <f aca="false">K79+SUM(AB68:AD79)+SUM(BL79:BN79)</f>
        <v>76</v>
      </c>
      <c r="DE79" s="1" t="n">
        <f aca="false">L79+SUM(AE68:AE79)+BO79</f>
        <v>0</v>
      </c>
      <c r="DF79" s="69" t="n">
        <f aca="false">M79+SUM(AG68:AG79)+BQ79</f>
        <v>24</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0</v>
      </c>
      <c r="C80" s="172" t="n">
        <f aca="false">SUM(TblConstr[[#This Row],[Tot Hom]:[Tot Doc]])</f>
        <v>700</v>
      </c>
      <c r="D80" s="172" t="n">
        <f aca="false">SUM(O69:AG80)</f>
        <v>0</v>
      </c>
      <c r="E80" s="173"/>
      <c r="F80" s="33" t="n">
        <f aca="false">TblConstr[[#This Row],[Barren]]+TblConstr[[#This Row],[Buildings]]+TblConstr[[#This Row],[Incoming]]</f>
        <v>700</v>
      </c>
      <c r="G80" s="199" t="n">
        <f aca="false">OFFSET(TblConstr[[#This Row],[Plain]],-1,0)+TblConstr[[#This Row],[Ch_Plain]]</f>
        <v>0</v>
      </c>
      <c r="H80" s="193" t="n">
        <f aca="false">OFFSET(TblConstr[[#This Row],[Forest]],-1,0)+TblConstr[[#This Row],[Ch_Forest]]</f>
        <v>0</v>
      </c>
      <c r="I80" s="200" t="n">
        <f aca="false">OFFSET(TblConstr[[#This Row],[Mountain]],-1,0)+TblConstr[[#This Row],[Ch_Mountain]]</f>
        <v>0</v>
      </c>
      <c r="J80" s="201" t="n">
        <f aca="false">OFFSET(TblConstr[[#This Row],[Hill]],-1,0)+TblConstr[[#This Row],[Ch_Hill]]</f>
        <v>0</v>
      </c>
      <c r="K80" s="202" t="n">
        <f aca="false">OFFSET(TblConstr[[#This Row],[Swamp]],-1,0)+TblConstr[[#This Row],[Ch_Swamp]]</f>
        <v>0</v>
      </c>
      <c r="L80" s="197" t="n">
        <f aca="false">OFFSET(TblConstr[[#This Row],[Cavern]],-1,0)+TblConstr[[#This Row],[Ch_Cavern]]</f>
        <v>0</v>
      </c>
      <c r="M80" s="198" t="n">
        <f aca="false">OFFSET(TblConstr[[#This Row],[Water]],-1,0)+TblConstr[[#This Row],[Ch_Water]]</f>
        <v>0</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149450</v>
      </c>
      <c r="AL80" s="69" t="n">
        <f aca="false">TblProd[[#This Row],[Lumber]]</f>
        <v>18397</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0" s="69" t="n">
        <f aca="false">ROUNDDOWN( MAX(1 - MIN(facs_constr_factor*TblConstr[[#This Row],[Facs -DB]],facs_constr_max) + tech_1_11*TblTech[[#This Row],[11-1]] + tech_6_3_2*TblTech[[#This Row],[6-3]] + tech_5_2_3*TblTech[[#This Row],[5-2]], 1-global_constr_cap) * TblConstr[[#This Row],[RCPA Lumber]],0)</f>
        <v>216</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0" s="69" t="n">
        <f aca="false">ROUNDDOWN( MAX(1 - MIN(facs_constr_factor*TblConstr[[#This Row],[Facs DB]],facs_constr_max) + tech_1_11*TblTech[[#This Row],[1-11]] + tech_6_3_2*TblTech[[#This Row],[6-3]] + tech_5_2_3*TblTech[[#This Row],[5-2]], 1-global_constr_cap) * ROUND((TblConstr[[#This Row],[Land]]-250)*0.285 + 87.5 + 0/4.25,0),0)</f>
        <v>216</v>
      </c>
      <c r="AQ80" s="1" t="n">
        <f aca="false">TblConstr[[#This Row],[build -db]]*TblConstr[[#This Row],[CPA Platinum -DB]] + TblConstr[[#This Row],[build db]]*TblConstr[[#This Row],[CPA Platinum DB]]</f>
        <v>0</v>
      </c>
      <c r="AR80" s="1" t="n">
        <f aca="false">TblConstr[[#This Row],[build -db]]*TblConstr[[#This Row],[CPA Lumber -DB]]+TblConstr[[#This Row],[build db]]*TblConstr[[#This Row],[CPA Lumber DB]]</f>
        <v>0</v>
      </c>
      <c r="AS80" s="69" t="n">
        <f aca="false">MIN(SUM(OFFSET(TblConstr[[#This Row],[Plain]:[Water]],-1,0))+SUM(TblConstr[[#This Row],[Dest Hom]:[Dest Doc]])+IF(TblConstr[[#This Row],[Hour]]&gt;12,SUM(OFFSET(TblExplore[[#This Row],[Plains Explore]:[Water Explore]],-12,0)),0),SUM(TblConstr[[#This Row],[Hom]:[Doc]]))</f>
        <v>0</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1413</v>
      </c>
      <c r="AW80" s="69" t="n">
        <f aca="false">ROUND((TblConstr[[#This Row],[Land]]-250 - IF(TblExplore[[#This Row],[Land Bonus]]&lt;&gt;0,20,0))*0.285 + 87.5 + 0/4.25,0)</f>
        <v>216</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700</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430</v>
      </c>
      <c r="DA80" s="69" t="n">
        <f aca="false">H80+SUM(T69:U80)+SUM(BD80:BE80)</f>
        <v>25</v>
      </c>
      <c r="DB80" s="1" t="n">
        <f aca="false">I80+SUM(V69:W80)+SUM(BF80:BG80)</f>
        <v>0</v>
      </c>
      <c r="DC80" s="69" t="n">
        <f aca="false">J80+SUM(X69:Y80)+SUM(BH80:BI80)</f>
        <v>55</v>
      </c>
      <c r="DD80" s="69" t="n">
        <f aca="false">K80+SUM(AB69:AD80)+SUM(BL80:BN80)</f>
        <v>76</v>
      </c>
      <c r="DE80" s="1" t="n">
        <f aca="false">L80+SUM(AE69:AE80)+BO80</f>
        <v>0</v>
      </c>
      <c r="DF80" s="69" t="n">
        <f aca="false">M80+SUM(AG69:AG80)+BQ80</f>
        <v>24</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0</v>
      </c>
      <c r="C81" s="172" t="n">
        <f aca="false">SUM(TblConstr[[#This Row],[Tot Hom]:[Tot Doc]])</f>
        <v>700</v>
      </c>
      <c r="D81" s="172" t="n">
        <f aca="false">SUM(O70:AG81)</f>
        <v>0</v>
      </c>
      <c r="E81" s="173"/>
      <c r="F81" s="33" t="n">
        <f aca="false">TblConstr[[#This Row],[Barren]]+TblConstr[[#This Row],[Buildings]]+TblConstr[[#This Row],[Incoming]]</f>
        <v>700</v>
      </c>
      <c r="G81" s="199" t="n">
        <f aca="false">OFFSET(TblConstr[[#This Row],[Plain]],-1,0)+TblConstr[[#This Row],[Ch_Plain]]</f>
        <v>0</v>
      </c>
      <c r="H81" s="193" t="n">
        <f aca="false">OFFSET(TblConstr[[#This Row],[Forest]],-1,0)+TblConstr[[#This Row],[Ch_Forest]]</f>
        <v>0</v>
      </c>
      <c r="I81" s="200" t="n">
        <f aca="false">OFFSET(TblConstr[[#This Row],[Mountain]],-1,0)+TblConstr[[#This Row],[Ch_Mountain]]</f>
        <v>0</v>
      </c>
      <c r="J81" s="201" t="n">
        <f aca="false">OFFSET(TblConstr[[#This Row],[Hill]],-1,0)+TblConstr[[#This Row],[Ch_Hill]]</f>
        <v>0</v>
      </c>
      <c r="K81" s="202" t="n">
        <f aca="false">OFFSET(TblConstr[[#This Row],[Swamp]],-1,0)+TblConstr[[#This Row],[Ch_Swamp]]</f>
        <v>0</v>
      </c>
      <c r="L81" s="197" t="n">
        <f aca="false">OFFSET(TblConstr[[#This Row],[Cavern]],-1,0)+TblConstr[[#This Row],[Ch_Cavern]]</f>
        <v>0</v>
      </c>
      <c r="M81" s="198" t="n">
        <f aca="false">OFFSET(TblConstr[[#This Row],[Water]],-1,0)+TblConstr[[#This Row],[Ch_Water]]</f>
        <v>0</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195777</v>
      </c>
      <c r="AL81" s="69" t="n">
        <f aca="false">TblProd[[#This Row],[Lumber]]</f>
        <v>19338</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1" s="69" t="n">
        <f aca="false">ROUNDDOWN( MAX(1 - MIN(facs_constr_factor*TblConstr[[#This Row],[Facs -DB]],facs_constr_max) + tech_1_11*TblTech[[#This Row],[11-1]] + tech_6_3_2*TblTech[[#This Row],[6-3]] + tech_5_2_3*TblTech[[#This Row],[5-2]], 1-global_constr_cap) * TblConstr[[#This Row],[RCPA Lumber]],0)</f>
        <v>216</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1" s="69" t="n">
        <f aca="false">ROUNDDOWN( MAX(1 - MIN(facs_constr_factor*TblConstr[[#This Row],[Facs DB]],facs_constr_max) + tech_1_11*TblTech[[#This Row],[1-11]] + tech_6_3_2*TblTech[[#This Row],[6-3]] + tech_5_2_3*TblTech[[#This Row],[5-2]], 1-global_constr_cap) * ROUND((TblConstr[[#This Row],[Land]]-250)*0.285 + 87.5 + 0/4.25,0),0)</f>
        <v>216</v>
      </c>
      <c r="AQ81" s="1" t="n">
        <f aca="false">TblConstr[[#This Row],[build -db]]*TblConstr[[#This Row],[CPA Platinum -DB]] + TblConstr[[#This Row],[build db]]*TblConstr[[#This Row],[CPA Platinum DB]]</f>
        <v>0</v>
      </c>
      <c r="AR81" s="1" t="n">
        <f aca="false">TblConstr[[#This Row],[build -db]]*TblConstr[[#This Row],[CPA Lumber -DB]]+TblConstr[[#This Row],[build db]]*TblConstr[[#This Row],[CPA Lumber DB]]</f>
        <v>0</v>
      </c>
      <c r="AS81" s="69" t="n">
        <f aca="false">MIN(SUM(OFFSET(TblConstr[[#This Row],[Plain]:[Water]],-1,0))+SUM(TblConstr[[#This Row],[Dest Hom]:[Dest Doc]])+IF(TblConstr[[#This Row],[Hour]]&gt;12,SUM(OFFSET(TblExplore[[#This Row],[Plains Explore]:[Water Explore]],-12,0)),0),SUM(TblConstr[[#This Row],[Hom]:[Doc]]))</f>
        <v>0</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1413</v>
      </c>
      <c r="AW81" s="69" t="n">
        <f aca="false">ROUND((TblConstr[[#This Row],[Land]]-250 - IF(TblExplore[[#This Row],[Land Bonus]]&lt;&gt;0,20,0))*0.285 + 87.5 + 0/4.25,0)</f>
        <v>216</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700</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430</v>
      </c>
      <c r="DA81" s="69" t="n">
        <f aca="false">H81+SUM(T70:U81)+SUM(BD81:BE81)</f>
        <v>25</v>
      </c>
      <c r="DB81" s="1" t="n">
        <f aca="false">I81+SUM(V70:W81)+SUM(BF81:BG81)</f>
        <v>0</v>
      </c>
      <c r="DC81" s="69" t="n">
        <f aca="false">J81+SUM(X70:Y81)+SUM(BH81:BI81)</f>
        <v>55</v>
      </c>
      <c r="DD81" s="69" t="n">
        <f aca="false">K81+SUM(AB70:AD81)+SUM(BL81:BN81)</f>
        <v>76</v>
      </c>
      <c r="DE81" s="1" t="n">
        <f aca="false">L81+SUM(AE70:AE81)+BO81</f>
        <v>0</v>
      </c>
      <c r="DF81" s="69" t="n">
        <f aca="false">M81+SUM(AG70:AG81)+BQ81</f>
        <v>24</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0</v>
      </c>
      <c r="C82" s="172" t="n">
        <f aca="false">SUM(TblConstr[[#This Row],[Tot Hom]:[Tot Doc]])</f>
        <v>700</v>
      </c>
      <c r="D82" s="172" t="n">
        <f aca="false">SUM(O71:AG82)</f>
        <v>0</v>
      </c>
      <c r="E82" s="173"/>
      <c r="F82" s="33" t="n">
        <f aca="false">TblConstr[[#This Row],[Barren]]+TblConstr[[#This Row],[Buildings]]+TblConstr[[#This Row],[Incoming]]</f>
        <v>700</v>
      </c>
      <c r="G82" s="199" t="n">
        <f aca="false">OFFSET(TblConstr[[#This Row],[Plain]],-1,0)+TblConstr[[#This Row],[Ch_Plain]]</f>
        <v>0</v>
      </c>
      <c r="H82" s="193" t="n">
        <f aca="false">OFFSET(TblConstr[[#This Row],[Forest]],-1,0)+TblConstr[[#This Row],[Ch_Forest]]</f>
        <v>0</v>
      </c>
      <c r="I82" s="200" t="n">
        <f aca="false">OFFSET(TblConstr[[#This Row],[Mountain]],-1,0)+TblConstr[[#This Row],[Ch_Mountain]]</f>
        <v>0</v>
      </c>
      <c r="J82" s="201" t="n">
        <f aca="false">OFFSET(TblConstr[[#This Row],[Hill]],-1,0)+TblConstr[[#This Row],[Ch_Hill]]</f>
        <v>0</v>
      </c>
      <c r="K82" s="202" t="n">
        <f aca="false">OFFSET(TblConstr[[#This Row],[Swamp]],-1,0)+TblConstr[[#This Row],[Ch_Swamp]]</f>
        <v>0</v>
      </c>
      <c r="L82" s="197" t="n">
        <f aca="false">OFFSET(TblConstr[[#This Row],[Cavern]],-1,0)+TblConstr[[#This Row],[Ch_Cavern]]</f>
        <v>0</v>
      </c>
      <c r="M82" s="198" t="n">
        <f aca="false">OFFSET(TblConstr[[#This Row],[Water]],-1,0)+TblConstr[[#This Row],[Ch_Water]]</f>
        <v>0</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241816</v>
      </c>
      <c r="AL82" s="69" t="n">
        <f aca="false">TblProd[[#This Row],[Lumber]]</f>
        <v>20270</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2" s="69" t="n">
        <f aca="false">ROUNDDOWN( MAX(1 - MIN(facs_constr_factor*TblConstr[[#This Row],[Facs -DB]],facs_constr_max) + tech_1_11*TblTech[[#This Row],[11-1]] + tech_6_3_2*TblTech[[#This Row],[6-3]] + tech_5_2_3*TblTech[[#This Row],[5-2]], 1-global_constr_cap) * TblConstr[[#This Row],[RCPA Lumber]],0)</f>
        <v>216</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2" s="69" t="n">
        <f aca="false">ROUNDDOWN( MAX(1 - MIN(facs_constr_factor*TblConstr[[#This Row],[Facs DB]],facs_constr_max) + tech_1_11*TblTech[[#This Row],[1-11]] + tech_6_3_2*TblTech[[#This Row],[6-3]] + tech_5_2_3*TblTech[[#This Row],[5-2]], 1-global_constr_cap) * ROUND((TblConstr[[#This Row],[Land]]-250)*0.285 + 87.5 + 0/4.25,0),0)</f>
        <v>216</v>
      </c>
      <c r="AQ82" s="1" t="n">
        <f aca="false">TblConstr[[#This Row],[build -db]]*TblConstr[[#This Row],[CPA Platinum -DB]] + TblConstr[[#This Row],[build db]]*TblConstr[[#This Row],[CPA Platinum DB]]</f>
        <v>0</v>
      </c>
      <c r="AR82" s="1" t="n">
        <f aca="false">TblConstr[[#This Row],[build -db]]*TblConstr[[#This Row],[CPA Lumber -DB]]+TblConstr[[#This Row],[build db]]*TblConstr[[#This Row],[CPA Lumber DB]]</f>
        <v>0</v>
      </c>
      <c r="AS82" s="69" t="n">
        <f aca="false">MIN(SUM(OFFSET(TblConstr[[#This Row],[Plain]:[Water]],-1,0))+SUM(TblConstr[[#This Row],[Dest Hom]:[Dest Doc]])+IF(TblConstr[[#This Row],[Hour]]&gt;12,SUM(OFFSET(TblExplore[[#This Row],[Plains Explore]:[Water Explore]],-12,0)),0),SUM(TblConstr[[#This Row],[Hom]:[Doc]]))</f>
        <v>0</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1413</v>
      </c>
      <c r="AW82" s="69" t="n">
        <f aca="false">ROUND((TblConstr[[#This Row],[Land]]-250 - IF(TblExplore[[#This Row],[Land Bonus]]&lt;&gt;0,20,0))*0.285 + 87.5 + 0/4.25,0)</f>
        <v>216</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700</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430</v>
      </c>
      <c r="DA82" s="69" t="n">
        <f aca="false">H82+SUM(T71:U82)+SUM(BD82:BE82)</f>
        <v>25</v>
      </c>
      <c r="DB82" s="1" t="n">
        <f aca="false">I82+SUM(V71:W82)+SUM(BF82:BG82)</f>
        <v>0</v>
      </c>
      <c r="DC82" s="69" t="n">
        <f aca="false">J82+SUM(X71:Y82)+SUM(BH82:BI82)</f>
        <v>55</v>
      </c>
      <c r="DD82" s="69" t="n">
        <f aca="false">K82+SUM(AB71:AD82)+SUM(BL82:BN82)</f>
        <v>76</v>
      </c>
      <c r="DE82" s="1" t="n">
        <f aca="false">L82+SUM(AE71:AE82)+BO82</f>
        <v>0</v>
      </c>
      <c r="DF82" s="69" t="n">
        <f aca="false">M82+SUM(AG71:AG82)+BQ82</f>
        <v>24</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0</v>
      </c>
      <c r="C83" s="172" t="n">
        <f aca="false">SUM(TblConstr[[#This Row],[Tot Hom]:[Tot Doc]])</f>
        <v>700</v>
      </c>
      <c r="D83" s="172" t="n">
        <f aca="false">SUM(O72:AG83)</f>
        <v>0</v>
      </c>
      <c r="E83" s="173"/>
      <c r="F83" s="33" t="n">
        <f aca="false">TblConstr[[#This Row],[Barren]]+TblConstr[[#This Row],[Buildings]]+TblConstr[[#This Row],[Incoming]]</f>
        <v>700</v>
      </c>
      <c r="G83" s="199" t="n">
        <f aca="false">OFFSET(TblConstr[[#This Row],[Plain]],-1,0)+TblConstr[[#This Row],[Ch_Plain]]</f>
        <v>0</v>
      </c>
      <c r="H83" s="193" t="n">
        <f aca="false">OFFSET(TblConstr[[#This Row],[Forest]],-1,0)+TblConstr[[#This Row],[Ch_Forest]]</f>
        <v>0</v>
      </c>
      <c r="I83" s="200" t="n">
        <f aca="false">OFFSET(TblConstr[[#This Row],[Mountain]],-1,0)+TblConstr[[#This Row],[Ch_Mountain]]</f>
        <v>0</v>
      </c>
      <c r="J83" s="201" t="n">
        <f aca="false">OFFSET(TblConstr[[#This Row],[Hill]],-1,0)+TblConstr[[#This Row],[Ch_Hill]]</f>
        <v>0</v>
      </c>
      <c r="K83" s="202" t="n">
        <f aca="false">OFFSET(TblConstr[[#This Row],[Swamp]],-1,0)+TblConstr[[#This Row],[Ch_Swamp]]</f>
        <v>0</v>
      </c>
      <c r="L83" s="197" t="n">
        <f aca="false">OFFSET(TblConstr[[#This Row],[Cavern]],-1,0)+TblConstr[[#This Row],[Ch_Cavern]]</f>
        <v>0</v>
      </c>
      <c r="M83" s="198" t="n">
        <f aca="false">OFFSET(TblConstr[[#This Row],[Water]],-1,0)+TblConstr[[#This Row],[Ch_Water]]</f>
        <v>0</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287570</v>
      </c>
      <c r="AL83" s="69" t="n">
        <f aca="false">TblProd[[#This Row],[Lumber]]</f>
        <v>21192</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3" s="69" t="n">
        <f aca="false">ROUNDDOWN( MAX(1 - MIN(facs_constr_factor*TblConstr[[#This Row],[Facs -DB]],facs_constr_max) + tech_1_11*TblTech[[#This Row],[11-1]] + tech_6_3_2*TblTech[[#This Row],[6-3]] + tech_5_2_3*TblTech[[#This Row],[5-2]], 1-global_constr_cap) * TblConstr[[#This Row],[RCPA Lumber]],0)</f>
        <v>216</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3" s="69" t="n">
        <f aca="false">ROUNDDOWN( MAX(1 - MIN(facs_constr_factor*TblConstr[[#This Row],[Facs DB]],facs_constr_max) + tech_1_11*TblTech[[#This Row],[1-11]] + tech_6_3_2*TblTech[[#This Row],[6-3]] + tech_5_2_3*TblTech[[#This Row],[5-2]], 1-global_constr_cap) * ROUND((TblConstr[[#This Row],[Land]]-250)*0.285 + 87.5 + 0/4.25,0),0)</f>
        <v>216</v>
      </c>
      <c r="AQ83" s="1" t="n">
        <f aca="false">TblConstr[[#This Row],[build -db]]*TblConstr[[#This Row],[CPA Platinum -DB]] + TblConstr[[#This Row],[build db]]*TblConstr[[#This Row],[CPA Platinum DB]]</f>
        <v>0</v>
      </c>
      <c r="AR83" s="1" t="n">
        <f aca="false">TblConstr[[#This Row],[build -db]]*TblConstr[[#This Row],[CPA Lumber -DB]]+TblConstr[[#This Row],[build db]]*TblConstr[[#This Row],[CPA Lumber DB]]</f>
        <v>0</v>
      </c>
      <c r="AS83" s="69" t="n">
        <f aca="false">MIN(SUM(OFFSET(TblConstr[[#This Row],[Plain]:[Water]],-1,0))+SUM(TblConstr[[#This Row],[Dest Hom]:[Dest Doc]])+IF(TblConstr[[#This Row],[Hour]]&gt;12,SUM(OFFSET(TblExplore[[#This Row],[Plains Explore]:[Water Explore]],-12,0)),0),SUM(TblConstr[[#This Row],[Hom]:[Doc]]))</f>
        <v>0</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1413</v>
      </c>
      <c r="AW83" s="69" t="n">
        <f aca="false">ROUND((TblConstr[[#This Row],[Land]]-250 - IF(TblExplore[[#This Row],[Land Bonus]]&lt;&gt;0,20,0))*0.285 + 87.5 + 0/4.25,0)</f>
        <v>216</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700</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430</v>
      </c>
      <c r="DA83" s="69" t="n">
        <f aca="false">H83+SUM(T72:U83)+SUM(BD83:BE83)</f>
        <v>25</v>
      </c>
      <c r="DB83" s="1" t="n">
        <f aca="false">I83+SUM(V72:W83)+SUM(BF83:BG83)</f>
        <v>0</v>
      </c>
      <c r="DC83" s="69" t="n">
        <f aca="false">J83+SUM(X72:Y83)+SUM(BH83:BI83)</f>
        <v>55</v>
      </c>
      <c r="DD83" s="69" t="n">
        <f aca="false">K83+SUM(AB72:AD83)+SUM(BL83:BN83)</f>
        <v>76</v>
      </c>
      <c r="DE83" s="1" t="n">
        <f aca="false">L83+SUM(AE72:AE83)+BO83</f>
        <v>0</v>
      </c>
      <c r="DF83" s="69" t="n">
        <f aca="false">M83+SUM(AG72:AG83)+BQ83</f>
        <v>24</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0</v>
      </c>
      <c r="C84" s="172" t="n">
        <f aca="false">SUM(TblConstr[[#This Row],[Tot Hom]:[Tot Doc]])</f>
        <v>700</v>
      </c>
      <c r="D84" s="172" t="n">
        <f aca="false">SUM(O73:AG84)</f>
        <v>0</v>
      </c>
      <c r="E84" s="173"/>
      <c r="F84" s="33" t="n">
        <f aca="false">TblConstr[[#This Row],[Barren]]+TblConstr[[#This Row],[Buildings]]+TblConstr[[#This Row],[Incoming]]</f>
        <v>700</v>
      </c>
      <c r="G84" s="199" t="n">
        <f aca="false">OFFSET(TblConstr[[#This Row],[Plain]],-1,0)+TblConstr[[#This Row],[Ch_Plain]]</f>
        <v>0</v>
      </c>
      <c r="H84" s="193" t="n">
        <f aca="false">OFFSET(TblConstr[[#This Row],[Forest]],-1,0)+TblConstr[[#This Row],[Ch_Forest]]</f>
        <v>0</v>
      </c>
      <c r="I84" s="200" t="n">
        <f aca="false">OFFSET(TblConstr[[#This Row],[Mountain]],-1,0)+TblConstr[[#This Row],[Ch_Mountain]]</f>
        <v>0</v>
      </c>
      <c r="J84" s="201" t="n">
        <f aca="false">OFFSET(TblConstr[[#This Row],[Hill]],-1,0)+TblConstr[[#This Row],[Ch_Hill]]</f>
        <v>0</v>
      </c>
      <c r="K84" s="202" t="n">
        <f aca="false">OFFSET(TblConstr[[#This Row],[Swamp]],-1,0)+TblConstr[[#This Row],[Ch_Swamp]]</f>
        <v>0</v>
      </c>
      <c r="L84" s="197" t="n">
        <f aca="false">OFFSET(TblConstr[[#This Row],[Cavern]],-1,0)+TblConstr[[#This Row],[Ch_Cavern]]</f>
        <v>0</v>
      </c>
      <c r="M84" s="198" t="n">
        <f aca="false">OFFSET(TblConstr[[#This Row],[Water]],-1,0)+TblConstr[[#This Row],[Ch_Water]]</f>
        <v>0</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333041</v>
      </c>
      <c r="AL84" s="69" t="n">
        <f aca="false">TblProd[[#This Row],[Lumber]]</f>
        <v>22105</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4" s="69" t="n">
        <f aca="false">ROUNDDOWN( MAX(1 - MIN(facs_constr_factor*TblConstr[[#This Row],[Facs -DB]],facs_constr_max) + tech_1_11*TblTech[[#This Row],[11-1]] + tech_6_3_2*TblTech[[#This Row],[6-3]] + tech_5_2_3*TblTech[[#This Row],[5-2]], 1-global_constr_cap) * TblConstr[[#This Row],[RCPA Lumber]],0)</f>
        <v>216</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4" s="69" t="n">
        <f aca="false">ROUNDDOWN( MAX(1 - MIN(facs_constr_factor*TblConstr[[#This Row],[Facs DB]],facs_constr_max) + tech_1_11*TblTech[[#This Row],[1-11]] + tech_6_3_2*TblTech[[#This Row],[6-3]] + tech_5_2_3*TblTech[[#This Row],[5-2]], 1-global_constr_cap) * ROUND((TblConstr[[#This Row],[Land]]-250)*0.285 + 87.5 + 0/4.25,0),0)</f>
        <v>216</v>
      </c>
      <c r="AQ84" s="1" t="n">
        <f aca="false">TblConstr[[#This Row],[build -db]]*TblConstr[[#This Row],[CPA Platinum -DB]] + TblConstr[[#This Row],[build db]]*TblConstr[[#This Row],[CPA Platinum DB]]</f>
        <v>0</v>
      </c>
      <c r="AR84" s="1" t="n">
        <f aca="false">TblConstr[[#This Row],[build -db]]*TblConstr[[#This Row],[CPA Lumber -DB]]+TblConstr[[#This Row],[build db]]*TblConstr[[#This Row],[CPA Lumber DB]]</f>
        <v>0</v>
      </c>
      <c r="AS84" s="69" t="n">
        <f aca="false">MIN(SUM(OFFSET(TblConstr[[#This Row],[Plain]:[Water]],-1,0))+SUM(TblConstr[[#This Row],[Dest Hom]:[Dest Doc]])+IF(TblConstr[[#This Row],[Hour]]&gt;12,SUM(OFFSET(TblExplore[[#This Row],[Plains Explore]:[Water Explore]],-12,0)),0),SUM(TblConstr[[#This Row],[Hom]:[Doc]]))</f>
        <v>0</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1413</v>
      </c>
      <c r="AW84" s="69" t="n">
        <f aca="false">ROUND((TblConstr[[#This Row],[Land]]-250 - IF(TblExplore[[#This Row],[Land Bonus]]&lt;&gt;0,20,0))*0.285 + 87.5 + 0/4.25,0)</f>
        <v>216</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700</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430</v>
      </c>
      <c r="DA84" s="69" t="n">
        <f aca="false">H84+SUM(T73:U84)+SUM(BD84:BE84)</f>
        <v>25</v>
      </c>
      <c r="DB84" s="1" t="n">
        <f aca="false">I84+SUM(V73:W84)+SUM(BF84:BG84)</f>
        <v>0</v>
      </c>
      <c r="DC84" s="69" t="n">
        <f aca="false">J84+SUM(X73:Y84)+SUM(BH84:BI84)</f>
        <v>55</v>
      </c>
      <c r="DD84" s="69" t="n">
        <f aca="false">K84+SUM(AB73:AD84)+SUM(BL84:BN84)</f>
        <v>76</v>
      </c>
      <c r="DE84" s="1" t="n">
        <f aca="false">L84+SUM(AE73:AE84)+BO84</f>
        <v>0</v>
      </c>
      <c r="DF84" s="69" t="n">
        <f aca="false">M84+SUM(AG73:AG84)+BQ84</f>
        <v>24</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0</v>
      </c>
      <c r="C85" s="172" t="n">
        <f aca="false">SUM(TblConstr[[#This Row],[Tot Hom]:[Tot Doc]])</f>
        <v>700</v>
      </c>
      <c r="D85" s="172" t="n">
        <f aca="false">SUM(O74:AG85)</f>
        <v>0</v>
      </c>
      <c r="E85" s="173"/>
      <c r="F85" s="33" t="n">
        <f aca="false">TblConstr[[#This Row],[Barren]]+TblConstr[[#This Row],[Buildings]]+TblConstr[[#This Row],[Incoming]]</f>
        <v>700</v>
      </c>
      <c r="G85" s="199" t="n">
        <f aca="false">OFFSET(TblConstr[[#This Row],[Plain]],-1,0)+TblConstr[[#This Row],[Ch_Plain]]</f>
        <v>0</v>
      </c>
      <c r="H85" s="193" t="n">
        <f aca="false">OFFSET(TblConstr[[#This Row],[Forest]],-1,0)+TblConstr[[#This Row],[Ch_Forest]]</f>
        <v>0</v>
      </c>
      <c r="I85" s="200" t="n">
        <f aca="false">OFFSET(TblConstr[[#This Row],[Mountain]],-1,0)+TblConstr[[#This Row],[Ch_Mountain]]</f>
        <v>0</v>
      </c>
      <c r="J85" s="201" t="n">
        <f aca="false">OFFSET(TblConstr[[#This Row],[Hill]],-1,0)+TblConstr[[#This Row],[Ch_Hill]]</f>
        <v>0</v>
      </c>
      <c r="K85" s="202" t="n">
        <f aca="false">OFFSET(TblConstr[[#This Row],[Swamp]],-1,0)+TblConstr[[#This Row],[Ch_Swamp]]</f>
        <v>0</v>
      </c>
      <c r="L85" s="197" t="n">
        <f aca="false">OFFSET(TblConstr[[#This Row],[Cavern]],-1,0)+TblConstr[[#This Row],[Ch_Cavern]]</f>
        <v>0</v>
      </c>
      <c r="M85" s="198" t="n">
        <f aca="false">OFFSET(TblConstr[[#This Row],[Water]],-1,0)+TblConstr[[#This Row],[Ch_Water]]</f>
        <v>0</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378233</v>
      </c>
      <c r="AL85" s="69" t="n">
        <f aca="false">TblProd[[#This Row],[Lumber]]</f>
        <v>23009</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5" s="69" t="n">
        <f aca="false">ROUNDDOWN( MAX(1 - MIN(facs_constr_factor*TblConstr[[#This Row],[Facs -DB]],facs_constr_max) + tech_1_11*TblTech[[#This Row],[11-1]] + tech_6_3_2*TblTech[[#This Row],[6-3]] + tech_5_2_3*TblTech[[#This Row],[5-2]], 1-global_constr_cap) * TblConstr[[#This Row],[RCPA Lumber]],0)</f>
        <v>216</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5" s="69" t="n">
        <f aca="false">ROUNDDOWN( MAX(1 - MIN(facs_constr_factor*TblConstr[[#This Row],[Facs DB]],facs_constr_max) + tech_1_11*TblTech[[#This Row],[1-11]] + tech_6_3_2*TblTech[[#This Row],[6-3]] + tech_5_2_3*TblTech[[#This Row],[5-2]], 1-global_constr_cap) * ROUND((TblConstr[[#This Row],[Land]]-250)*0.285 + 87.5 + 0/4.25,0),0)</f>
        <v>216</v>
      </c>
      <c r="AQ85" s="1" t="n">
        <f aca="false">TblConstr[[#This Row],[build -db]]*TblConstr[[#This Row],[CPA Platinum -DB]] + TblConstr[[#This Row],[build db]]*TblConstr[[#This Row],[CPA Platinum DB]]</f>
        <v>0</v>
      </c>
      <c r="AR85" s="1" t="n">
        <f aca="false">TblConstr[[#This Row],[build -db]]*TblConstr[[#This Row],[CPA Lumber -DB]]+TblConstr[[#This Row],[build db]]*TblConstr[[#This Row],[CPA Lumber DB]]</f>
        <v>0</v>
      </c>
      <c r="AS85" s="69" t="n">
        <f aca="false">MIN(SUM(OFFSET(TblConstr[[#This Row],[Plain]:[Water]],-1,0))+SUM(TblConstr[[#This Row],[Dest Hom]:[Dest Doc]])+IF(TblConstr[[#This Row],[Hour]]&gt;12,SUM(OFFSET(TblExplore[[#This Row],[Plains Explore]:[Water Explore]],-12,0)),0),SUM(TblConstr[[#This Row],[Hom]:[Doc]]))</f>
        <v>0</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1413</v>
      </c>
      <c r="AW85" s="69" t="n">
        <f aca="false">ROUND((TblConstr[[#This Row],[Land]]-250 - IF(TblExplore[[#This Row],[Land Bonus]]&lt;&gt;0,20,0))*0.285 + 87.5 + 0/4.25,0)</f>
        <v>216</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700</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430</v>
      </c>
      <c r="DA85" s="69" t="n">
        <f aca="false">H85+SUM(T74:U85)+SUM(BD85:BE85)</f>
        <v>25</v>
      </c>
      <c r="DB85" s="1" t="n">
        <f aca="false">I85+SUM(V74:W85)+SUM(BF85:BG85)</f>
        <v>0</v>
      </c>
      <c r="DC85" s="69" t="n">
        <f aca="false">J85+SUM(X74:Y85)+SUM(BH85:BI85)</f>
        <v>55</v>
      </c>
      <c r="DD85" s="69" t="n">
        <f aca="false">K85+SUM(AB74:AD85)+SUM(BL85:BN85)</f>
        <v>76</v>
      </c>
      <c r="DE85" s="1" t="n">
        <f aca="false">L85+SUM(AE74:AE85)+BO85</f>
        <v>0</v>
      </c>
      <c r="DF85" s="69" t="n">
        <f aca="false">M85+SUM(AG74:AG85)+BQ85</f>
        <v>24</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0</v>
      </c>
      <c r="C86" s="172" t="n">
        <f aca="false">SUM(TblConstr[[#This Row],[Tot Hom]:[Tot Doc]])</f>
        <v>700</v>
      </c>
      <c r="D86" s="172" t="n">
        <f aca="false">SUM(O75:AG86)</f>
        <v>0</v>
      </c>
      <c r="E86" s="173"/>
      <c r="F86" s="33" t="n">
        <f aca="false">TblConstr[[#This Row],[Barren]]+TblConstr[[#This Row],[Buildings]]+TblConstr[[#This Row],[Incoming]]</f>
        <v>700</v>
      </c>
      <c r="G86" s="199" t="n">
        <f aca="false">OFFSET(TblConstr[[#This Row],[Plain]],-1,0)+TblConstr[[#This Row],[Ch_Plain]]</f>
        <v>0</v>
      </c>
      <c r="H86" s="193" t="n">
        <f aca="false">OFFSET(TblConstr[[#This Row],[Forest]],-1,0)+TblConstr[[#This Row],[Ch_Forest]]</f>
        <v>0</v>
      </c>
      <c r="I86" s="200" t="n">
        <f aca="false">OFFSET(TblConstr[[#This Row],[Mountain]],-1,0)+TblConstr[[#This Row],[Ch_Mountain]]</f>
        <v>0</v>
      </c>
      <c r="J86" s="201" t="n">
        <f aca="false">OFFSET(TblConstr[[#This Row],[Hill]],-1,0)+TblConstr[[#This Row],[Ch_Hill]]</f>
        <v>0</v>
      </c>
      <c r="K86" s="202" t="n">
        <f aca="false">OFFSET(TblConstr[[#This Row],[Swamp]],-1,0)+TblConstr[[#This Row],[Ch_Swamp]]</f>
        <v>0</v>
      </c>
      <c r="L86" s="197" t="n">
        <f aca="false">OFFSET(TblConstr[[#This Row],[Cavern]],-1,0)+TblConstr[[#This Row],[Ch_Cavern]]</f>
        <v>0</v>
      </c>
      <c r="M86" s="198" t="n">
        <f aca="false">OFFSET(TblConstr[[#This Row],[Water]],-1,0)+TblConstr[[#This Row],[Ch_Water]]</f>
        <v>0</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423149</v>
      </c>
      <c r="AL86" s="69" t="n">
        <f aca="false">TblProd[[#This Row],[Lumber]]</f>
        <v>23904</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6" s="69" t="n">
        <f aca="false">ROUNDDOWN( MAX(1 - MIN(facs_constr_factor*TblConstr[[#This Row],[Facs -DB]],facs_constr_max) + tech_1_11*TblTech[[#This Row],[11-1]] + tech_6_3_2*TblTech[[#This Row],[6-3]] + tech_5_2_3*TblTech[[#This Row],[5-2]], 1-global_constr_cap) * TblConstr[[#This Row],[RCPA Lumber]],0)</f>
        <v>216</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6" s="69" t="n">
        <f aca="false">ROUNDDOWN( MAX(1 - MIN(facs_constr_factor*TblConstr[[#This Row],[Facs DB]],facs_constr_max) + tech_1_11*TblTech[[#This Row],[1-11]] + tech_6_3_2*TblTech[[#This Row],[6-3]] + tech_5_2_3*TblTech[[#This Row],[5-2]], 1-global_constr_cap) * ROUND((TblConstr[[#This Row],[Land]]-250)*0.285 + 87.5 + 0/4.25,0),0)</f>
        <v>216</v>
      </c>
      <c r="AQ86" s="1" t="n">
        <f aca="false">TblConstr[[#This Row],[build -db]]*TblConstr[[#This Row],[CPA Platinum -DB]] + TblConstr[[#This Row],[build db]]*TblConstr[[#This Row],[CPA Platinum DB]]</f>
        <v>0</v>
      </c>
      <c r="AR86" s="1" t="n">
        <f aca="false">TblConstr[[#This Row],[build -db]]*TblConstr[[#This Row],[CPA Lumber -DB]]+TblConstr[[#This Row],[build db]]*TblConstr[[#This Row],[CPA Lumber DB]]</f>
        <v>0</v>
      </c>
      <c r="AS86" s="69" t="n">
        <f aca="false">MIN(SUM(OFFSET(TblConstr[[#This Row],[Plain]:[Water]],-1,0))+SUM(TblConstr[[#This Row],[Dest Hom]:[Dest Doc]])+IF(TblConstr[[#This Row],[Hour]]&gt;12,SUM(OFFSET(TblExplore[[#This Row],[Plains Explore]:[Water Explore]],-12,0)),0),SUM(TblConstr[[#This Row],[Hom]:[Doc]]))</f>
        <v>0</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1413</v>
      </c>
      <c r="AW86" s="69" t="n">
        <f aca="false">ROUND((TblConstr[[#This Row],[Land]]-250 - IF(TblExplore[[#This Row],[Land Bonus]]&lt;&gt;0,20,0))*0.285 + 87.5 + 0/4.25,0)</f>
        <v>216</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700</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430</v>
      </c>
      <c r="DA86" s="69" t="n">
        <f aca="false">H86+SUM(T75:U86)+SUM(BD86:BE86)</f>
        <v>25</v>
      </c>
      <c r="DB86" s="1" t="n">
        <f aca="false">I86+SUM(V75:W86)+SUM(BF86:BG86)</f>
        <v>0</v>
      </c>
      <c r="DC86" s="69" t="n">
        <f aca="false">J86+SUM(X75:Y86)+SUM(BH86:BI86)</f>
        <v>55</v>
      </c>
      <c r="DD86" s="69" t="n">
        <f aca="false">K86+SUM(AB75:AD86)+SUM(BL86:BN86)</f>
        <v>76</v>
      </c>
      <c r="DE86" s="1" t="n">
        <f aca="false">L86+SUM(AE75:AE86)+BO86</f>
        <v>0</v>
      </c>
      <c r="DF86" s="69" t="n">
        <f aca="false">M86+SUM(AG75:AG86)+BQ86</f>
        <v>24</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0</v>
      </c>
      <c r="C87" s="172" t="n">
        <f aca="false">SUM(TblConstr[[#This Row],[Tot Hom]:[Tot Doc]])</f>
        <v>700</v>
      </c>
      <c r="D87" s="172" t="n">
        <f aca="false">SUM(O76:AG87)</f>
        <v>0</v>
      </c>
      <c r="E87" s="173"/>
      <c r="F87" s="33" t="n">
        <f aca="false">TblConstr[[#This Row],[Barren]]+TblConstr[[#This Row],[Buildings]]+TblConstr[[#This Row],[Incoming]]</f>
        <v>700</v>
      </c>
      <c r="G87" s="199" t="n">
        <f aca="false">OFFSET(TblConstr[[#This Row],[Plain]],-1,0)+TblConstr[[#This Row],[Ch_Plain]]</f>
        <v>0</v>
      </c>
      <c r="H87" s="193" t="n">
        <f aca="false">OFFSET(TblConstr[[#This Row],[Forest]],-1,0)+TblConstr[[#This Row],[Ch_Forest]]</f>
        <v>0</v>
      </c>
      <c r="I87" s="200" t="n">
        <f aca="false">OFFSET(TblConstr[[#This Row],[Mountain]],-1,0)+TblConstr[[#This Row],[Ch_Mountain]]</f>
        <v>0</v>
      </c>
      <c r="J87" s="201" t="n">
        <f aca="false">OFFSET(TblConstr[[#This Row],[Hill]],-1,0)+TblConstr[[#This Row],[Ch_Hill]]</f>
        <v>0</v>
      </c>
      <c r="K87" s="202" t="n">
        <f aca="false">OFFSET(TblConstr[[#This Row],[Swamp]],-1,0)+TblConstr[[#This Row],[Ch_Swamp]]</f>
        <v>0</v>
      </c>
      <c r="L87" s="197" t="n">
        <f aca="false">OFFSET(TblConstr[[#This Row],[Cavern]],-1,0)+TblConstr[[#This Row],[Ch_Cavern]]</f>
        <v>0</v>
      </c>
      <c r="M87" s="198" t="n">
        <f aca="false">OFFSET(TblConstr[[#This Row],[Water]],-1,0)+TblConstr[[#This Row],[Ch_Water]]</f>
        <v>0</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467792</v>
      </c>
      <c r="AL87" s="69" t="n">
        <f aca="false">TblProd[[#This Row],[Lumber]]</f>
        <v>24790</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7" s="69" t="n">
        <f aca="false">ROUNDDOWN( MAX(1 - MIN(facs_constr_factor*TblConstr[[#This Row],[Facs -DB]],facs_constr_max) + tech_1_11*TblTech[[#This Row],[11-1]] + tech_6_3_2*TblTech[[#This Row],[6-3]] + tech_5_2_3*TblTech[[#This Row],[5-2]], 1-global_constr_cap) * TblConstr[[#This Row],[RCPA Lumber]],0)</f>
        <v>216</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7" s="69" t="n">
        <f aca="false">ROUNDDOWN( MAX(1 - MIN(facs_constr_factor*TblConstr[[#This Row],[Facs DB]],facs_constr_max) + tech_1_11*TblTech[[#This Row],[1-11]] + tech_6_3_2*TblTech[[#This Row],[6-3]] + tech_5_2_3*TblTech[[#This Row],[5-2]], 1-global_constr_cap) * ROUND((TblConstr[[#This Row],[Land]]-250)*0.285 + 87.5 + 0/4.25,0),0)</f>
        <v>216</v>
      </c>
      <c r="AQ87" s="1" t="n">
        <f aca="false">TblConstr[[#This Row],[build -db]]*TblConstr[[#This Row],[CPA Platinum -DB]] + TblConstr[[#This Row],[build db]]*TblConstr[[#This Row],[CPA Platinum DB]]</f>
        <v>0</v>
      </c>
      <c r="AR87" s="1" t="n">
        <f aca="false">TblConstr[[#This Row],[build -db]]*TblConstr[[#This Row],[CPA Lumber -DB]]+TblConstr[[#This Row],[build db]]*TblConstr[[#This Row],[CPA Lumber DB]]</f>
        <v>0</v>
      </c>
      <c r="AS87" s="69" t="n">
        <f aca="false">MIN(SUM(OFFSET(TblConstr[[#This Row],[Plain]:[Water]],-1,0))+SUM(TblConstr[[#This Row],[Dest Hom]:[Dest Doc]])+IF(TblConstr[[#This Row],[Hour]]&gt;12,SUM(OFFSET(TblExplore[[#This Row],[Plains Explore]:[Water Explore]],-12,0)),0),SUM(TblConstr[[#This Row],[Hom]:[Doc]]))</f>
        <v>0</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1413</v>
      </c>
      <c r="AW87" s="69" t="n">
        <f aca="false">ROUND((TblConstr[[#This Row],[Land]]-250 - IF(TblExplore[[#This Row],[Land Bonus]]&lt;&gt;0,20,0))*0.285 + 87.5 + 0/4.25,0)</f>
        <v>216</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700</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430</v>
      </c>
      <c r="DA87" s="69" t="n">
        <f aca="false">H87+SUM(T76:U87)+SUM(BD87:BE87)</f>
        <v>25</v>
      </c>
      <c r="DB87" s="1" t="n">
        <f aca="false">I87+SUM(V76:W87)+SUM(BF87:BG87)</f>
        <v>0</v>
      </c>
      <c r="DC87" s="69" t="n">
        <f aca="false">J87+SUM(X76:Y87)+SUM(BH87:BI87)</f>
        <v>55</v>
      </c>
      <c r="DD87" s="69" t="n">
        <f aca="false">K87+SUM(AB76:AD87)+SUM(BL87:BN87)</f>
        <v>76</v>
      </c>
      <c r="DE87" s="1" t="n">
        <f aca="false">L87+SUM(AE76:AE87)+BO87</f>
        <v>0</v>
      </c>
      <c r="DF87" s="69" t="n">
        <f aca="false">M87+SUM(AG76:AG87)+BQ87</f>
        <v>24</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0</v>
      </c>
      <c r="C88" s="172" t="n">
        <f aca="false">SUM(TblConstr[[#This Row],[Tot Hom]:[Tot Doc]])</f>
        <v>700</v>
      </c>
      <c r="D88" s="172" t="n">
        <f aca="false">SUM(O77:AG88)</f>
        <v>0</v>
      </c>
      <c r="E88" s="173"/>
      <c r="F88" s="33" t="n">
        <f aca="false">TblConstr[[#This Row],[Barren]]+TblConstr[[#This Row],[Buildings]]+TblConstr[[#This Row],[Incoming]]</f>
        <v>700</v>
      </c>
      <c r="G88" s="199" t="n">
        <f aca="false">OFFSET(TblConstr[[#This Row],[Plain]],-1,0)+TblConstr[[#This Row],[Ch_Plain]]</f>
        <v>0</v>
      </c>
      <c r="H88" s="193" t="n">
        <f aca="false">OFFSET(TblConstr[[#This Row],[Forest]],-1,0)+TblConstr[[#This Row],[Ch_Forest]]</f>
        <v>0</v>
      </c>
      <c r="I88" s="200" t="n">
        <f aca="false">OFFSET(TblConstr[[#This Row],[Mountain]],-1,0)+TblConstr[[#This Row],[Ch_Mountain]]</f>
        <v>0</v>
      </c>
      <c r="J88" s="201" t="n">
        <f aca="false">OFFSET(TblConstr[[#This Row],[Hill]],-1,0)+TblConstr[[#This Row],[Ch_Hill]]</f>
        <v>0</v>
      </c>
      <c r="K88" s="202" t="n">
        <f aca="false">OFFSET(TblConstr[[#This Row],[Swamp]],-1,0)+TblConstr[[#This Row],[Ch_Swamp]]</f>
        <v>0</v>
      </c>
      <c r="L88" s="197" t="n">
        <f aca="false">OFFSET(TblConstr[[#This Row],[Cavern]],-1,0)+TblConstr[[#This Row],[Ch_Cavern]]</f>
        <v>0</v>
      </c>
      <c r="M88" s="198" t="n">
        <f aca="false">OFFSET(TblConstr[[#This Row],[Water]],-1,0)+TblConstr[[#This Row],[Ch_Water]]</f>
        <v>0</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512165</v>
      </c>
      <c r="AL88" s="69" t="n">
        <f aca="false">TblProd[[#This Row],[Lumber]]</f>
        <v>25667</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8" s="69" t="n">
        <f aca="false">ROUNDDOWN( MAX(1 - MIN(facs_constr_factor*TblConstr[[#This Row],[Facs -DB]],facs_constr_max) + tech_1_11*TblTech[[#This Row],[11-1]] + tech_6_3_2*TblTech[[#This Row],[6-3]] + tech_5_2_3*TblTech[[#This Row],[5-2]], 1-global_constr_cap) * TblConstr[[#This Row],[RCPA Lumber]],0)</f>
        <v>216</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8" s="69" t="n">
        <f aca="false">ROUNDDOWN( MAX(1 - MIN(facs_constr_factor*TblConstr[[#This Row],[Facs DB]],facs_constr_max) + tech_1_11*TblTech[[#This Row],[1-11]] + tech_6_3_2*TblTech[[#This Row],[6-3]] + tech_5_2_3*TblTech[[#This Row],[5-2]], 1-global_constr_cap) * ROUND((TblConstr[[#This Row],[Land]]-250)*0.285 + 87.5 + 0/4.25,0),0)</f>
        <v>216</v>
      </c>
      <c r="AQ88" s="1" t="n">
        <f aca="false">TblConstr[[#This Row],[build -db]]*TblConstr[[#This Row],[CPA Platinum -DB]] + TblConstr[[#This Row],[build db]]*TblConstr[[#This Row],[CPA Platinum DB]]</f>
        <v>0</v>
      </c>
      <c r="AR88" s="1" t="n">
        <f aca="false">TblConstr[[#This Row],[build -db]]*TblConstr[[#This Row],[CPA Lumber -DB]]+TblConstr[[#This Row],[build db]]*TblConstr[[#This Row],[CPA Lumber DB]]</f>
        <v>0</v>
      </c>
      <c r="AS88" s="69" t="n">
        <f aca="false">MIN(SUM(OFFSET(TblConstr[[#This Row],[Plain]:[Water]],-1,0))+SUM(TblConstr[[#This Row],[Dest Hom]:[Dest Doc]])+IF(TblConstr[[#This Row],[Hour]]&gt;12,SUM(OFFSET(TblExplore[[#This Row],[Plains Explore]:[Water Explore]],-12,0)),0),SUM(TblConstr[[#This Row],[Hom]:[Doc]]))</f>
        <v>0</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1413</v>
      </c>
      <c r="AW88" s="69" t="n">
        <f aca="false">ROUND((TblConstr[[#This Row],[Land]]-250 - IF(TblExplore[[#This Row],[Land Bonus]]&lt;&gt;0,20,0))*0.285 + 87.5 + 0/4.25,0)</f>
        <v>216</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700</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430</v>
      </c>
      <c r="DA88" s="69" t="n">
        <f aca="false">H88+SUM(T77:U88)+SUM(BD88:BE88)</f>
        <v>25</v>
      </c>
      <c r="DB88" s="1" t="n">
        <f aca="false">I88+SUM(V77:W88)+SUM(BF88:BG88)</f>
        <v>0</v>
      </c>
      <c r="DC88" s="69" t="n">
        <f aca="false">J88+SUM(X77:Y88)+SUM(BH88:BI88)</f>
        <v>55</v>
      </c>
      <c r="DD88" s="69" t="n">
        <f aca="false">K88+SUM(AB77:AD88)+SUM(BL88:BN88)</f>
        <v>76</v>
      </c>
      <c r="DE88" s="1" t="n">
        <f aca="false">L88+SUM(AE77:AE88)+BO88</f>
        <v>0</v>
      </c>
      <c r="DF88" s="69" t="n">
        <f aca="false">M88+SUM(AG77:AG88)+BQ88</f>
        <v>24</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0</v>
      </c>
      <c r="C89" s="172" t="n">
        <f aca="false">SUM(TblConstr[[#This Row],[Tot Hom]:[Tot Doc]])</f>
        <v>700</v>
      </c>
      <c r="D89" s="172" t="n">
        <f aca="false">SUM(O78:AG89)</f>
        <v>0</v>
      </c>
      <c r="E89" s="173"/>
      <c r="F89" s="33" t="n">
        <f aca="false">TblConstr[[#This Row],[Barren]]+TblConstr[[#This Row],[Buildings]]+TblConstr[[#This Row],[Incoming]]</f>
        <v>700</v>
      </c>
      <c r="G89" s="199" t="n">
        <f aca="false">OFFSET(TblConstr[[#This Row],[Plain]],-1,0)+TblConstr[[#This Row],[Ch_Plain]]</f>
        <v>0</v>
      </c>
      <c r="H89" s="193" t="n">
        <f aca="false">OFFSET(TblConstr[[#This Row],[Forest]],-1,0)+TblConstr[[#This Row],[Ch_Forest]]</f>
        <v>0</v>
      </c>
      <c r="I89" s="200" t="n">
        <f aca="false">OFFSET(TblConstr[[#This Row],[Mountain]],-1,0)+TblConstr[[#This Row],[Ch_Mountain]]</f>
        <v>0</v>
      </c>
      <c r="J89" s="201" t="n">
        <f aca="false">OFFSET(TblConstr[[#This Row],[Hill]],-1,0)+TblConstr[[#This Row],[Ch_Hill]]</f>
        <v>0</v>
      </c>
      <c r="K89" s="202" t="n">
        <f aca="false">OFFSET(TblConstr[[#This Row],[Swamp]],-1,0)+TblConstr[[#This Row],[Ch_Swamp]]</f>
        <v>0</v>
      </c>
      <c r="L89" s="197" t="n">
        <f aca="false">OFFSET(TblConstr[[#This Row],[Cavern]],-1,0)+TblConstr[[#This Row],[Ch_Cavern]]</f>
        <v>0</v>
      </c>
      <c r="M89" s="198" t="n">
        <f aca="false">OFFSET(TblConstr[[#This Row],[Water]],-1,0)+TblConstr[[#This Row],[Ch_Water]]</f>
        <v>0</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556270</v>
      </c>
      <c r="AL89" s="69" t="n">
        <f aca="false">TblProd[[#This Row],[Lumber]]</f>
        <v>26535</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9" s="69" t="n">
        <f aca="false">ROUNDDOWN( MAX(1 - MIN(facs_constr_factor*TblConstr[[#This Row],[Facs -DB]],facs_constr_max) + tech_1_11*TblTech[[#This Row],[11-1]] + tech_6_3_2*TblTech[[#This Row],[6-3]] + tech_5_2_3*TblTech[[#This Row],[5-2]], 1-global_constr_cap) * TblConstr[[#This Row],[RCPA Lumber]],0)</f>
        <v>216</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9" s="69" t="n">
        <f aca="false">ROUNDDOWN( MAX(1 - MIN(facs_constr_factor*TblConstr[[#This Row],[Facs DB]],facs_constr_max) + tech_1_11*TblTech[[#This Row],[1-11]] + tech_6_3_2*TblTech[[#This Row],[6-3]] + tech_5_2_3*TblTech[[#This Row],[5-2]], 1-global_constr_cap) * ROUND((TblConstr[[#This Row],[Land]]-250)*0.285 + 87.5 + 0/4.25,0),0)</f>
        <v>216</v>
      </c>
      <c r="AQ89" s="1" t="n">
        <f aca="false">TblConstr[[#This Row],[build -db]]*TblConstr[[#This Row],[CPA Platinum -DB]] + TblConstr[[#This Row],[build db]]*TblConstr[[#This Row],[CPA Platinum DB]]</f>
        <v>0</v>
      </c>
      <c r="AR89" s="1" t="n">
        <f aca="false">TblConstr[[#This Row],[build -db]]*TblConstr[[#This Row],[CPA Lumber -DB]]+TblConstr[[#This Row],[build db]]*TblConstr[[#This Row],[CPA Lumber DB]]</f>
        <v>0</v>
      </c>
      <c r="AS89" s="69" t="n">
        <f aca="false">MIN(SUM(OFFSET(TblConstr[[#This Row],[Plain]:[Water]],-1,0))+SUM(TblConstr[[#This Row],[Dest Hom]:[Dest Doc]])+IF(TblConstr[[#This Row],[Hour]]&gt;12,SUM(OFFSET(TblExplore[[#This Row],[Plains Explore]:[Water Explore]],-12,0)),0),SUM(TblConstr[[#This Row],[Hom]:[Doc]]))</f>
        <v>0</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1413</v>
      </c>
      <c r="AW89" s="69" t="n">
        <f aca="false">ROUND((TblConstr[[#This Row],[Land]]-250 - IF(TblExplore[[#This Row],[Land Bonus]]&lt;&gt;0,20,0))*0.285 + 87.5 + 0/4.25,0)</f>
        <v>216</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700</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430</v>
      </c>
      <c r="DA89" s="69" t="n">
        <f aca="false">H89+SUM(T78:U89)+SUM(BD89:BE89)</f>
        <v>25</v>
      </c>
      <c r="DB89" s="1" t="n">
        <f aca="false">I89+SUM(V78:W89)+SUM(BF89:BG89)</f>
        <v>0</v>
      </c>
      <c r="DC89" s="69" t="n">
        <f aca="false">J89+SUM(X78:Y89)+SUM(BH89:BI89)</f>
        <v>55</v>
      </c>
      <c r="DD89" s="69" t="n">
        <f aca="false">K89+SUM(AB78:AD89)+SUM(BL89:BN89)</f>
        <v>76</v>
      </c>
      <c r="DE89" s="1" t="n">
        <f aca="false">L89+SUM(AE78:AE89)+BO89</f>
        <v>0</v>
      </c>
      <c r="DF89" s="69" t="n">
        <f aca="false">M89+SUM(AG78:AG89)+BQ89</f>
        <v>24</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0</v>
      </c>
      <c r="C90" s="172" t="n">
        <f aca="false">SUM(TblConstr[[#This Row],[Tot Hom]:[Tot Doc]])</f>
        <v>700</v>
      </c>
      <c r="D90" s="172" t="n">
        <f aca="false">SUM(O79:AG90)</f>
        <v>0</v>
      </c>
      <c r="E90" s="173"/>
      <c r="F90" s="33" t="n">
        <f aca="false">TblConstr[[#This Row],[Barren]]+TblConstr[[#This Row],[Buildings]]+TblConstr[[#This Row],[Incoming]]</f>
        <v>700</v>
      </c>
      <c r="G90" s="199" t="n">
        <f aca="false">OFFSET(TblConstr[[#This Row],[Plain]],-1,0)+TblConstr[[#This Row],[Ch_Plain]]</f>
        <v>0</v>
      </c>
      <c r="H90" s="193" t="n">
        <f aca="false">OFFSET(TblConstr[[#This Row],[Forest]],-1,0)+TblConstr[[#This Row],[Ch_Forest]]</f>
        <v>0</v>
      </c>
      <c r="I90" s="200" t="n">
        <f aca="false">OFFSET(TblConstr[[#This Row],[Mountain]],-1,0)+TblConstr[[#This Row],[Ch_Mountain]]</f>
        <v>0</v>
      </c>
      <c r="J90" s="201" t="n">
        <f aca="false">OFFSET(TblConstr[[#This Row],[Hill]],-1,0)+TblConstr[[#This Row],[Ch_Hill]]</f>
        <v>0</v>
      </c>
      <c r="K90" s="202" t="n">
        <f aca="false">OFFSET(TblConstr[[#This Row],[Swamp]],-1,0)+TblConstr[[#This Row],[Ch_Swamp]]</f>
        <v>0</v>
      </c>
      <c r="L90" s="197" t="n">
        <f aca="false">OFFSET(TblConstr[[#This Row],[Cavern]],-1,0)+TblConstr[[#This Row],[Ch_Cavern]]</f>
        <v>0</v>
      </c>
      <c r="M90" s="198" t="n">
        <f aca="false">OFFSET(TblConstr[[#This Row],[Water]],-1,0)+TblConstr[[#This Row],[Ch_Water]]</f>
        <v>0</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600111</v>
      </c>
      <c r="AL90" s="69" t="n">
        <f aca="false">TblProd[[#This Row],[Lumber]]</f>
        <v>27395</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0" s="69" t="n">
        <f aca="false">ROUNDDOWN( MAX(1 - MIN(facs_constr_factor*TblConstr[[#This Row],[Facs -DB]],facs_constr_max) + tech_1_11*TblTech[[#This Row],[11-1]] + tech_6_3_2*TblTech[[#This Row],[6-3]] + tech_5_2_3*TblTech[[#This Row],[5-2]], 1-global_constr_cap) * TblConstr[[#This Row],[RCPA Lumber]],0)</f>
        <v>216</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0" s="69" t="n">
        <f aca="false">ROUNDDOWN( MAX(1 - MIN(facs_constr_factor*TblConstr[[#This Row],[Facs DB]],facs_constr_max) + tech_1_11*TblTech[[#This Row],[1-11]] + tech_6_3_2*TblTech[[#This Row],[6-3]] + tech_5_2_3*TblTech[[#This Row],[5-2]], 1-global_constr_cap) * ROUND((TblConstr[[#This Row],[Land]]-250)*0.285 + 87.5 + 0/4.25,0),0)</f>
        <v>216</v>
      </c>
      <c r="AQ90" s="1" t="n">
        <f aca="false">TblConstr[[#This Row],[build -db]]*TblConstr[[#This Row],[CPA Platinum -DB]] + TblConstr[[#This Row],[build db]]*TblConstr[[#This Row],[CPA Platinum DB]]</f>
        <v>0</v>
      </c>
      <c r="AR90" s="1" t="n">
        <f aca="false">TblConstr[[#This Row],[build -db]]*TblConstr[[#This Row],[CPA Lumber -DB]]+TblConstr[[#This Row],[build db]]*TblConstr[[#This Row],[CPA Lumber DB]]</f>
        <v>0</v>
      </c>
      <c r="AS90" s="69" t="n">
        <f aca="false">MIN(SUM(OFFSET(TblConstr[[#This Row],[Plain]:[Water]],-1,0))+SUM(TblConstr[[#This Row],[Dest Hom]:[Dest Doc]])+IF(TblConstr[[#This Row],[Hour]]&gt;12,SUM(OFFSET(TblExplore[[#This Row],[Plains Explore]:[Water Explore]],-12,0)),0),SUM(TblConstr[[#This Row],[Hom]:[Doc]]))</f>
        <v>0</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1413</v>
      </c>
      <c r="AW90" s="69" t="n">
        <f aca="false">ROUND((TblConstr[[#This Row],[Land]]-250 - IF(TblExplore[[#This Row],[Land Bonus]]&lt;&gt;0,20,0))*0.285 + 87.5 + 0/4.25,0)</f>
        <v>216</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700</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430</v>
      </c>
      <c r="DA90" s="69" t="n">
        <f aca="false">H90+SUM(T79:U90)+SUM(BD90:BE90)</f>
        <v>25</v>
      </c>
      <c r="DB90" s="1" t="n">
        <f aca="false">I90+SUM(V79:W90)+SUM(BF90:BG90)</f>
        <v>0</v>
      </c>
      <c r="DC90" s="69" t="n">
        <f aca="false">J90+SUM(X79:Y90)+SUM(BH90:BI90)</f>
        <v>55</v>
      </c>
      <c r="DD90" s="69" t="n">
        <f aca="false">K90+SUM(AB79:AD90)+SUM(BL90:BN90)</f>
        <v>76</v>
      </c>
      <c r="DE90" s="1" t="n">
        <f aca="false">L90+SUM(AE79:AE90)+BO90</f>
        <v>0</v>
      </c>
      <c r="DF90" s="69" t="n">
        <f aca="false">M90+SUM(AG79:AG90)+BQ90</f>
        <v>24</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0</v>
      </c>
      <c r="C91" s="172" t="n">
        <f aca="false">SUM(TblConstr[[#This Row],[Tot Hom]:[Tot Doc]])</f>
        <v>700</v>
      </c>
      <c r="D91" s="172" t="n">
        <f aca="false">SUM(O80:AG91)</f>
        <v>0</v>
      </c>
      <c r="E91" s="173"/>
      <c r="F91" s="33" t="n">
        <f aca="false">TblConstr[[#This Row],[Barren]]+TblConstr[[#This Row],[Buildings]]+TblConstr[[#This Row],[Incoming]]</f>
        <v>700</v>
      </c>
      <c r="G91" s="199" t="n">
        <f aca="false">OFFSET(TblConstr[[#This Row],[Plain]],-1,0)+TblConstr[[#This Row],[Ch_Plain]]</f>
        <v>0</v>
      </c>
      <c r="H91" s="193" t="n">
        <f aca="false">OFFSET(TblConstr[[#This Row],[Forest]],-1,0)+TblConstr[[#This Row],[Ch_Forest]]</f>
        <v>0</v>
      </c>
      <c r="I91" s="200" t="n">
        <f aca="false">OFFSET(TblConstr[[#This Row],[Mountain]],-1,0)+TblConstr[[#This Row],[Ch_Mountain]]</f>
        <v>0</v>
      </c>
      <c r="J91" s="201" t="n">
        <f aca="false">OFFSET(TblConstr[[#This Row],[Hill]],-1,0)+TblConstr[[#This Row],[Ch_Hill]]</f>
        <v>0</v>
      </c>
      <c r="K91" s="202" t="n">
        <f aca="false">OFFSET(TblConstr[[#This Row],[Swamp]],-1,0)+TblConstr[[#This Row],[Ch_Swamp]]</f>
        <v>0</v>
      </c>
      <c r="L91" s="197" t="n">
        <f aca="false">OFFSET(TblConstr[[#This Row],[Cavern]],-1,0)+TblConstr[[#This Row],[Ch_Cavern]]</f>
        <v>0</v>
      </c>
      <c r="M91" s="198" t="n">
        <f aca="false">OFFSET(TblConstr[[#This Row],[Water]],-1,0)+TblConstr[[#This Row],[Ch_Water]]</f>
        <v>0</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643688</v>
      </c>
      <c r="AL91" s="69" t="n">
        <f aca="false">TblProd[[#This Row],[Lumber]]</f>
        <v>28246</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1" s="69" t="n">
        <f aca="false">ROUNDDOWN( MAX(1 - MIN(facs_constr_factor*TblConstr[[#This Row],[Facs -DB]],facs_constr_max) + tech_1_11*TblTech[[#This Row],[11-1]] + tech_6_3_2*TblTech[[#This Row],[6-3]] + tech_5_2_3*TblTech[[#This Row],[5-2]], 1-global_constr_cap) * TblConstr[[#This Row],[RCPA Lumber]],0)</f>
        <v>216</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1" s="69" t="n">
        <f aca="false">ROUNDDOWN( MAX(1 - MIN(facs_constr_factor*TblConstr[[#This Row],[Facs DB]],facs_constr_max) + tech_1_11*TblTech[[#This Row],[1-11]] + tech_6_3_2*TblTech[[#This Row],[6-3]] + tech_5_2_3*TblTech[[#This Row],[5-2]], 1-global_constr_cap) * ROUND((TblConstr[[#This Row],[Land]]-250)*0.285 + 87.5 + 0/4.25,0),0)</f>
        <v>216</v>
      </c>
      <c r="AQ91" s="1" t="n">
        <f aca="false">TblConstr[[#This Row],[build -db]]*TblConstr[[#This Row],[CPA Platinum -DB]] + TblConstr[[#This Row],[build db]]*TblConstr[[#This Row],[CPA Platinum DB]]</f>
        <v>0</v>
      </c>
      <c r="AR91" s="1" t="n">
        <f aca="false">TblConstr[[#This Row],[build -db]]*TblConstr[[#This Row],[CPA Lumber -DB]]+TblConstr[[#This Row],[build db]]*TblConstr[[#This Row],[CPA Lumber DB]]</f>
        <v>0</v>
      </c>
      <c r="AS91" s="69" t="n">
        <f aca="false">MIN(SUM(OFFSET(TblConstr[[#This Row],[Plain]:[Water]],-1,0))+SUM(TblConstr[[#This Row],[Dest Hom]:[Dest Doc]])+IF(TblConstr[[#This Row],[Hour]]&gt;12,SUM(OFFSET(TblExplore[[#This Row],[Plains Explore]:[Water Explore]],-12,0)),0),SUM(TblConstr[[#This Row],[Hom]:[Doc]]))</f>
        <v>0</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1413</v>
      </c>
      <c r="AW91" s="69" t="n">
        <f aca="false">ROUND((TblConstr[[#This Row],[Land]]-250 - IF(TblExplore[[#This Row],[Land Bonus]]&lt;&gt;0,20,0))*0.285 + 87.5 + 0/4.25,0)</f>
        <v>216</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700</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430</v>
      </c>
      <c r="DA91" s="69" t="n">
        <f aca="false">H91+SUM(T80:U91)+SUM(BD91:BE91)</f>
        <v>25</v>
      </c>
      <c r="DB91" s="1" t="n">
        <f aca="false">I91+SUM(V80:W91)+SUM(BF91:BG91)</f>
        <v>0</v>
      </c>
      <c r="DC91" s="69" t="n">
        <f aca="false">J91+SUM(X80:Y91)+SUM(BH91:BI91)</f>
        <v>55</v>
      </c>
      <c r="DD91" s="69" t="n">
        <f aca="false">K91+SUM(AB80:AD91)+SUM(BL91:BN91)</f>
        <v>76</v>
      </c>
      <c r="DE91" s="1" t="n">
        <f aca="false">L91+SUM(AE80:AE91)+BO91</f>
        <v>0</v>
      </c>
      <c r="DF91" s="69" t="n">
        <f aca="false">M91+SUM(AG80:AG91)+BQ91</f>
        <v>24</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0</v>
      </c>
      <c r="C92" s="172" t="n">
        <f aca="false">SUM(TblConstr[[#This Row],[Tot Hom]:[Tot Doc]])</f>
        <v>700</v>
      </c>
      <c r="D92" s="172" t="n">
        <f aca="false">SUM(O81:AG92)</f>
        <v>0</v>
      </c>
      <c r="E92" s="173"/>
      <c r="F92" s="33" t="n">
        <f aca="false">TblConstr[[#This Row],[Barren]]+TblConstr[[#This Row],[Buildings]]+TblConstr[[#This Row],[Incoming]]</f>
        <v>700</v>
      </c>
      <c r="G92" s="199" t="n">
        <f aca="false">OFFSET(TblConstr[[#This Row],[Plain]],-1,0)+TblConstr[[#This Row],[Ch_Plain]]</f>
        <v>0</v>
      </c>
      <c r="H92" s="193" t="n">
        <f aca="false">OFFSET(TblConstr[[#This Row],[Forest]],-1,0)+TblConstr[[#This Row],[Ch_Forest]]</f>
        <v>0</v>
      </c>
      <c r="I92" s="200" t="n">
        <f aca="false">OFFSET(TblConstr[[#This Row],[Mountain]],-1,0)+TblConstr[[#This Row],[Ch_Mountain]]</f>
        <v>0</v>
      </c>
      <c r="J92" s="201" t="n">
        <f aca="false">OFFSET(TblConstr[[#This Row],[Hill]],-1,0)+TblConstr[[#This Row],[Ch_Hill]]</f>
        <v>0</v>
      </c>
      <c r="K92" s="202" t="n">
        <f aca="false">OFFSET(TblConstr[[#This Row],[Swamp]],-1,0)+TblConstr[[#This Row],[Ch_Swamp]]</f>
        <v>0</v>
      </c>
      <c r="L92" s="197" t="n">
        <f aca="false">OFFSET(TblConstr[[#This Row],[Cavern]],-1,0)+TblConstr[[#This Row],[Ch_Cavern]]</f>
        <v>0</v>
      </c>
      <c r="M92" s="198" t="n">
        <f aca="false">OFFSET(TblConstr[[#This Row],[Water]],-1,0)+TblConstr[[#This Row],[Ch_Water]]</f>
        <v>0</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687003</v>
      </c>
      <c r="AL92" s="69" t="n">
        <f aca="false">TblProd[[#This Row],[Lumber]]</f>
        <v>29089</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2" s="69" t="n">
        <f aca="false">ROUNDDOWN( MAX(1 - MIN(facs_constr_factor*TblConstr[[#This Row],[Facs -DB]],facs_constr_max) + tech_1_11*TblTech[[#This Row],[11-1]] + tech_6_3_2*TblTech[[#This Row],[6-3]] + tech_5_2_3*TblTech[[#This Row],[5-2]], 1-global_constr_cap) * TblConstr[[#This Row],[RCPA Lumber]],0)</f>
        <v>216</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2" s="69" t="n">
        <f aca="false">ROUNDDOWN( MAX(1 - MIN(facs_constr_factor*TblConstr[[#This Row],[Facs DB]],facs_constr_max) + tech_1_11*TblTech[[#This Row],[1-11]] + tech_6_3_2*TblTech[[#This Row],[6-3]] + tech_5_2_3*TblTech[[#This Row],[5-2]], 1-global_constr_cap) * ROUND((TblConstr[[#This Row],[Land]]-250)*0.285 + 87.5 + 0/4.25,0),0)</f>
        <v>216</v>
      </c>
      <c r="AQ92" s="1" t="n">
        <f aca="false">TblConstr[[#This Row],[build -db]]*TblConstr[[#This Row],[CPA Platinum -DB]] + TblConstr[[#This Row],[build db]]*TblConstr[[#This Row],[CPA Platinum DB]]</f>
        <v>0</v>
      </c>
      <c r="AR92" s="1" t="n">
        <f aca="false">TblConstr[[#This Row],[build -db]]*TblConstr[[#This Row],[CPA Lumber -DB]]+TblConstr[[#This Row],[build db]]*TblConstr[[#This Row],[CPA Lumber DB]]</f>
        <v>0</v>
      </c>
      <c r="AS92" s="69" t="n">
        <f aca="false">MIN(SUM(OFFSET(TblConstr[[#This Row],[Plain]:[Water]],-1,0))+SUM(TblConstr[[#This Row],[Dest Hom]:[Dest Doc]])+IF(TblConstr[[#This Row],[Hour]]&gt;12,SUM(OFFSET(TblExplore[[#This Row],[Plains Explore]:[Water Explore]],-12,0)),0),SUM(TblConstr[[#This Row],[Hom]:[Doc]]))</f>
        <v>0</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1413</v>
      </c>
      <c r="AW92" s="69" t="n">
        <f aca="false">ROUND((TblConstr[[#This Row],[Land]]-250 - IF(TblExplore[[#This Row],[Land Bonus]]&lt;&gt;0,20,0))*0.285 + 87.5 + 0/4.25,0)</f>
        <v>216</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700</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430</v>
      </c>
      <c r="DA92" s="69" t="n">
        <f aca="false">H92+SUM(T81:U92)+SUM(BD92:BE92)</f>
        <v>25</v>
      </c>
      <c r="DB92" s="1" t="n">
        <f aca="false">I92+SUM(V81:W92)+SUM(BF92:BG92)</f>
        <v>0</v>
      </c>
      <c r="DC92" s="69" t="n">
        <f aca="false">J92+SUM(X81:Y92)+SUM(BH92:BI92)</f>
        <v>55</v>
      </c>
      <c r="DD92" s="69" t="n">
        <f aca="false">K92+SUM(AB81:AD92)+SUM(BL92:BN92)</f>
        <v>76</v>
      </c>
      <c r="DE92" s="1" t="n">
        <f aca="false">L92+SUM(AE81:AE92)+BO92</f>
        <v>0</v>
      </c>
      <c r="DF92" s="69" t="n">
        <f aca="false">M92+SUM(AG81:AG92)+BQ92</f>
        <v>24</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0</v>
      </c>
      <c r="C93" s="172" t="n">
        <f aca="false">SUM(TblConstr[[#This Row],[Tot Hom]:[Tot Doc]])</f>
        <v>700</v>
      </c>
      <c r="D93" s="172" t="n">
        <f aca="false">SUM(O82:AG93)</f>
        <v>0</v>
      </c>
      <c r="E93" s="173"/>
      <c r="F93" s="33" t="n">
        <f aca="false">TblConstr[[#This Row],[Barren]]+TblConstr[[#This Row],[Buildings]]+TblConstr[[#This Row],[Incoming]]</f>
        <v>700</v>
      </c>
      <c r="G93" s="199" t="n">
        <f aca="false">OFFSET(TblConstr[[#This Row],[Plain]],-1,0)+TblConstr[[#This Row],[Ch_Plain]]</f>
        <v>0</v>
      </c>
      <c r="H93" s="193" t="n">
        <f aca="false">OFFSET(TblConstr[[#This Row],[Forest]],-1,0)+TblConstr[[#This Row],[Ch_Forest]]</f>
        <v>0</v>
      </c>
      <c r="I93" s="200" t="n">
        <f aca="false">OFFSET(TblConstr[[#This Row],[Mountain]],-1,0)+TblConstr[[#This Row],[Ch_Mountain]]</f>
        <v>0</v>
      </c>
      <c r="J93" s="201" t="n">
        <f aca="false">OFFSET(TblConstr[[#This Row],[Hill]],-1,0)+TblConstr[[#This Row],[Ch_Hill]]</f>
        <v>0</v>
      </c>
      <c r="K93" s="202" t="n">
        <f aca="false">OFFSET(TblConstr[[#This Row],[Swamp]],-1,0)+TblConstr[[#This Row],[Ch_Swamp]]</f>
        <v>0</v>
      </c>
      <c r="L93" s="197" t="n">
        <f aca="false">OFFSET(TblConstr[[#This Row],[Cavern]],-1,0)+TblConstr[[#This Row],[Ch_Cavern]]</f>
        <v>0</v>
      </c>
      <c r="M93" s="198" t="n">
        <f aca="false">OFFSET(TblConstr[[#This Row],[Water]],-1,0)+TblConstr[[#This Row],[Ch_Water]]</f>
        <v>0</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730060</v>
      </c>
      <c r="AL93" s="69" t="n">
        <f aca="false">TblProd[[#This Row],[Lumber]]</f>
        <v>29923</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3" s="69" t="n">
        <f aca="false">ROUNDDOWN( MAX(1 - MIN(facs_constr_factor*TblConstr[[#This Row],[Facs -DB]],facs_constr_max) + tech_1_11*TblTech[[#This Row],[11-1]] + tech_6_3_2*TblTech[[#This Row],[6-3]] + tech_5_2_3*TblTech[[#This Row],[5-2]], 1-global_constr_cap) * TblConstr[[#This Row],[RCPA Lumber]],0)</f>
        <v>216</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3" s="69" t="n">
        <f aca="false">ROUNDDOWN( MAX(1 - MIN(facs_constr_factor*TblConstr[[#This Row],[Facs DB]],facs_constr_max) + tech_1_11*TblTech[[#This Row],[1-11]] + tech_6_3_2*TblTech[[#This Row],[6-3]] + tech_5_2_3*TblTech[[#This Row],[5-2]], 1-global_constr_cap) * ROUND((TblConstr[[#This Row],[Land]]-250)*0.285 + 87.5 + 0/4.25,0),0)</f>
        <v>216</v>
      </c>
      <c r="AQ93" s="1" t="n">
        <f aca="false">TblConstr[[#This Row],[build -db]]*TblConstr[[#This Row],[CPA Platinum -DB]] + TblConstr[[#This Row],[build db]]*TblConstr[[#This Row],[CPA Platinum DB]]</f>
        <v>0</v>
      </c>
      <c r="AR93" s="1" t="n">
        <f aca="false">TblConstr[[#This Row],[build -db]]*TblConstr[[#This Row],[CPA Lumber -DB]]+TblConstr[[#This Row],[build db]]*TblConstr[[#This Row],[CPA Lumber DB]]</f>
        <v>0</v>
      </c>
      <c r="AS93" s="69" t="n">
        <f aca="false">MIN(SUM(OFFSET(TblConstr[[#This Row],[Plain]:[Water]],-1,0))+SUM(TblConstr[[#This Row],[Dest Hom]:[Dest Doc]])+IF(TblConstr[[#This Row],[Hour]]&gt;12,SUM(OFFSET(TblExplore[[#This Row],[Plains Explore]:[Water Explore]],-12,0)),0),SUM(TblConstr[[#This Row],[Hom]:[Doc]]))</f>
        <v>0</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1413</v>
      </c>
      <c r="AW93" s="69" t="n">
        <f aca="false">ROUND((TblConstr[[#This Row],[Land]]-250 - IF(TblExplore[[#This Row],[Land Bonus]]&lt;&gt;0,20,0))*0.285 + 87.5 + 0/4.25,0)</f>
        <v>216</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700</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430</v>
      </c>
      <c r="DA93" s="69" t="n">
        <f aca="false">H93+SUM(T82:U93)+SUM(BD93:BE93)</f>
        <v>25</v>
      </c>
      <c r="DB93" s="1" t="n">
        <f aca="false">I93+SUM(V82:W93)+SUM(BF93:BG93)</f>
        <v>0</v>
      </c>
      <c r="DC93" s="69" t="n">
        <f aca="false">J93+SUM(X82:Y93)+SUM(BH93:BI93)</f>
        <v>55</v>
      </c>
      <c r="DD93" s="69" t="n">
        <f aca="false">K93+SUM(AB82:AD93)+SUM(BL93:BN93)</f>
        <v>76</v>
      </c>
      <c r="DE93" s="1" t="n">
        <f aca="false">L93+SUM(AE82:AE93)+BO93</f>
        <v>0</v>
      </c>
      <c r="DF93" s="69" t="n">
        <f aca="false">M93+SUM(AG82:AG93)+BQ93</f>
        <v>24</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0</v>
      </c>
      <c r="C94" s="172" t="n">
        <f aca="false">SUM(TblConstr[[#This Row],[Tot Hom]:[Tot Doc]])</f>
        <v>700</v>
      </c>
      <c r="D94" s="172" t="n">
        <f aca="false">SUM(O83:AG94)</f>
        <v>0</v>
      </c>
      <c r="E94" s="173"/>
      <c r="F94" s="33" t="n">
        <f aca="false">TblConstr[[#This Row],[Barren]]+TblConstr[[#This Row],[Buildings]]+TblConstr[[#This Row],[Incoming]]</f>
        <v>700</v>
      </c>
      <c r="G94" s="199" t="n">
        <f aca="false">OFFSET(TblConstr[[#This Row],[Plain]],-1,0)+TblConstr[[#This Row],[Ch_Plain]]</f>
        <v>0</v>
      </c>
      <c r="H94" s="193" t="n">
        <f aca="false">OFFSET(TblConstr[[#This Row],[Forest]],-1,0)+TblConstr[[#This Row],[Ch_Forest]]</f>
        <v>0</v>
      </c>
      <c r="I94" s="200" t="n">
        <f aca="false">OFFSET(TblConstr[[#This Row],[Mountain]],-1,0)+TblConstr[[#This Row],[Ch_Mountain]]</f>
        <v>0</v>
      </c>
      <c r="J94" s="201" t="n">
        <f aca="false">OFFSET(TblConstr[[#This Row],[Hill]],-1,0)+TblConstr[[#This Row],[Ch_Hill]]</f>
        <v>0</v>
      </c>
      <c r="K94" s="202" t="n">
        <f aca="false">OFFSET(TblConstr[[#This Row],[Swamp]],-1,0)+TblConstr[[#This Row],[Ch_Swamp]]</f>
        <v>0</v>
      </c>
      <c r="L94" s="197" t="n">
        <f aca="false">OFFSET(TblConstr[[#This Row],[Cavern]],-1,0)+TblConstr[[#This Row],[Ch_Cavern]]</f>
        <v>0</v>
      </c>
      <c r="M94" s="198" t="n">
        <f aca="false">OFFSET(TblConstr[[#This Row],[Water]],-1,0)+TblConstr[[#This Row],[Ch_Water]]</f>
        <v>0</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772861</v>
      </c>
      <c r="AL94" s="69" t="n">
        <f aca="false">TblProd[[#This Row],[Lumber]]</f>
        <v>30749</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4" s="69" t="n">
        <f aca="false">ROUNDDOWN( MAX(1 - MIN(facs_constr_factor*TblConstr[[#This Row],[Facs -DB]],facs_constr_max) + tech_1_11*TblTech[[#This Row],[11-1]] + tech_6_3_2*TblTech[[#This Row],[6-3]] + tech_5_2_3*TblTech[[#This Row],[5-2]], 1-global_constr_cap) * TblConstr[[#This Row],[RCPA Lumber]],0)</f>
        <v>216</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4" s="69" t="n">
        <f aca="false">ROUNDDOWN( MAX(1 - MIN(facs_constr_factor*TblConstr[[#This Row],[Facs DB]],facs_constr_max) + tech_1_11*TblTech[[#This Row],[1-11]] + tech_6_3_2*TblTech[[#This Row],[6-3]] + tech_5_2_3*TblTech[[#This Row],[5-2]], 1-global_constr_cap) * ROUND((TblConstr[[#This Row],[Land]]-250)*0.285 + 87.5 + 0/4.25,0),0)</f>
        <v>216</v>
      </c>
      <c r="AQ94" s="1" t="n">
        <f aca="false">TblConstr[[#This Row],[build -db]]*TblConstr[[#This Row],[CPA Platinum -DB]] + TblConstr[[#This Row],[build db]]*TblConstr[[#This Row],[CPA Platinum DB]]</f>
        <v>0</v>
      </c>
      <c r="AR94" s="1" t="n">
        <f aca="false">TblConstr[[#This Row],[build -db]]*TblConstr[[#This Row],[CPA Lumber -DB]]+TblConstr[[#This Row],[build db]]*TblConstr[[#This Row],[CPA Lumber DB]]</f>
        <v>0</v>
      </c>
      <c r="AS94" s="69" t="n">
        <f aca="false">MIN(SUM(OFFSET(TblConstr[[#This Row],[Plain]:[Water]],-1,0))+SUM(TblConstr[[#This Row],[Dest Hom]:[Dest Doc]])+IF(TblConstr[[#This Row],[Hour]]&gt;12,SUM(OFFSET(TblExplore[[#This Row],[Plains Explore]:[Water Explore]],-12,0)),0),SUM(TblConstr[[#This Row],[Hom]:[Doc]]))</f>
        <v>0</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1413</v>
      </c>
      <c r="AW94" s="69" t="n">
        <f aca="false">ROUND((TblConstr[[#This Row],[Land]]-250 - IF(TblExplore[[#This Row],[Land Bonus]]&lt;&gt;0,20,0))*0.285 + 87.5 + 0/4.25,0)</f>
        <v>216</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700</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430</v>
      </c>
      <c r="DA94" s="69" t="n">
        <f aca="false">H94+SUM(T83:U94)+SUM(BD94:BE94)</f>
        <v>25</v>
      </c>
      <c r="DB94" s="1" t="n">
        <f aca="false">I94+SUM(V83:W94)+SUM(BF94:BG94)</f>
        <v>0</v>
      </c>
      <c r="DC94" s="69" t="n">
        <f aca="false">J94+SUM(X83:Y94)+SUM(BH94:BI94)</f>
        <v>55</v>
      </c>
      <c r="DD94" s="69" t="n">
        <f aca="false">K94+SUM(AB83:AD94)+SUM(BL94:BN94)</f>
        <v>76</v>
      </c>
      <c r="DE94" s="1" t="n">
        <f aca="false">L94+SUM(AE83:AE94)+BO94</f>
        <v>0</v>
      </c>
      <c r="DF94" s="69" t="n">
        <f aca="false">M94+SUM(AG83:AG94)+BQ94</f>
        <v>24</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0</v>
      </c>
      <c r="C95" s="172" t="n">
        <f aca="false">SUM(TblConstr[[#This Row],[Tot Hom]:[Tot Doc]])</f>
        <v>700</v>
      </c>
      <c r="D95" s="172" t="n">
        <f aca="false">SUM(O84:AG95)</f>
        <v>0</v>
      </c>
      <c r="E95" s="173"/>
      <c r="F95" s="33" t="n">
        <f aca="false">TblConstr[[#This Row],[Barren]]+TblConstr[[#This Row],[Buildings]]+TblConstr[[#This Row],[Incoming]]</f>
        <v>700</v>
      </c>
      <c r="G95" s="199" t="n">
        <f aca="false">OFFSET(TblConstr[[#This Row],[Plain]],-1,0)+TblConstr[[#This Row],[Ch_Plain]]</f>
        <v>0</v>
      </c>
      <c r="H95" s="193" t="n">
        <f aca="false">OFFSET(TblConstr[[#This Row],[Forest]],-1,0)+TblConstr[[#This Row],[Ch_Forest]]</f>
        <v>0</v>
      </c>
      <c r="I95" s="200" t="n">
        <f aca="false">OFFSET(TblConstr[[#This Row],[Mountain]],-1,0)+TblConstr[[#This Row],[Ch_Mountain]]</f>
        <v>0</v>
      </c>
      <c r="J95" s="201" t="n">
        <f aca="false">OFFSET(TblConstr[[#This Row],[Hill]],-1,0)+TblConstr[[#This Row],[Ch_Hill]]</f>
        <v>0</v>
      </c>
      <c r="K95" s="202" t="n">
        <f aca="false">OFFSET(TblConstr[[#This Row],[Swamp]],-1,0)+TblConstr[[#This Row],[Ch_Swamp]]</f>
        <v>0</v>
      </c>
      <c r="L95" s="197" t="n">
        <f aca="false">OFFSET(TblConstr[[#This Row],[Cavern]],-1,0)+TblConstr[[#This Row],[Ch_Cavern]]</f>
        <v>0</v>
      </c>
      <c r="M95" s="198" t="n">
        <f aca="false">OFFSET(TblConstr[[#This Row],[Water]],-1,0)+TblConstr[[#This Row],[Ch_Water]]</f>
        <v>0</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815410</v>
      </c>
      <c r="AL95" s="69" t="n">
        <f aca="false">TblProd[[#This Row],[Lumber]]</f>
        <v>31567</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5" s="69" t="n">
        <f aca="false">ROUNDDOWN( MAX(1 - MIN(facs_constr_factor*TblConstr[[#This Row],[Facs -DB]],facs_constr_max) + tech_1_11*TblTech[[#This Row],[11-1]] + tech_6_3_2*TblTech[[#This Row],[6-3]] + tech_5_2_3*TblTech[[#This Row],[5-2]], 1-global_constr_cap) * TblConstr[[#This Row],[RCPA Lumber]],0)</f>
        <v>216</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5" s="69" t="n">
        <f aca="false">ROUNDDOWN( MAX(1 - MIN(facs_constr_factor*TblConstr[[#This Row],[Facs DB]],facs_constr_max) + tech_1_11*TblTech[[#This Row],[1-11]] + tech_6_3_2*TblTech[[#This Row],[6-3]] + tech_5_2_3*TblTech[[#This Row],[5-2]], 1-global_constr_cap) * ROUND((TblConstr[[#This Row],[Land]]-250)*0.285 + 87.5 + 0/4.25,0),0)</f>
        <v>216</v>
      </c>
      <c r="AQ95" s="1" t="n">
        <f aca="false">TblConstr[[#This Row],[build -db]]*TblConstr[[#This Row],[CPA Platinum -DB]] + TblConstr[[#This Row],[build db]]*TblConstr[[#This Row],[CPA Platinum DB]]</f>
        <v>0</v>
      </c>
      <c r="AR95" s="1" t="n">
        <f aca="false">TblConstr[[#This Row],[build -db]]*TblConstr[[#This Row],[CPA Lumber -DB]]+TblConstr[[#This Row],[build db]]*TblConstr[[#This Row],[CPA Lumber DB]]</f>
        <v>0</v>
      </c>
      <c r="AS95" s="69" t="n">
        <f aca="false">MIN(SUM(OFFSET(TblConstr[[#This Row],[Plain]:[Water]],-1,0))+SUM(TblConstr[[#This Row],[Dest Hom]:[Dest Doc]])+IF(TblConstr[[#This Row],[Hour]]&gt;12,SUM(OFFSET(TblExplore[[#This Row],[Plains Explore]:[Water Explore]],-12,0)),0),SUM(TblConstr[[#This Row],[Hom]:[Doc]]))</f>
        <v>0</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1413</v>
      </c>
      <c r="AW95" s="69" t="n">
        <f aca="false">ROUND((TblConstr[[#This Row],[Land]]-250 - IF(TblExplore[[#This Row],[Land Bonus]]&lt;&gt;0,20,0))*0.285 + 87.5 + 0/4.25,0)</f>
        <v>216</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700</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430</v>
      </c>
      <c r="DA95" s="69" t="n">
        <f aca="false">H95+SUM(T84:U95)+SUM(BD95:BE95)</f>
        <v>25</v>
      </c>
      <c r="DB95" s="1" t="n">
        <f aca="false">I95+SUM(V84:W95)+SUM(BF95:BG95)</f>
        <v>0</v>
      </c>
      <c r="DC95" s="69" t="n">
        <f aca="false">J95+SUM(X84:Y95)+SUM(BH95:BI95)</f>
        <v>55</v>
      </c>
      <c r="DD95" s="69" t="n">
        <f aca="false">K95+SUM(AB84:AD95)+SUM(BL95:BN95)</f>
        <v>76</v>
      </c>
      <c r="DE95" s="1" t="n">
        <f aca="false">L95+SUM(AE84:AE95)+BO95</f>
        <v>0</v>
      </c>
      <c r="DF95" s="69" t="n">
        <f aca="false">M95+SUM(AG84:AG95)+BQ95</f>
        <v>24</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0</v>
      </c>
      <c r="C96" s="172" t="n">
        <f aca="false">SUM(TblConstr[[#This Row],[Tot Hom]:[Tot Doc]])</f>
        <v>700</v>
      </c>
      <c r="D96" s="172" t="n">
        <f aca="false">SUM(O85:AG96)</f>
        <v>0</v>
      </c>
      <c r="E96" s="173"/>
      <c r="F96" s="33" t="n">
        <f aca="false">TblConstr[[#This Row],[Barren]]+TblConstr[[#This Row],[Buildings]]+TblConstr[[#This Row],[Incoming]]</f>
        <v>700</v>
      </c>
      <c r="G96" s="199" t="n">
        <f aca="false">OFFSET(TblConstr[[#This Row],[Plain]],-1,0)+TblConstr[[#This Row],[Ch_Plain]]</f>
        <v>0</v>
      </c>
      <c r="H96" s="193" t="n">
        <f aca="false">OFFSET(TblConstr[[#This Row],[Forest]],-1,0)+TblConstr[[#This Row],[Ch_Forest]]</f>
        <v>0</v>
      </c>
      <c r="I96" s="200" t="n">
        <f aca="false">OFFSET(TblConstr[[#This Row],[Mountain]],-1,0)+TblConstr[[#This Row],[Ch_Mountain]]</f>
        <v>0</v>
      </c>
      <c r="J96" s="201" t="n">
        <f aca="false">OFFSET(TblConstr[[#This Row],[Hill]],-1,0)+TblConstr[[#This Row],[Ch_Hill]]</f>
        <v>0</v>
      </c>
      <c r="K96" s="202" t="n">
        <f aca="false">OFFSET(TblConstr[[#This Row],[Swamp]],-1,0)+TblConstr[[#This Row],[Ch_Swamp]]</f>
        <v>0</v>
      </c>
      <c r="L96" s="197" t="n">
        <f aca="false">OFFSET(TblConstr[[#This Row],[Cavern]],-1,0)+TblConstr[[#This Row],[Ch_Cavern]]</f>
        <v>0</v>
      </c>
      <c r="M96" s="198" t="n">
        <f aca="false">OFFSET(TblConstr[[#This Row],[Water]],-1,0)+TblConstr[[#This Row],[Ch_Water]]</f>
        <v>0</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857709</v>
      </c>
      <c r="AL96" s="69" t="n">
        <f aca="false">TblProd[[#This Row],[Lumber]]</f>
        <v>32376</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6" s="69" t="n">
        <f aca="false">ROUNDDOWN( MAX(1 - MIN(facs_constr_factor*TblConstr[[#This Row],[Facs -DB]],facs_constr_max) + tech_1_11*TblTech[[#This Row],[11-1]] + tech_6_3_2*TblTech[[#This Row],[6-3]] + tech_5_2_3*TblTech[[#This Row],[5-2]], 1-global_constr_cap) * TblConstr[[#This Row],[RCPA Lumber]],0)</f>
        <v>216</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6" s="69" t="n">
        <f aca="false">ROUNDDOWN( MAX(1 - MIN(facs_constr_factor*TblConstr[[#This Row],[Facs DB]],facs_constr_max) + tech_1_11*TblTech[[#This Row],[1-11]] + tech_6_3_2*TblTech[[#This Row],[6-3]] + tech_5_2_3*TblTech[[#This Row],[5-2]], 1-global_constr_cap) * ROUND((TblConstr[[#This Row],[Land]]-250)*0.285 + 87.5 + 0/4.25,0),0)</f>
        <v>216</v>
      </c>
      <c r="AQ96" s="1" t="n">
        <f aca="false">TblConstr[[#This Row],[build -db]]*TblConstr[[#This Row],[CPA Platinum -DB]] + TblConstr[[#This Row],[build db]]*TblConstr[[#This Row],[CPA Platinum DB]]</f>
        <v>0</v>
      </c>
      <c r="AR96" s="1" t="n">
        <f aca="false">TblConstr[[#This Row],[build -db]]*TblConstr[[#This Row],[CPA Lumber -DB]]+TblConstr[[#This Row],[build db]]*TblConstr[[#This Row],[CPA Lumber DB]]</f>
        <v>0</v>
      </c>
      <c r="AS96" s="69" t="n">
        <f aca="false">MIN(SUM(OFFSET(TblConstr[[#This Row],[Plain]:[Water]],-1,0))+SUM(TblConstr[[#This Row],[Dest Hom]:[Dest Doc]])+IF(TblConstr[[#This Row],[Hour]]&gt;12,SUM(OFFSET(TblExplore[[#This Row],[Plains Explore]:[Water Explore]],-12,0)),0),SUM(TblConstr[[#This Row],[Hom]:[Doc]]))</f>
        <v>0</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1413</v>
      </c>
      <c r="AW96" s="69" t="n">
        <f aca="false">ROUND((TblConstr[[#This Row],[Land]]-250 - IF(TblExplore[[#This Row],[Land Bonus]]&lt;&gt;0,20,0))*0.285 + 87.5 + 0/4.25,0)</f>
        <v>216</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700</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430</v>
      </c>
      <c r="DA96" s="69" t="n">
        <f aca="false">H96+SUM(T85:U96)+SUM(BD96:BE96)</f>
        <v>25</v>
      </c>
      <c r="DB96" s="1" t="n">
        <f aca="false">I96+SUM(V85:W96)+SUM(BF96:BG96)</f>
        <v>0</v>
      </c>
      <c r="DC96" s="69" t="n">
        <f aca="false">J96+SUM(X85:Y96)+SUM(BH96:BI96)</f>
        <v>55</v>
      </c>
      <c r="DD96" s="69" t="n">
        <f aca="false">K96+SUM(AB85:AD96)+SUM(BL96:BN96)</f>
        <v>76</v>
      </c>
      <c r="DE96" s="1" t="n">
        <f aca="false">L96+SUM(AE85:AE96)+BO96</f>
        <v>0</v>
      </c>
      <c r="DF96" s="69" t="n">
        <f aca="false">M96+SUM(AG85:AG96)+BQ96</f>
        <v>24</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0</v>
      </c>
      <c r="C97" s="172" t="n">
        <f aca="false">SUM(TblConstr[[#This Row],[Tot Hom]:[Tot Doc]])</f>
        <v>700</v>
      </c>
      <c r="D97" s="172" t="n">
        <f aca="false">SUM(O86:AG97)</f>
        <v>0</v>
      </c>
      <c r="E97" s="173"/>
      <c r="F97" s="33" t="n">
        <f aca="false">TblConstr[[#This Row],[Barren]]+TblConstr[[#This Row],[Buildings]]+TblConstr[[#This Row],[Incoming]]</f>
        <v>700</v>
      </c>
      <c r="G97" s="199" t="n">
        <f aca="false">OFFSET(TblConstr[[#This Row],[Plain]],-1,0)+TblConstr[[#This Row],[Ch_Plain]]</f>
        <v>0</v>
      </c>
      <c r="H97" s="193" t="n">
        <f aca="false">OFFSET(TblConstr[[#This Row],[Forest]],-1,0)+TblConstr[[#This Row],[Ch_Forest]]</f>
        <v>0</v>
      </c>
      <c r="I97" s="200" t="n">
        <f aca="false">OFFSET(TblConstr[[#This Row],[Mountain]],-1,0)+TblConstr[[#This Row],[Ch_Mountain]]</f>
        <v>0</v>
      </c>
      <c r="J97" s="201" t="n">
        <f aca="false">OFFSET(TblConstr[[#This Row],[Hill]],-1,0)+TblConstr[[#This Row],[Ch_Hill]]</f>
        <v>0</v>
      </c>
      <c r="K97" s="202" t="n">
        <f aca="false">OFFSET(TblConstr[[#This Row],[Swamp]],-1,0)+TblConstr[[#This Row],[Ch_Swamp]]</f>
        <v>0</v>
      </c>
      <c r="L97" s="197" t="n">
        <f aca="false">OFFSET(TblConstr[[#This Row],[Cavern]],-1,0)+TblConstr[[#This Row],[Ch_Cavern]]</f>
        <v>0</v>
      </c>
      <c r="M97" s="198" t="n">
        <f aca="false">OFFSET(TblConstr[[#This Row],[Water]],-1,0)+TblConstr[[#This Row],[Ch_Water]]</f>
        <v>0</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899762</v>
      </c>
      <c r="AL97" s="69" t="n">
        <f aca="false">TblProd[[#This Row],[Lumber]]</f>
        <v>33177</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7" s="69" t="n">
        <f aca="false">ROUNDDOWN( MAX(1 - MIN(facs_constr_factor*TblConstr[[#This Row],[Facs -DB]],facs_constr_max) + tech_1_11*TblTech[[#This Row],[11-1]] + tech_6_3_2*TblTech[[#This Row],[6-3]] + tech_5_2_3*TblTech[[#This Row],[5-2]], 1-global_constr_cap) * TblConstr[[#This Row],[RCPA Lumber]],0)</f>
        <v>216</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7" s="69" t="n">
        <f aca="false">ROUNDDOWN( MAX(1 - MIN(facs_constr_factor*TblConstr[[#This Row],[Facs DB]],facs_constr_max) + tech_1_11*TblTech[[#This Row],[1-11]] + tech_6_3_2*TblTech[[#This Row],[6-3]] + tech_5_2_3*TblTech[[#This Row],[5-2]], 1-global_constr_cap) * ROUND((TblConstr[[#This Row],[Land]]-250)*0.285 + 87.5 + 0/4.25,0),0)</f>
        <v>216</v>
      </c>
      <c r="AQ97" s="1" t="n">
        <f aca="false">TblConstr[[#This Row],[build -db]]*TblConstr[[#This Row],[CPA Platinum -DB]] + TblConstr[[#This Row],[build db]]*TblConstr[[#This Row],[CPA Platinum DB]]</f>
        <v>0</v>
      </c>
      <c r="AR97" s="1" t="n">
        <f aca="false">TblConstr[[#This Row],[build -db]]*TblConstr[[#This Row],[CPA Lumber -DB]]+TblConstr[[#This Row],[build db]]*TblConstr[[#This Row],[CPA Lumber DB]]</f>
        <v>0</v>
      </c>
      <c r="AS97" s="69" t="n">
        <f aca="false">MIN(SUM(OFFSET(TblConstr[[#This Row],[Plain]:[Water]],-1,0))+SUM(TblConstr[[#This Row],[Dest Hom]:[Dest Doc]])+IF(TblConstr[[#This Row],[Hour]]&gt;12,SUM(OFFSET(TblExplore[[#This Row],[Plains Explore]:[Water Explore]],-12,0)),0),SUM(TblConstr[[#This Row],[Hom]:[Doc]]))</f>
        <v>0</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1413</v>
      </c>
      <c r="AW97" s="69" t="n">
        <f aca="false">ROUND((TblConstr[[#This Row],[Land]]-250 - IF(TblExplore[[#This Row],[Land Bonus]]&lt;&gt;0,20,0))*0.285 + 87.5 + 0/4.25,0)</f>
        <v>216</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700</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430</v>
      </c>
      <c r="DA97" s="69" t="n">
        <f aca="false">H97+SUM(T86:U97)+SUM(BD97:BE97)</f>
        <v>25</v>
      </c>
      <c r="DB97" s="1" t="n">
        <f aca="false">I97+SUM(V86:W97)+SUM(BF97:BG97)</f>
        <v>0</v>
      </c>
      <c r="DC97" s="69" t="n">
        <f aca="false">J97+SUM(X86:Y97)+SUM(BH97:BI97)</f>
        <v>55</v>
      </c>
      <c r="DD97" s="69" t="n">
        <f aca="false">K97+SUM(AB86:AD97)+SUM(BL97:BN97)</f>
        <v>76</v>
      </c>
      <c r="DE97" s="1" t="n">
        <f aca="false">L97+SUM(AE86:AE97)+BO97</f>
        <v>0</v>
      </c>
      <c r="DF97" s="69" t="n">
        <f aca="false">M97+SUM(AG86:AG97)+BQ97</f>
        <v>24</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0</v>
      </c>
      <c r="C98" s="172" t="n">
        <f aca="false">SUM(TblConstr[[#This Row],[Tot Hom]:[Tot Doc]])</f>
        <v>700</v>
      </c>
      <c r="D98" s="172" t="n">
        <f aca="false">SUM(O87:AG98)</f>
        <v>0</v>
      </c>
      <c r="E98" s="173"/>
      <c r="F98" s="33" t="n">
        <f aca="false">TblConstr[[#This Row],[Barren]]+TblConstr[[#This Row],[Buildings]]+TblConstr[[#This Row],[Incoming]]</f>
        <v>700</v>
      </c>
      <c r="G98" s="199" t="n">
        <f aca="false">OFFSET(TblConstr[[#This Row],[Plain]],-1,0)+TblConstr[[#This Row],[Ch_Plain]]</f>
        <v>0</v>
      </c>
      <c r="H98" s="193" t="n">
        <f aca="false">OFFSET(TblConstr[[#This Row],[Forest]],-1,0)+TblConstr[[#This Row],[Ch_Forest]]</f>
        <v>0</v>
      </c>
      <c r="I98" s="200" t="n">
        <f aca="false">OFFSET(TblConstr[[#This Row],[Mountain]],-1,0)+TblConstr[[#This Row],[Ch_Mountain]]</f>
        <v>0</v>
      </c>
      <c r="J98" s="201" t="n">
        <f aca="false">OFFSET(TblConstr[[#This Row],[Hill]],-1,0)+TblConstr[[#This Row],[Ch_Hill]]</f>
        <v>0</v>
      </c>
      <c r="K98" s="202" t="n">
        <f aca="false">OFFSET(TblConstr[[#This Row],[Swamp]],-1,0)+TblConstr[[#This Row],[Ch_Swamp]]</f>
        <v>0</v>
      </c>
      <c r="L98" s="197" t="n">
        <f aca="false">OFFSET(TblConstr[[#This Row],[Cavern]],-1,0)+TblConstr[[#This Row],[Ch_Cavern]]</f>
        <v>0</v>
      </c>
      <c r="M98" s="198" t="n">
        <f aca="false">OFFSET(TblConstr[[#This Row],[Water]],-1,0)+TblConstr[[#This Row],[Ch_Water]]</f>
        <v>0</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941568</v>
      </c>
      <c r="AL98" s="69" t="n">
        <f aca="false">TblProd[[#This Row],[Lumber]]</f>
        <v>33970</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8" s="69" t="n">
        <f aca="false">ROUNDDOWN( MAX(1 - MIN(facs_constr_factor*TblConstr[[#This Row],[Facs -DB]],facs_constr_max) + tech_1_11*TblTech[[#This Row],[11-1]] + tech_6_3_2*TblTech[[#This Row],[6-3]] + tech_5_2_3*TblTech[[#This Row],[5-2]], 1-global_constr_cap) * TblConstr[[#This Row],[RCPA Lumber]],0)</f>
        <v>216</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8" s="69" t="n">
        <f aca="false">ROUNDDOWN( MAX(1 - MIN(facs_constr_factor*TblConstr[[#This Row],[Facs DB]],facs_constr_max) + tech_1_11*TblTech[[#This Row],[1-11]] + tech_6_3_2*TblTech[[#This Row],[6-3]] + tech_5_2_3*TblTech[[#This Row],[5-2]], 1-global_constr_cap) * ROUND((TblConstr[[#This Row],[Land]]-250)*0.285 + 87.5 + 0/4.25,0),0)</f>
        <v>216</v>
      </c>
      <c r="AQ98" s="1" t="n">
        <f aca="false">TblConstr[[#This Row],[build -db]]*TblConstr[[#This Row],[CPA Platinum -DB]] + TblConstr[[#This Row],[build db]]*TblConstr[[#This Row],[CPA Platinum DB]]</f>
        <v>0</v>
      </c>
      <c r="AR98" s="1" t="n">
        <f aca="false">TblConstr[[#This Row],[build -db]]*TblConstr[[#This Row],[CPA Lumber -DB]]+TblConstr[[#This Row],[build db]]*TblConstr[[#This Row],[CPA Lumber DB]]</f>
        <v>0</v>
      </c>
      <c r="AS98" s="69" t="n">
        <f aca="false">MIN(SUM(OFFSET(TblConstr[[#This Row],[Plain]:[Water]],-1,0))+SUM(TblConstr[[#This Row],[Dest Hom]:[Dest Doc]])+IF(TblConstr[[#This Row],[Hour]]&gt;12,SUM(OFFSET(TblExplore[[#This Row],[Plains Explore]:[Water Explore]],-12,0)),0),SUM(TblConstr[[#This Row],[Hom]:[Doc]]))</f>
        <v>0</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1413</v>
      </c>
      <c r="AW98" s="69" t="n">
        <f aca="false">ROUND((TblConstr[[#This Row],[Land]]-250 - IF(TblExplore[[#This Row],[Land Bonus]]&lt;&gt;0,20,0))*0.285 + 87.5 + 0/4.25,0)</f>
        <v>216</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700</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430</v>
      </c>
      <c r="DA98" s="69" t="n">
        <f aca="false">H98+SUM(T87:U98)+SUM(BD98:BE98)</f>
        <v>25</v>
      </c>
      <c r="DB98" s="1" t="n">
        <f aca="false">I98+SUM(V87:W98)+SUM(BF98:BG98)</f>
        <v>0</v>
      </c>
      <c r="DC98" s="69" t="n">
        <f aca="false">J98+SUM(X87:Y98)+SUM(BH98:BI98)</f>
        <v>55</v>
      </c>
      <c r="DD98" s="69" t="n">
        <f aca="false">K98+SUM(AB87:AD98)+SUM(BL98:BN98)</f>
        <v>76</v>
      </c>
      <c r="DE98" s="1" t="n">
        <f aca="false">L98+SUM(AE87:AE98)+BO98</f>
        <v>0</v>
      </c>
      <c r="DF98" s="69" t="n">
        <f aca="false">M98+SUM(AG87:AG98)+BQ98</f>
        <v>24</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0</v>
      </c>
      <c r="C99" s="172" t="n">
        <f aca="false">SUM(TblConstr[[#This Row],[Tot Hom]:[Tot Doc]])</f>
        <v>700</v>
      </c>
      <c r="D99" s="172" t="n">
        <f aca="false">SUM(O88:AG99)</f>
        <v>0</v>
      </c>
      <c r="E99" s="173"/>
      <c r="F99" s="33" t="n">
        <f aca="false">TblConstr[[#This Row],[Barren]]+TblConstr[[#This Row],[Buildings]]+TblConstr[[#This Row],[Incoming]]</f>
        <v>700</v>
      </c>
      <c r="G99" s="199" t="n">
        <f aca="false">OFFSET(TblConstr[[#This Row],[Plain]],-1,0)+TblConstr[[#This Row],[Ch_Plain]]</f>
        <v>0</v>
      </c>
      <c r="H99" s="193" t="n">
        <f aca="false">OFFSET(TblConstr[[#This Row],[Forest]],-1,0)+TblConstr[[#This Row],[Ch_Forest]]</f>
        <v>0</v>
      </c>
      <c r="I99" s="200" t="n">
        <f aca="false">OFFSET(TblConstr[[#This Row],[Mountain]],-1,0)+TblConstr[[#This Row],[Ch_Mountain]]</f>
        <v>0</v>
      </c>
      <c r="J99" s="201" t="n">
        <f aca="false">OFFSET(TblConstr[[#This Row],[Hill]],-1,0)+TblConstr[[#This Row],[Ch_Hill]]</f>
        <v>0</v>
      </c>
      <c r="K99" s="202" t="n">
        <f aca="false">OFFSET(TblConstr[[#This Row],[Swamp]],-1,0)+TblConstr[[#This Row],[Ch_Swamp]]</f>
        <v>0</v>
      </c>
      <c r="L99" s="197" t="n">
        <f aca="false">OFFSET(TblConstr[[#This Row],[Cavern]],-1,0)+TblConstr[[#This Row],[Ch_Cavern]]</f>
        <v>0</v>
      </c>
      <c r="M99" s="198" t="n">
        <f aca="false">OFFSET(TblConstr[[#This Row],[Water]],-1,0)+TblConstr[[#This Row],[Ch_Water]]</f>
        <v>0</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983131</v>
      </c>
      <c r="AL99" s="69" t="n">
        <f aca="false">TblProd[[#This Row],[Lumber]]</f>
        <v>34755</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9" s="69" t="n">
        <f aca="false">ROUNDDOWN( MAX(1 - MIN(facs_constr_factor*TblConstr[[#This Row],[Facs -DB]],facs_constr_max) + tech_1_11*TblTech[[#This Row],[11-1]] + tech_6_3_2*TblTech[[#This Row],[6-3]] + tech_5_2_3*TblTech[[#This Row],[5-2]], 1-global_constr_cap) * TblConstr[[#This Row],[RCPA Lumber]],0)</f>
        <v>216</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9" s="69" t="n">
        <f aca="false">ROUNDDOWN( MAX(1 - MIN(facs_constr_factor*TblConstr[[#This Row],[Facs DB]],facs_constr_max) + tech_1_11*TblTech[[#This Row],[1-11]] + tech_6_3_2*TblTech[[#This Row],[6-3]] + tech_5_2_3*TblTech[[#This Row],[5-2]], 1-global_constr_cap) * ROUND((TblConstr[[#This Row],[Land]]-250)*0.285 + 87.5 + 0/4.25,0),0)</f>
        <v>216</v>
      </c>
      <c r="AQ99" s="1" t="n">
        <f aca="false">TblConstr[[#This Row],[build -db]]*TblConstr[[#This Row],[CPA Platinum -DB]] + TblConstr[[#This Row],[build db]]*TblConstr[[#This Row],[CPA Platinum DB]]</f>
        <v>0</v>
      </c>
      <c r="AR99" s="1" t="n">
        <f aca="false">TblConstr[[#This Row],[build -db]]*TblConstr[[#This Row],[CPA Lumber -DB]]+TblConstr[[#This Row],[build db]]*TblConstr[[#This Row],[CPA Lumber DB]]</f>
        <v>0</v>
      </c>
      <c r="AS99" s="69" t="n">
        <f aca="false">MIN(SUM(OFFSET(TblConstr[[#This Row],[Plain]:[Water]],-1,0))+SUM(TblConstr[[#This Row],[Dest Hom]:[Dest Doc]])+IF(TblConstr[[#This Row],[Hour]]&gt;12,SUM(OFFSET(TblExplore[[#This Row],[Plains Explore]:[Water Explore]],-12,0)),0),SUM(TblConstr[[#This Row],[Hom]:[Doc]]))</f>
        <v>0</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1413</v>
      </c>
      <c r="AW99" s="69" t="n">
        <f aca="false">ROUND((TblConstr[[#This Row],[Land]]-250 - IF(TblExplore[[#This Row],[Land Bonus]]&lt;&gt;0,20,0))*0.285 + 87.5 + 0/4.25,0)</f>
        <v>216</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700</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430</v>
      </c>
      <c r="DA99" s="69" t="n">
        <f aca="false">H99+SUM(T88:U99)+SUM(BD99:BE99)</f>
        <v>25</v>
      </c>
      <c r="DB99" s="1" t="n">
        <f aca="false">I99+SUM(V88:W99)+SUM(BF99:BG99)</f>
        <v>0</v>
      </c>
      <c r="DC99" s="69" t="n">
        <f aca="false">J99+SUM(X88:Y99)+SUM(BH99:BI99)</f>
        <v>55</v>
      </c>
      <c r="DD99" s="69" t="n">
        <f aca="false">K99+SUM(AB88:AD99)+SUM(BL99:BN99)</f>
        <v>76</v>
      </c>
      <c r="DE99" s="1" t="n">
        <f aca="false">L99+SUM(AE88:AE99)+BO99</f>
        <v>0</v>
      </c>
      <c r="DF99" s="69" t="n">
        <f aca="false">M99+SUM(AG88:AG99)+BQ99</f>
        <v>24</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0</v>
      </c>
      <c r="C100" s="172" t="n">
        <f aca="false">SUM(TblConstr[[#This Row],[Tot Hom]:[Tot Doc]])</f>
        <v>700</v>
      </c>
      <c r="D100" s="172" t="n">
        <f aca="false">SUM(O89:AG100)</f>
        <v>0</v>
      </c>
      <c r="E100" s="173"/>
      <c r="F100" s="33" t="n">
        <f aca="false">TblConstr[[#This Row],[Barren]]+TblConstr[[#This Row],[Buildings]]+TblConstr[[#This Row],[Incoming]]</f>
        <v>700</v>
      </c>
      <c r="G100" s="199" t="n">
        <f aca="false">OFFSET(TblConstr[[#This Row],[Plain]],-1,0)+TblConstr[[#This Row],[Ch_Plain]]</f>
        <v>0</v>
      </c>
      <c r="H100" s="193" t="n">
        <f aca="false">OFFSET(TblConstr[[#This Row],[Forest]],-1,0)+TblConstr[[#This Row],[Ch_Forest]]</f>
        <v>0</v>
      </c>
      <c r="I100" s="200" t="n">
        <f aca="false">OFFSET(TblConstr[[#This Row],[Mountain]],-1,0)+TblConstr[[#This Row],[Ch_Mountain]]</f>
        <v>0</v>
      </c>
      <c r="J100" s="201" t="n">
        <f aca="false">OFFSET(TblConstr[[#This Row],[Hill]],-1,0)+TblConstr[[#This Row],[Ch_Hill]]</f>
        <v>0</v>
      </c>
      <c r="K100" s="202" t="n">
        <f aca="false">OFFSET(TblConstr[[#This Row],[Swamp]],-1,0)+TblConstr[[#This Row],[Ch_Swamp]]</f>
        <v>0</v>
      </c>
      <c r="L100" s="197" t="n">
        <f aca="false">OFFSET(TblConstr[[#This Row],[Cavern]],-1,0)+TblConstr[[#This Row],[Ch_Cavern]]</f>
        <v>0</v>
      </c>
      <c r="M100" s="198" t="n">
        <f aca="false">OFFSET(TblConstr[[#This Row],[Water]],-1,0)+TblConstr[[#This Row],[Ch_Water]]</f>
        <v>0</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1024453</v>
      </c>
      <c r="AL100" s="69" t="n">
        <f aca="false">TblProd[[#This Row],[Lumber]]</f>
        <v>35532</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0" s="69" t="n">
        <f aca="false">ROUNDDOWN( MAX(1 - MIN(facs_constr_factor*TblConstr[[#This Row],[Facs -DB]],facs_constr_max) + tech_1_11*TblTech[[#This Row],[11-1]] + tech_6_3_2*TblTech[[#This Row],[6-3]] + tech_5_2_3*TblTech[[#This Row],[5-2]], 1-global_constr_cap) * TblConstr[[#This Row],[RCPA Lumber]],0)</f>
        <v>216</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0" s="69" t="n">
        <f aca="false">ROUNDDOWN( MAX(1 - MIN(facs_constr_factor*TblConstr[[#This Row],[Facs DB]],facs_constr_max) + tech_1_11*TblTech[[#This Row],[1-11]] + tech_6_3_2*TblTech[[#This Row],[6-3]] + tech_5_2_3*TblTech[[#This Row],[5-2]], 1-global_constr_cap) * ROUND((TblConstr[[#This Row],[Land]]-250)*0.285 + 87.5 + 0/4.25,0),0)</f>
        <v>216</v>
      </c>
      <c r="AQ100" s="1" t="n">
        <f aca="false">TblConstr[[#This Row],[build -db]]*TblConstr[[#This Row],[CPA Platinum -DB]] + TblConstr[[#This Row],[build db]]*TblConstr[[#This Row],[CPA Platinum DB]]</f>
        <v>0</v>
      </c>
      <c r="AR100" s="1" t="n">
        <f aca="false">TblConstr[[#This Row],[build -db]]*TblConstr[[#This Row],[CPA Lumber -DB]]+TblConstr[[#This Row],[build db]]*TblConstr[[#This Row],[CPA Lumber DB]]</f>
        <v>0</v>
      </c>
      <c r="AS100" s="69" t="n">
        <f aca="false">MIN(SUM(OFFSET(TblConstr[[#This Row],[Plain]:[Water]],-1,0))+SUM(TblConstr[[#This Row],[Dest Hom]:[Dest Doc]])+IF(TblConstr[[#This Row],[Hour]]&gt;12,SUM(OFFSET(TblExplore[[#This Row],[Plains Explore]:[Water Explore]],-12,0)),0),SUM(TblConstr[[#This Row],[Hom]:[Doc]]))</f>
        <v>0</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1413</v>
      </c>
      <c r="AW100" s="69" t="n">
        <f aca="false">ROUND((TblConstr[[#This Row],[Land]]-250 - IF(TblExplore[[#This Row],[Land Bonus]]&lt;&gt;0,20,0))*0.285 + 87.5 + 0/4.25,0)</f>
        <v>216</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700</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430</v>
      </c>
      <c r="DA100" s="69" t="n">
        <f aca="false">H100+SUM(T89:U100)+SUM(BD100:BE100)</f>
        <v>25</v>
      </c>
      <c r="DB100" s="1" t="n">
        <f aca="false">I100+SUM(V89:W100)+SUM(BF100:BG100)</f>
        <v>0</v>
      </c>
      <c r="DC100" s="69" t="n">
        <f aca="false">J100+SUM(X89:Y100)+SUM(BH100:BI100)</f>
        <v>55</v>
      </c>
      <c r="DD100" s="69" t="n">
        <f aca="false">K100+SUM(AB89:AD100)+SUM(BL100:BN100)</f>
        <v>76</v>
      </c>
      <c r="DE100" s="1" t="n">
        <f aca="false">L100+SUM(AE89:AE100)+BO100</f>
        <v>0</v>
      </c>
      <c r="DF100" s="69" t="n">
        <f aca="false">M100+SUM(AG89:AG100)+BQ100</f>
        <v>24</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0</v>
      </c>
      <c r="C101" s="172" t="n">
        <f aca="false">SUM(TblConstr[[#This Row],[Tot Hom]:[Tot Doc]])</f>
        <v>700</v>
      </c>
      <c r="D101" s="172" t="n">
        <f aca="false">SUM(O90:AG101)</f>
        <v>0</v>
      </c>
      <c r="E101" s="173"/>
      <c r="F101" s="33" t="n">
        <f aca="false">TblConstr[[#This Row],[Barren]]+TblConstr[[#This Row],[Buildings]]+TblConstr[[#This Row],[Incoming]]</f>
        <v>700</v>
      </c>
      <c r="G101" s="199" t="n">
        <f aca="false">OFFSET(TblConstr[[#This Row],[Plain]],-1,0)+TblConstr[[#This Row],[Ch_Plain]]</f>
        <v>0</v>
      </c>
      <c r="H101" s="193" t="n">
        <f aca="false">OFFSET(TblConstr[[#This Row],[Forest]],-1,0)+TblConstr[[#This Row],[Ch_Forest]]</f>
        <v>0</v>
      </c>
      <c r="I101" s="200" t="n">
        <f aca="false">OFFSET(TblConstr[[#This Row],[Mountain]],-1,0)+TblConstr[[#This Row],[Ch_Mountain]]</f>
        <v>0</v>
      </c>
      <c r="J101" s="201" t="n">
        <f aca="false">OFFSET(TblConstr[[#This Row],[Hill]],-1,0)+TblConstr[[#This Row],[Ch_Hill]]</f>
        <v>0</v>
      </c>
      <c r="K101" s="202" t="n">
        <f aca="false">OFFSET(TblConstr[[#This Row],[Swamp]],-1,0)+TblConstr[[#This Row],[Ch_Swamp]]</f>
        <v>0</v>
      </c>
      <c r="L101" s="197" t="n">
        <f aca="false">OFFSET(TblConstr[[#This Row],[Cavern]],-1,0)+TblConstr[[#This Row],[Ch_Cavern]]</f>
        <v>0</v>
      </c>
      <c r="M101" s="198" t="n">
        <f aca="false">OFFSET(TblConstr[[#This Row],[Water]],-1,0)+TblConstr[[#This Row],[Ch_Water]]</f>
        <v>0</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1065538</v>
      </c>
      <c r="AL101" s="69" t="n">
        <f aca="false">TblProd[[#This Row],[Lumber]]</f>
        <v>36302</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1" s="69" t="n">
        <f aca="false">ROUNDDOWN( MAX(1 - MIN(facs_constr_factor*TblConstr[[#This Row],[Facs -DB]],facs_constr_max) + tech_1_11*TblTech[[#This Row],[11-1]] + tech_6_3_2*TblTech[[#This Row],[6-3]] + tech_5_2_3*TblTech[[#This Row],[5-2]], 1-global_constr_cap) * TblConstr[[#This Row],[RCPA Lumber]],0)</f>
        <v>216</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1" s="69" t="n">
        <f aca="false">ROUNDDOWN( MAX(1 - MIN(facs_constr_factor*TblConstr[[#This Row],[Facs DB]],facs_constr_max) + tech_1_11*TblTech[[#This Row],[1-11]] + tech_6_3_2*TblTech[[#This Row],[6-3]] + tech_5_2_3*TblTech[[#This Row],[5-2]], 1-global_constr_cap) * ROUND((TblConstr[[#This Row],[Land]]-250)*0.285 + 87.5 + 0/4.25,0),0)</f>
        <v>216</v>
      </c>
      <c r="AQ101" s="1" t="n">
        <f aca="false">TblConstr[[#This Row],[build -db]]*TblConstr[[#This Row],[CPA Platinum -DB]] + TblConstr[[#This Row],[build db]]*TblConstr[[#This Row],[CPA Platinum DB]]</f>
        <v>0</v>
      </c>
      <c r="AR101" s="1" t="n">
        <f aca="false">TblConstr[[#This Row],[build -db]]*TblConstr[[#This Row],[CPA Lumber -DB]]+TblConstr[[#This Row],[build db]]*TblConstr[[#This Row],[CPA Lumber DB]]</f>
        <v>0</v>
      </c>
      <c r="AS101" s="69" t="n">
        <f aca="false">MIN(SUM(OFFSET(TblConstr[[#This Row],[Plain]:[Water]],-1,0))+SUM(TblConstr[[#This Row],[Dest Hom]:[Dest Doc]])+IF(TblConstr[[#This Row],[Hour]]&gt;12,SUM(OFFSET(TblExplore[[#This Row],[Plains Explore]:[Water Explore]],-12,0)),0),SUM(TblConstr[[#This Row],[Hom]:[Doc]]))</f>
        <v>0</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1413</v>
      </c>
      <c r="AW101" s="69" t="n">
        <f aca="false">ROUND((TblConstr[[#This Row],[Land]]-250 - IF(TblExplore[[#This Row],[Land Bonus]]&lt;&gt;0,20,0))*0.285 + 87.5 + 0/4.25,0)</f>
        <v>216</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700</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430</v>
      </c>
      <c r="DA101" s="69" t="n">
        <f aca="false">H101+SUM(T90:U101)+SUM(BD101:BE101)</f>
        <v>25</v>
      </c>
      <c r="DB101" s="1" t="n">
        <f aca="false">I101+SUM(V90:W101)+SUM(BF101:BG101)</f>
        <v>0</v>
      </c>
      <c r="DC101" s="69" t="n">
        <f aca="false">J101+SUM(X90:Y101)+SUM(BH101:BI101)</f>
        <v>55</v>
      </c>
      <c r="DD101" s="69" t="n">
        <f aca="false">K101+SUM(AB90:AD101)+SUM(BL101:BN101)</f>
        <v>76</v>
      </c>
      <c r="DE101" s="1" t="n">
        <f aca="false">L101+SUM(AE90:AE101)+BO101</f>
        <v>0</v>
      </c>
      <c r="DF101" s="69" t="n">
        <f aca="false">M101+SUM(AG90:AG101)+BQ101</f>
        <v>24</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0</v>
      </c>
      <c r="C102" s="172" t="n">
        <f aca="false">SUM(TblConstr[[#This Row],[Tot Hom]:[Tot Doc]])</f>
        <v>700</v>
      </c>
      <c r="D102" s="172" t="n">
        <f aca="false">SUM(O91:AG102)</f>
        <v>0</v>
      </c>
      <c r="E102" s="173"/>
      <c r="F102" s="33" t="n">
        <f aca="false">TblConstr[[#This Row],[Barren]]+TblConstr[[#This Row],[Buildings]]+TblConstr[[#This Row],[Incoming]]</f>
        <v>700</v>
      </c>
      <c r="G102" s="199" t="n">
        <f aca="false">OFFSET(TblConstr[[#This Row],[Plain]],-1,0)+TblConstr[[#This Row],[Ch_Plain]]</f>
        <v>0</v>
      </c>
      <c r="H102" s="193" t="n">
        <f aca="false">OFFSET(TblConstr[[#This Row],[Forest]],-1,0)+TblConstr[[#This Row],[Ch_Forest]]</f>
        <v>0</v>
      </c>
      <c r="I102" s="200" t="n">
        <f aca="false">OFFSET(TblConstr[[#This Row],[Mountain]],-1,0)+TblConstr[[#This Row],[Ch_Mountain]]</f>
        <v>0</v>
      </c>
      <c r="J102" s="201" t="n">
        <f aca="false">OFFSET(TblConstr[[#This Row],[Hill]],-1,0)+TblConstr[[#This Row],[Ch_Hill]]</f>
        <v>0</v>
      </c>
      <c r="K102" s="202" t="n">
        <f aca="false">OFFSET(TblConstr[[#This Row],[Swamp]],-1,0)+TblConstr[[#This Row],[Ch_Swamp]]</f>
        <v>0</v>
      </c>
      <c r="L102" s="197" t="n">
        <f aca="false">OFFSET(TblConstr[[#This Row],[Cavern]],-1,0)+TblConstr[[#This Row],[Ch_Cavern]]</f>
        <v>0</v>
      </c>
      <c r="M102" s="198" t="n">
        <f aca="false">OFFSET(TblConstr[[#This Row],[Water]],-1,0)+TblConstr[[#This Row],[Ch_Water]]</f>
        <v>0</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1106388</v>
      </c>
      <c r="AL102" s="69" t="n">
        <f aca="false">TblProd[[#This Row],[Lumber]]</f>
        <v>37064</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2" s="69" t="n">
        <f aca="false">ROUNDDOWN( MAX(1 - MIN(facs_constr_factor*TblConstr[[#This Row],[Facs -DB]],facs_constr_max) + tech_1_11*TblTech[[#This Row],[11-1]] + tech_6_3_2*TblTech[[#This Row],[6-3]] + tech_5_2_3*TblTech[[#This Row],[5-2]], 1-global_constr_cap) * TblConstr[[#This Row],[RCPA Lumber]],0)</f>
        <v>216</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2" s="69" t="n">
        <f aca="false">ROUNDDOWN( MAX(1 - MIN(facs_constr_factor*TblConstr[[#This Row],[Facs DB]],facs_constr_max) + tech_1_11*TblTech[[#This Row],[1-11]] + tech_6_3_2*TblTech[[#This Row],[6-3]] + tech_5_2_3*TblTech[[#This Row],[5-2]], 1-global_constr_cap) * ROUND((TblConstr[[#This Row],[Land]]-250)*0.285 + 87.5 + 0/4.25,0),0)</f>
        <v>216</v>
      </c>
      <c r="AQ102" s="1" t="n">
        <f aca="false">TblConstr[[#This Row],[build -db]]*TblConstr[[#This Row],[CPA Platinum -DB]] + TblConstr[[#This Row],[build db]]*TblConstr[[#This Row],[CPA Platinum DB]]</f>
        <v>0</v>
      </c>
      <c r="AR102" s="1" t="n">
        <f aca="false">TblConstr[[#This Row],[build -db]]*TblConstr[[#This Row],[CPA Lumber -DB]]+TblConstr[[#This Row],[build db]]*TblConstr[[#This Row],[CPA Lumber DB]]</f>
        <v>0</v>
      </c>
      <c r="AS102" s="69" t="n">
        <f aca="false">MIN(SUM(OFFSET(TblConstr[[#This Row],[Plain]:[Water]],-1,0))+SUM(TblConstr[[#This Row],[Dest Hom]:[Dest Doc]])+IF(TblConstr[[#This Row],[Hour]]&gt;12,SUM(OFFSET(TblExplore[[#This Row],[Plains Explore]:[Water Explore]],-12,0)),0),SUM(TblConstr[[#This Row],[Hom]:[Doc]]))</f>
        <v>0</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1413</v>
      </c>
      <c r="AW102" s="69" t="n">
        <f aca="false">ROUND((TblConstr[[#This Row],[Land]]-250 - IF(TblExplore[[#This Row],[Land Bonus]]&lt;&gt;0,20,0))*0.285 + 87.5 + 0/4.25,0)</f>
        <v>216</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700</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430</v>
      </c>
      <c r="DA102" s="69" t="n">
        <f aca="false">H102+SUM(T91:U102)+SUM(BD102:BE102)</f>
        <v>25</v>
      </c>
      <c r="DB102" s="1" t="n">
        <f aca="false">I102+SUM(V91:W102)+SUM(BF102:BG102)</f>
        <v>0</v>
      </c>
      <c r="DC102" s="69" t="n">
        <f aca="false">J102+SUM(X91:Y102)+SUM(BH102:BI102)</f>
        <v>55</v>
      </c>
      <c r="DD102" s="69" t="n">
        <f aca="false">K102+SUM(AB91:AD102)+SUM(BL102:BN102)</f>
        <v>76</v>
      </c>
      <c r="DE102" s="1" t="n">
        <f aca="false">L102+SUM(AE91:AE102)+BO102</f>
        <v>0</v>
      </c>
      <c r="DF102" s="69" t="n">
        <f aca="false">M102+SUM(AG91:AG102)+BQ102</f>
        <v>24</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0</v>
      </c>
      <c r="C103" s="172" t="n">
        <f aca="false">SUM(TblConstr[[#This Row],[Tot Hom]:[Tot Doc]])</f>
        <v>700</v>
      </c>
      <c r="D103" s="172" t="n">
        <f aca="false">SUM(O92:AG103)</f>
        <v>0</v>
      </c>
      <c r="E103" s="173"/>
      <c r="F103" s="33" t="n">
        <f aca="false">TblConstr[[#This Row],[Barren]]+TblConstr[[#This Row],[Buildings]]+TblConstr[[#This Row],[Incoming]]</f>
        <v>700</v>
      </c>
      <c r="G103" s="199" t="n">
        <f aca="false">OFFSET(TblConstr[[#This Row],[Plain]],-1,0)+TblConstr[[#This Row],[Ch_Plain]]</f>
        <v>0</v>
      </c>
      <c r="H103" s="193" t="n">
        <f aca="false">OFFSET(TblConstr[[#This Row],[Forest]],-1,0)+TblConstr[[#This Row],[Ch_Forest]]</f>
        <v>0</v>
      </c>
      <c r="I103" s="200" t="n">
        <f aca="false">OFFSET(TblConstr[[#This Row],[Mountain]],-1,0)+TblConstr[[#This Row],[Ch_Mountain]]</f>
        <v>0</v>
      </c>
      <c r="J103" s="201" t="n">
        <f aca="false">OFFSET(TblConstr[[#This Row],[Hill]],-1,0)+TblConstr[[#This Row],[Ch_Hill]]</f>
        <v>0</v>
      </c>
      <c r="K103" s="202" t="n">
        <f aca="false">OFFSET(TblConstr[[#This Row],[Swamp]],-1,0)+TblConstr[[#This Row],[Ch_Swamp]]</f>
        <v>0</v>
      </c>
      <c r="L103" s="197" t="n">
        <f aca="false">OFFSET(TblConstr[[#This Row],[Cavern]],-1,0)+TblConstr[[#This Row],[Ch_Cavern]]</f>
        <v>0</v>
      </c>
      <c r="M103" s="198" t="n">
        <f aca="false">OFFSET(TblConstr[[#This Row],[Water]],-1,0)+TblConstr[[#This Row],[Ch_Water]]</f>
        <v>0</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1147006</v>
      </c>
      <c r="AL103" s="69" t="n">
        <f aca="false">TblProd[[#This Row],[Lumber]]</f>
        <v>37818</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3" s="69" t="n">
        <f aca="false">ROUNDDOWN( MAX(1 - MIN(facs_constr_factor*TblConstr[[#This Row],[Facs -DB]],facs_constr_max) + tech_1_11*TblTech[[#This Row],[11-1]] + tech_6_3_2*TblTech[[#This Row],[6-3]] + tech_5_2_3*TblTech[[#This Row],[5-2]], 1-global_constr_cap) * TblConstr[[#This Row],[RCPA Lumber]],0)</f>
        <v>216</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3" s="69" t="n">
        <f aca="false">ROUNDDOWN( MAX(1 - MIN(facs_constr_factor*TblConstr[[#This Row],[Facs DB]],facs_constr_max) + tech_1_11*TblTech[[#This Row],[1-11]] + tech_6_3_2*TblTech[[#This Row],[6-3]] + tech_5_2_3*TblTech[[#This Row],[5-2]], 1-global_constr_cap) * ROUND((TblConstr[[#This Row],[Land]]-250)*0.285 + 87.5 + 0/4.25,0),0)</f>
        <v>216</v>
      </c>
      <c r="AQ103" s="1" t="n">
        <f aca="false">TblConstr[[#This Row],[build -db]]*TblConstr[[#This Row],[CPA Platinum -DB]] + TblConstr[[#This Row],[build db]]*TblConstr[[#This Row],[CPA Platinum DB]]</f>
        <v>0</v>
      </c>
      <c r="AR103" s="1" t="n">
        <f aca="false">TblConstr[[#This Row],[build -db]]*TblConstr[[#This Row],[CPA Lumber -DB]]+TblConstr[[#This Row],[build db]]*TblConstr[[#This Row],[CPA Lumber DB]]</f>
        <v>0</v>
      </c>
      <c r="AS103" s="69" t="n">
        <f aca="false">MIN(SUM(OFFSET(TblConstr[[#This Row],[Plain]:[Water]],-1,0))+SUM(TblConstr[[#This Row],[Dest Hom]:[Dest Doc]])+IF(TblConstr[[#This Row],[Hour]]&gt;12,SUM(OFFSET(TblExplore[[#This Row],[Plains Explore]:[Water Explore]],-12,0)),0),SUM(TblConstr[[#This Row],[Hom]:[Doc]]))</f>
        <v>0</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1413</v>
      </c>
      <c r="AW103" s="69" t="n">
        <f aca="false">ROUND((TblConstr[[#This Row],[Land]]-250 - IF(TblExplore[[#This Row],[Land Bonus]]&lt;&gt;0,20,0))*0.285 + 87.5 + 0/4.25,0)</f>
        <v>216</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700</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430</v>
      </c>
      <c r="DA103" s="69" t="n">
        <f aca="false">H103+SUM(T92:U103)+SUM(BD103:BE103)</f>
        <v>25</v>
      </c>
      <c r="DB103" s="1" t="n">
        <f aca="false">I103+SUM(V92:W103)+SUM(BF103:BG103)</f>
        <v>0</v>
      </c>
      <c r="DC103" s="69" t="n">
        <f aca="false">J103+SUM(X92:Y103)+SUM(BH103:BI103)</f>
        <v>55</v>
      </c>
      <c r="DD103" s="69" t="n">
        <f aca="false">K103+SUM(AB92:AD103)+SUM(BL103:BN103)</f>
        <v>76</v>
      </c>
      <c r="DE103" s="1" t="n">
        <f aca="false">L103+SUM(AE92:AE103)+BO103</f>
        <v>0</v>
      </c>
      <c r="DF103" s="69" t="n">
        <f aca="false">M103+SUM(AG92:AG103)+BQ103</f>
        <v>24</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0</v>
      </c>
      <c r="C104" s="172" t="n">
        <f aca="false">SUM(TblConstr[[#This Row],[Tot Hom]:[Tot Doc]])</f>
        <v>700</v>
      </c>
      <c r="D104" s="172" t="n">
        <f aca="false">SUM(O93:AG104)</f>
        <v>0</v>
      </c>
      <c r="E104" s="173"/>
      <c r="F104" s="33" t="n">
        <f aca="false">TblConstr[[#This Row],[Barren]]+TblConstr[[#This Row],[Buildings]]+TblConstr[[#This Row],[Incoming]]</f>
        <v>700</v>
      </c>
      <c r="G104" s="199" t="n">
        <f aca="false">OFFSET(TblConstr[[#This Row],[Plain]],-1,0)+TblConstr[[#This Row],[Ch_Plain]]</f>
        <v>0</v>
      </c>
      <c r="H104" s="193" t="n">
        <f aca="false">OFFSET(TblConstr[[#This Row],[Forest]],-1,0)+TblConstr[[#This Row],[Ch_Forest]]</f>
        <v>0</v>
      </c>
      <c r="I104" s="200" t="n">
        <f aca="false">OFFSET(TblConstr[[#This Row],[Mountain]],-1,0)+TblConstr[[#This Row],[Ch_Mountain]]</f>
        <v>0</v>
      </c>
      <c r="J104" s="201" t="n">
        <f aca="false">OFFSET(TblConstr[[#This Row],[Hill]],-1,0)+TblConstr[[#This Row],[Ch_Hill]]</f>
        <v>0</v>
      </c>
      <c r="K104" s="202" t="n">
        <f aca="false">OFFSET(TblConstr[[#This Row],[Swamp]],-1,0)+TblConstr[[#This Row],[Ch_Swamp]]</f>
        <v>0</v>
      </c>
      <c r="L104" s="197" t="n">
        <f aca="false">OFFSET(TblConstr[[#This Row],[Cavern]],-1,0)+TblConstr[[#This Row],[Ch_Cavern]]</f>
        <v>0</v>
      </c>
      <c r="M104" s="198" t="n">
        <f aca="false">OFFSET(TblConstr[[#This Row],[Water]],-1,0)+TblConstr[[#This Row],[Ch_Water]]</f>
        <v>0</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1187393</v>
      </c>
      <c r="AL104" s="69" t="n">
        <f aca="false">TblProd[[#This Row],[Lumber]]</f>
        <v>38565</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4" s="69" t="n">
        <f aca="false">ROUNDDOWN( MAX(1 - MIN(facs_constr_factor*TblConstr[[#This Row],[Facs -DB]],facs_constr_max) + tech_1_11*TblTech[[#This Row],[11-1]] + tech_6_3_2*TblTech[[#This Row],[6-3]] + tech_5_2_3*TblTech[[#This Row],[5-2]], 1-global_constr_cap) * TblConstr[[#This Row],[RCPA Lumber]],0)</f>
        <v>216</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4" s="69" t="n">
        <f aca="false">ROUNDDOWN( MAX(1 - MIN(facs_constr_factor*TblConstr[[#This Row],[Facs DB]],facs_constr_max) + tech_1_11*TblTech[[#This Row],[1-11]] + tech_6_3_2*TblTech[[#This Row],[6-3]] + tech_5_2_3*TblTech[[#This Row],[5-2]], 1-global_constr_cap) * ROUND((TblConstr[[#This Row],[Land]]-250)*0.285 + 87.5 + 0/4.25,0),0)</f>
        <v>216</v>
      </c>
      <c r="AQ104" s="1" t="n">
        <f aca="false">TblConstr[[#This Row],[build -db]]*TblConstr[[#This Row],[CPA Platinum -DB]] + TblConstr[[#This Row],[build db]]*TblConstr[[#This Row],[CPA Platinum DB]]</f>
        <v>0</v>
      </c>
      <c r="AR104" s="1" t="n">
        <f aca="false">TblConstr[[#This Row],[build -db]]*TblConstr[[#This Row],[CPA Lumber -DB]]+TblConstr[[#This Row],[build db]]*TblConstr[[#This Row],[CPA Lumber DB]]</f>
        <v>0</v>
      </c>
      <c r="AS104" s="69" t="n">
        <f aca="false">MIN(SUM(OFFSET(TblConstr[[#This Row],[Plain]:[Water]],-1,0))+SUM(TblConstr[[#This Row],[Dest Hom]:[Dest Doc]])+IF(TblConstr[[#This Row],[Hour]]&gt;12,SUM(OFFSET(TblExplore[[#This Row],[Plains Explore]:[Water Explore]],-12,0)),0),SUM(TblConstr[[#This Row],[Hom]:[Doc]]))</f>
        <v>0</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1413</v>
      </c>
      <c r="AW104" s="69" t="n">
        <f aca="false">ROUND((TblConstr[[#This Row],[Land]]-250 - IF(TblExplore[[#This Row],[Land Bonus]]&lt;&gt;0,20,0))*0.285 + 87.5 + 0/4.25,0)</f>
        <v>216</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700</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430</v>
      </c>
      <c r="DA104" s="69" t="n">
        <f aca="false">H104+SUM(T93:U104)+SUM(BD104:BE104)</f>
        <v>25</v>
      </c>
      <c r="DB104" s="1" t="n">
        <f aca="false">I104+SUM(V93:W104)+SUM(BF104:BG104)</f>
        <v>0</v>
      </c>
      <c r="DC104" s="69" t="n">
        <f aca="false">J104+SUM(X93:Y104)+SUM(BH104:BI104)</f>
        <v>55</v>
      </c>
      <c r="DD104" s="69" t="n">
        <f aca="false">K104+SUM(AB93:AD104)+SUM(BL104:BN104)</f>
        <v>76</v>
      </c>
      <c r="DE104" s="1" t="n">
        <f aca="false">L104+SUM(AE93:AE104)+BO104</f>
        <v>0</v>
      </c>
      <c r="DF104" s="69" t="n">
        <f aca="false">M104+SUM(AG93:AG104)+BQ104</f>
        <v>24</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0</v>
      </c>
      <c r="C105" s="172" t="n">
        <f aca="false">SUM(TblConstr[[#This Row],[Tot Hom]:[Tot Doc]])</f>
        <v>700</v>
      </c>
      <c r="D105" s="172" t="n">
        <f aca="false">SUM(O94:AG105)</f>
        <v>0</v>
      </c>
      <c r="E105" s="173"/>
      <c r="F105" s="33" t="n">
        <f aca="false">TblConstr[[#This Row],[Barren]]+TblConstr[[#This Row],[Buildings]]+TblConstr[[#This Row],[Incoming]]</f>
        <v>700</v>
      </c>
      <c r="G105" s="199" t="n">
        <f aca="false">OFFSET(TblConstr[[#This Row],[Plain]],-1,0)+TblConstr[[#This Row],[Ch_Plain]]</f>
        <v>0</v>
      </c>
      <c r="H105" s="193" t="n">
        <f aca="false">OFFSET(TblConstr[[#This Row],[Forest]],-1,0)+TblConstr[[#This Row],[Ch_Forest]]</f>
        <v>0</v>
      </c>
      <c r="I105" s="200" t="n">
        <f aca="false">OFFSET(TblConstr[[#This Row],[Mountain]],-1,0)+TblConstr[[#This Row],[Ch_Mountain]]</f>
        <v>0</v>
      </c>
      <c r="J105" s="201" t="n">
        <f aca="false">OFFSET(TblConstr[[#This Row],[Hill]],-1,0)+TblConstr[[#This Row],[Ch_Hill]]</f>
        <v>0</v>
      </c>
      <c r="K105" s="202" t="n">
        <f aca="false">OFFSET(TblConstr[[#This Row],[Swamp]],-1,0)+TblConstr[[#This Row],[Ch_Swamp]]</f>
        <v>0</v>
      </c>
      <c r="L105" s="197" t="n">
        <f aca="false">OFFSET(TblConstr[[#This Row],[Cavern]],-1,0)+TblConstr[[#This Row],[Ch_Cavern]]</f>
        <v>0</v>
      </c>
      <c r="M105" s="198" t="n">
        <f aca="false">OFFSET(TblConstr[[#This Row],[Water]],-1,0)+TblConstr[[#This Row],[Ch_Water]]</f>
        <v>0</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1227551</v>
      </c>
      <c r="AL105" s="69" t="n">
        <f aca="false">TblProd[[#This Row],[Lumber]]</f>
        <v>39304</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5" s="69" t="n">
        <f aca="false">ROUNDDOWN( MAX(1 - MIN(facs_constr_factor*TblConstr[[#This Row],[Facs -DB]],facs_constr_max) + tech_1_11*TblTech[[#This Row],[11-1]] + tech_6_3_2*TblTech[[#This Row],[6-3]] + tech_5_2_3*TblTech[[#This Row],[5-2]], 1-global_constr_cap) * TblConstr[[#This Row],[RCPA Lumber]],0)</f>
        <v>216</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5" s="69" t="n">
        <f aca="false">ROUNDDOWN( MAX(1 - MIN(facs_constr_factor*TblConstr[[#This Row],[Facs DB]],facs_constr_max) + tech_1_11*TblTech[[#This Row],[1-11]] + tech_6_3_2*TblTech[[#This Row],[6-3]] + tech_5_2_3*TblTech[[#This Row],[5-2]], 1-global_constr_cap) * ROUND((TblConstr[[#This Row],[Land]]-250)*0.285 + 87.5 + 0/4.25,0),0)</f>
        <v>216</v>
      </c>
      <c r="AQ105" s="1" t="n">
        <f aca="false">TblConstr[[#This Row],[build -db]]*TblConstr[[#This Row],[CPA Platinum -DB]] + TblConstr[[#This Row],[build db]]*TblConstr[[#This Row],[CPA Platinum DB]]</f>
        <v>0</v>
      </c>
      <c r="AR105" s="1" t="n">
        <f aca="false">TblConstr[[#This Row],[build -db]]*TblConstr[[#This Row],[CPA Lumber -DB]]+TblConstr[[#This Row],[build db]]*TblConstr[[#This Row],[CPA Lumber DB]]</f>
        <v>0</v>
      </c>
      <c r="AS105" s="69" t="n">
        <f aca="false">MIN(SUM(OFFSET(TblConstr[[#This Row],[Plain]:[Water]],-1,0))+SUM(TblConstr[[#This Row],[Dest Hom]:[Dest Doc]])+IF(TblConstr[[#This Row],[Hour]]&gt;12,SUM(OFFSET(TblExplore[[#This Row],[Plains Explore]:[Water Explore]],-12,0)),0),SUM(TblConstr[[#This Row],[Hom]:[Doc]]))</f>
        <v>0</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1413</v>
      </c>
      <c r="AW105" s="69" t="n">
        <f aca="false">ROUND((TblConstr[[#This Row],[Land]]-250 - IF(TblExplore[[#This Row],[Land Bonus]]&lt;&gt;0,20,0))*0.285 + 87.5 + 0/4.25,0)</f>
        <v>216</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700</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430</v>
      </c>
      <c r="DA105" s="69" t="n">
        <f aca="false">H105+SUM(T94:U105)+SUM(BD105:BE105)</f>
        <v>25</v>
      </c>
      <c r="DB105" s="1" t="n">
        <f aca="false">I105+SUM(V94:W105)+SUM(BF105:BG105)</f>
        <v>0</v>
      </c>
      <c r="DC105" s="69" t="n">
        <f aca="false">J105+SUM(X94:Y105)+SUM(BH105:BI105)</f>
        <v>55</v>
      </c>
      <c r="DD105" s="69" t="n">
        <f aca="false">K105+SUM(AB94:AD105)+SUM(BL105:BN105)</f>
        <v>76</v>
      </c>
      <c r="DE105" s="1" t="n">
        <f aca="false">L105+SUM(AE94:AE105)+BO105</f>
        <v>0</v>
      </c>
      <c r="DF105" s="69" t="n">
        <f aca="false">M105+SUM(AG94:AG105)+BQ105</f>
        <v>24</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0</v>
      </c>
      <c r="C106" s="172" t="n">
        <f aca="false">SUM(TblConstr[[#This Row],[Tot Hom]:[Tot Doc]])</f>
        <v>700</v>
      </c>
      <c r="D106" s="172" t="n">
        <f aca="false">SUM(O95:AG106)</f>
        <v>0</v>
      </c>
      <c r="E106" s="173"/>
      <c r="F106" s="33" t="n">
        <f aca="false">TblConstr[[#This Row],[Barren]]+TblConstr[[#This Row],[Buildings]]+TblConstr[[#This Row],[Incoming]]</f>
        <v>700</v>
      </c>
      <c r="G106" s="199" t="n">
        <f aca="false">OFFSET(TblConstr[[#This Row],[Plain]],-1,0)+TblConstr[[#This Row],[Ch_Plain]]</f>
        <v>0</v>
      </c>
      <c r="H106" s="193" t="n">
        <f aca="false">OFFSET(TblConstr[[#This Row],[Forest]],-1,0)+TblConstr[[#This Row],[Ch_Forest]]</f>
        <v>0</v>
      </c>
      <c r="I106" s="200" t="n">
        <f aca="false">OFFSET(TblConstr[[#This Row],[Mountain]],-1,0)+TblConstr[[#This Row],[Ch_Mountain]]</f>
        <v>0</v>
      </c>
      <c r="J106" s="201" t="n">
        <f aca="false">OFFSET(TblConstr[[#This Row],[Hill]],-1,0)+TblConstr[[#This Row],[Ch_Hill]]</f>
        <v>0</v>
      </c>
      <c r="K106" s="202" t="n">
        <f aca="false">OFFSET(TblConstr[[#This Row],[Swamp]],-1,0)+TblConstr[[#This Row],[Ch_Swamp]]</f>
        <v>0</v>
      </c>
      <c r="L106" s="197" t="n">
        <f aca="false">OFFSET(TblConstr[[#This Row],[Cavern]],-1,0)+TblConstr[[#This Row],[Ch_Cavern]]</f>
        <v>0</v>
      </c>
      <c r="M106" s="198" t="n">
        <f aca="false">OFFSET(TblConstr[[#This Row],[Water]],-1,0)+TblConstr[[#This Row],[Ch_Water]]</f>
        <v>0</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1267483</v>
      </c>
      <c r="AL106" s="69" t="n">
        <f aca="false">TblProd[[#This Row],[Lumber]]</f>
        <v>40036</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6" s="69" t="n">
        <f aca="false">ROUNDDOWN( MAX(1 - MIN(facs_constr_factor*TblConstr[[#This Row],[Facs -DB]],facs_constr_max) + tech_1_11*TblTech[[#This Row],[11-1]] + tech_6_3_2*TblTech[[#This Row],[6-3]] + tech_5_2_3*TblTech[[#This Row],[5-2]], 1-global_constr_cap) * TblConstr[[#This Row],[RCPA Lumber]],0)</f>
        <v>216</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6" s="69" t="n">
        <f aca="false">ROUNDDOWN( MAX(1 - MIN(facs_constr_factor*TblConstr[[#This Row],[Facs DB]],facs_constr_max) + tech_1_11*TblTech[[#This Row],[1-11]] + tech_6_3_2*TblTech[[#This Row],[6-3]] + tech_5_2_3*TblTech[[#This Row],[5-2]], 1-global_constr_cap) * ROUND((TblConstr[[#This Row],[Land]]-250)*0.285 + 87.5 + 0/4.25,0),0)</f>
        <v>216</v>
      </c>
      <c r="AQ106" s="1" t="n">
        <f aca="false">TblConstr[[#This Row],[build -db]]*TblConstr[[#This Row],[CPA Platinum -DB]] + TblConstr[[#This Row],[build db]]*TblConstr[[#This Row],[CPA Platinum DB]]</f>
        <v>0</v>
      </c>
      <c r="AR106" s="1" t="n">
        <f aca="false">TblConstr[[#This Row],[build -db]]*TblConstr[[#This Row],[CPA Lumber -DB]]+TblConstr[[#This Row],[build db]]*TblConstr[[#This Row],[CPA Lumber DB]]</f>
        <v>0</v>
      </c>
      <c r="AS106" s="69" t="n">
        <f aca="false">MIN(SUM(OFFSET(TblConstr[[#This Row],[Plain]:[Water]],-1,0))+SUM(TblConstr[[#This Row],[Dest Hom]:[Dest Doc]])+IF(TblConstr[[#This Row],[Hour]]&gt;12,SUM(OFFSET(TblExplore[[#This Row],[Plains Explore]:[Water Explore]],-12,0)),0),SUM(TblConstr[[#This Row],[Hom]:[Doc]]))</f>
        <v>0</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1413</v>
      </c>
      <c r="AW106" s="69" t="n">
        <f aca="false">ROUND((TblConstr[[#This Row],[Land]]-250 - IF(TblExplore[[#This Row],[Land Bonus]]&lt;&gt;0,20,0))*0.285 + 87.5 + 0/4.25,0)</f>
        <v>216</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700</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430</v>
      </c>
      <c r="DA106" s="69" t="n">
        <f aca="false">H106+SUM(T95:U106)+SUM(BD106:BE106)</f>
        <v>25</v>
      </c>
      <c r="DB106" s="1" t="n">
        <f aca="false">I106+SUM(V95:W106)+SUM(BF106:BG106)</f>
        <v>0</v>
      </c>
      <c r="DC106" s="69" t="n">
        <f aca="false">J106+SUM(X95:Y106)+SUM(BH106:BI106)</f>
        <v>55</v>
      </c>
      <c r="DD106" s="69" t="n">
        <f aca="false">K106+SUM(AB95:AD106)+SUM(BL106:BN106)</f>
        <v>76</v>
      </c>
      <c r="DE106" s="1" t="n">
        <f aca="false">L106+SUM(AE95:AE106)+BO106</f>
        <v>0</v>
      </c>
      <c r="DF106" s="69" t="n">
        <f aca="false">M106+SUM(AG95:AG106)+BQ106</f>
        <v>24</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0</v>
      </c>
      <c r="C107" s="172" t="n">
        <f aca="false">SUM(TblConstr[[#This Row],[Tot Hom]:[Tot Doc]])</f>
        <v>700</v>
      </c>
      <c r="D107" s="172" t="n">
        <f aca="false">SUM(O96:AG107)</f>
        <v>0</v>
      </c>
      <c r="E107" s="173"/>
      <c r="F107" s="33" t="n">
        <f aca="false">TblConstr[[#This Row],[Barren]]+TblConstr[[#This Row],[Buildings]]+TblConstr[[#This Row],[Incoming]]</f>
        <v>700</v>
      </c>
      <c r="G107" s="199" t="n">
        <f aca="false">OFFSET(TblConstr[[#This Row],[Plain]],-1,0)+TblConstr[[#This Row],[Ch_Plain]]</f>
        <v>0</v>
      </c>
      <c r="H107" s="193" t="n">
        <f aca="false">OFFSET(TblConstr[[#This Row],[Forest]],-1,0)+TblConstr[[#This Row],[Ch_Forest]]</f>
        <v>0</v>
      </c>
      <c r="I107" s="200" t="n">
        <f aca="false">OFFSET(TblConstr[[#This Row],[Mountain]],-1,0)+TblConstr[[#This Row],[Ch_Mountain]]</f>
        <v>0</v>
      </c>
      <c r="J107" s="201" t="n">
        <f aca="false">OFFSET(TblConstr[[#This Row],[Hill]],-1,0)+TblConstr[[#This Row],[Ch_Hill]]</f>
        <v>0</v>
      </c>
      <c r="K107" s="202" t="n">
        <f aca="false">OFFSET(TblConstr[[#This Row],[Swamp]],-1,0)+TblConstr[[#This Row],[Ch_Swamp]]</f>
        <v>0</v>
      </c>
      <c r="L107" s="197" t="n">
        <f aca="false">OFFSET(TblConstr[[#This Row],[Cavern]],-1,0)+TblConstr[[#This Row],[Ch_Cavern]]</f>
        <v>0</v>
      </c>
      <c r="M107" s="198" t="n">
        <f aca="false">OFFSET(TblConstr[[#This Row],[Water]],-1,0)+TblConstr[[#This Row],[Ch_Water]]</f>
        <v>0</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1307193</v>
      </c>
      <c r="AL107" s="69" t="n">
        <f aca="false">TblProd[[#This Row],[Lumber]]</f>
        <v>40761</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7" s="69" t="n">
        <f aca="false">ROUNDDOWN( MAX(1 - MIN(facs_constr_factor*TblConstr[[#This Row],[Facs -DB]],facs_constr_max) + tech_1_11*TblTech[[#This Row],[11-1]] + tech_6_3_2*TblTech[[#This Row],[6-3]] + tech_5_2_3*TblTech[[#This Row],[5-2]], 1-global_constr_cap) * TblConstr[[#This Row],[RCPA Lumber]],0)</f>
        <v>216</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7" s="69" t="n">
        <f aca="false">ROUNDDOWN( MAX(1 - MIN(facs_constr_factor*TblConstr[[#This Row],[Facs DB]],facs_constr_max) + tech_1_11*TblTech[[#This Row],[1-11]] + tech_6_3_2*TblTech[[#This Row],[6-3]] + tech_5_2_3*TblTech[[#This Row],[5-2]], 1-global_constr_cap) * ROUND((TblConstr[[#This Row],[Land]]-250)*0.285 + 87.5 + 0/4.25,0),0)</f>
        <v>216</v>
      </c>
      <c r="AQ107" s="1" t="n">
        <f aca="false">TblConstr[[#This Row],[build -db]]*TblConstr[[#This Row],[CPA Platinum -DB]] + TblConstr[[#This Row],[build db]]*TblConstr[[#This Row],[CPA Platinum DB]]</f>
        <v>0</v>
      </c>
      <c r="AR107" s="1" t="n">
        <f aca="false">TblConstr[[#This Row],[build -db]]*TblConstr[[#This Row],[CPA Lumber -DB]]+TblConstr[[#This Row],[build db]]*TblConstr[[#This Row],[CPA Lumber DB]]</f>
        <v>0</v>
      </c>
      <c r="AS107" s="69" t="n">
        <f aca="false">MIN(SUM(OFFSET(TblConstr[[#This Row],[Plain]:[Water]],-1,0))+SUM(TblConstr[[#This Row],[Dest Hom]:[Dest Doc]])+IF(TblConstr[[#This Row],[Hour]]&gt;12,SUM(OFFSET(TblExplore[[#This Row],[Plains Explore]:[Water Explore]],-12,0)),0),SUM(TblConstr[[#This Row],[Hom]:[Doc]]))</f>
        <v>0</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1413</v>
      </c>
      <c r="AW107" s="69" t="n">
        <f aca="false">ROUND((TblConstr[[#This Row],[Land]]-250 - IF(TblExplore[[#This Row],[Land Bonus]]&lt;&gt;0,20,0))*0.285 + 87.5 + 0/4.25,0)</f>
        <v>216</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700</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430</v>
      </c>
      <c r="DA107" s="69" t="n">
        <f aca="false">H107+SUM(T96:U107)+SUM(BD107:BE107)</f>
        <v>25</v>
      </c>
      <c r="DB107" s="1" t="n">
        <f aca="false">I107+SUM(V96:W107)+SUM(BF107:BG107)</f>
        <v>0</v>
      </c>
      <c r="DC107" s="69" t="n">
        <f aca="false">J107+SUM(X96:Y107)+SUM(BH107:BI107)</f>
        <v>55</v>
      </c>
      <c r="DD107" s="69" t="n">
        <f aca="false">K107+SUM(AB96:AD107)+SUM(BL107:BN107)</f>
        <v>76</v>
      </c>
      <c r="DE107" s="1" t="n">
        <f aca="false">L107+SUM(AE96:AE107)+BO107</f>
        <v>0</v>
      </c>
      <c r="DF107" s="69" t="n">
        <f aca="false">M107+SUM(AG96:AG107)+BQ107</f>
        <v>24</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0</v>
      </c>
      <c r="C108" s="172" t="n">
        <f aca="false">SUM(TblConstr[[#This Row],[Tot Hom]:[Tot Doc]])</f>
        <v>700</v>
      </c>
      <c r="D108" s="172" t="n">
        <f aca="false">SUM(O97:AG108)</f>
        <v>0</v>
      </c>
      <c r="E108" s="173"/>
      <c r="F108" s="33" t="n">
        <f aca="false">TblConstr[[#This Row],[Barren]]+TblConstr[[#This Row],[Buildings]]+TblConstr[[#This Row],[Incoming]]</f>
        <v>700</v>
      </c>
      <c r="G108" s="199" t="n">
        <f aca="false">OFFSET(TblConstr[[#This Row],[Plain]],-1,0)+TblConstr[[#This Row],[Ch_Plain]]</f>
        <v>0</v>
      </c>
      <c r="H108" s="193" t="n">
        <f aca="false">OFFSET(TblConstr[[#This Row],[Forest]],-1,0)+TblConstr[[#This Row],[Ch_Forest]]</f>
        <v>0</v>
      </c>
      <c r="I108" s="200" t="n">
        <f aca="false">OFFSET(TblConstr[[#This Row],[Mountain]],-1,0)+TblConstr[[#This Row],[Ch_Mountain]]</f>
        <v>0</v>
      </c>
      <c r="J108" s="201" t="n">
        <f aca="false">OFFSET(TblConstr[[#This Row],[Hill]],-1,0)+TblConstr[[#This Row],[Ch_Hill]]</f>
        <v>0</v>
      </c>
      <c r="K108" s="202" t="n">
        <f aca="false">OFFSET(TblConstr[[#This Row],[Swamp]],-1,0)+TblConstr[[#This Row],[Ch_Swamp]]</f>
        <v>0</v>
      </c>
      <c r="L108" s="197" t="n">
        <f aca="false">OFFSET(TblConstr[[#This Row],[Cavern]],-1,0)+TblConstr[[#This Row],[Ch_Cavern]]</f>
        <v>0</v>
      </c>
      <c r="M108" s="198" t="n">
        <f aca="false">OFFSET(TblConstr[[#This Row],[Water]],-1,0)+TblConstr[[#This Row],[Ch_Water]]</f>
        <v>0</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1346680</v>
      </c>
      <c r="AL108" s="69" t="n">
        <f aca="false">TblProd[[#This Row],[Lumber]]</f>
        <v>41478</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8" s="69" t="n">
        <f aca="false">ROUNDDOWN( MAX(1 - MIN(facs_constr_factor*TblConstr[[#This Row],[Facs -DB]],facs_constr_max) + tech_1_11*TblTech[[#This Row],[11-1]] + tech_6_3_2*TblTech[[#This Row],[6-3]] + tech_5_2_3*TblTech[[#This Row],[5-2]], 1-global_constr_cap) * TblConstr[[#This Row],[RCPA Lumber]],0)</f>
        <v>216</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8" s="69" t="n">
        <f aca="false">ROUNDDOWN( MAX(1 - MIN(facs_constr_factor*TblConstr[[#This Row],[Facs DB]],facs_constr_max) + tech_1_11*TblTech[[#This Row],[1-11]] + tech_6_3_2*TblTech[[#This Row],[6-3]] + tech_5_2_3*TblTech[[#This Row],[5-2]], 1-global_constr_cap) * ROUND((TblConstr[[#This Row],[Land]]-250)*0.285 + 87.5 + 0/4.25,0),0)</f>
        <v>216</v>
      </c>
      <c r="AQ108" s="1" t="n">
        <f aca="false">TblConstr[[#This Row],[build -db]]*TblConstr[[#This Row],[CPA Platinum -DB]] + TblConstr[[#This Row],[build db]]*TblConstr[[#This Row],[CPA Platinum DB]]</f>
        <v>0</v>
      </c>
      <c r="AR108" s="1" t="n">
        <f aca="false">TblConstr[[#This Row],[build -db]]*TblConstr[[#This Row],[CPA Lumber -DB]]+TblConstr[[#This Row],[build db]]*TblConstr[[#This Row],[CPA Lumber DB]]</f>
        <v>0</v>
      </c>
      <c r="AS108" s="69" t="n">
        <f aca="false">MIN(SUM(OFFSET(TblConstr[[#This Row],[Plain]:[Water]],-1,0))+SUM(TblConstr[[#This Row],[Dest Hom]:[Dest Doc]])+IF(TblConstr[[#This Row],[Hour]]&gt;12,SUM(OFFSET(TblExplore[[#This Row],[Plains Explore]:[Water Explore]],-12,0)),0),SUM(TblConstr[[#This Row],[Hom]:[Doc]]))</f>
        <v>0</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1413</v>
      </c>
      <c r="AW108" s="69" t="n">
        <f aca="false">ROUND((TblConstr[[#This Row],[Land]]-250 - IF(TblExplore[[#This Row],[Land Bonus]]&lt;&gt;0,20,0))*0.285 + 87.5 + 0/4.25,0)</f>
        <v>216</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700</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430</v>
      </c>
      <c r="DA108" s="69" t="n">
        <f aca="false">H108+SUM(T97:U108)+SUM(BD108:BE108)</f>
        <v>25</v>
      </c>
      <c r="DB108" s="1" t="n">
        <f aca="false">I108+SUM(V97:W108)+SUM(BF108:BG108)</f>
        <v>0</v>
      </c>
      <c r="DC108" s="69" t="n">
        <f aca="false">J108+SUM(X97:Y108)+SUM(BH108:BI108)</f>
        <v>55</v>
      </c>
      <c r="DD108" s="69" t="n">
        <f aca="false">K108+SUM(AB97:AD108)+SUM(BL108:BN108)</f>
        <v>76</v>
      </c>
      <c r="DE108" s="1" t="n">
        <f aca="false">L108+SUM(AE97:AE108)+BO108</f>
        <v>0</v>
      </c>
      <c r="DF108" s="69" t="n">
        <f aca="false">M108+SUM(AG97:AG108)+BQ108</f>
        <v>24</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0</v>
      </c>
      <c r="C109" s="172" t="n">
        <f aca="false">SUM(TblConstr[[#This Row],[Tot Hom]:[Tot Doc]])</f>
        <v>700</v>
      </c>
      <c r="D109" s="172" t="n">
        <f aca="false">SUM(O98:AG109)</f>
        <v>0</v>
      </c>
      <c r="E109" s="173"/>
      <c r="F109" s="33" t="n">
        <f aca="false">TblConstr[[#This Row],[Barren]]+TblConstr[[#This Row],[Buildings]]+TblConstr[[#This Row],[Incoming]]</f>
        <v>700</v>
      </c>
      <c r="G109" s="199" t="n">
        <f aca="false">OFFSET(TblConstr[[#This Row],[Plain]],-1,0)+TblConstr[[#This Row],[Ch_Plain]]</f>
        <v>0</v>
      </c>
      <c r="H109" s="193" t="n">
        <f aca="false">OFFSET(TblConstr[[#This Row],[Forest]],-1,0)+TblConstr[[#This Row],[Ch_Forest]]</f>
        <v>0</v>
      </c>
      <c r="I109" s="200" t="n">
        <f aca="false">OFFSET(TblConstr[[#This Row],[Mountain]],-1,0)+TblConstr[[#This Row],[Ch_Mountain]]</f>
        <v>0</v>
      </c>
      <c r="J109" s="201" t="n">
        <f aca="false">OFFSET(TblConstr[[#This Row],[Hill]],-1,0)+TblConstr[[#This Row],[Ch_Hill]]</f>
        <v>0</v>
      </c>
      <c r="K109" s="202" t="n">
        <f aca="false">OFFSET(TblConstr[[#This Row],[Swamp]],-1,0)+TblConstr[[#This Row],[Ch_Swamp]]</f>
        <v>0</v>
      </c>
      <c r="L109" s="197" t="n">
        <f aca="false">OFFSET(TblConstr[[#This Row],[Cavern]],-1,0)+TblConstr[[#This Row],[Ch_Cavern]]</f>
        <v>0</v>
      </c>
      <c r="M109" s="198" t="n">
        <f aca="false">OFFSET(TblConstr[[#This Row],[Water]],-1,0)+TblConstr[[#This Row],[Ch_Water]]</f>
        <v>0</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1385947</v>
      </c>
      <c r="AL109" s="69" t="n">
        <f aca="false">TblProd[[#This Row],[Lumber]]</f>
        <v>42188</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9" s="69" t="n">
        <f aca="false">ROUNDDOWN( MAX(1 - MIN(facs_constr_factor*TblConstr[[#This Row],[Facs -DB]],facs_constr_max) + tech_1_11*TblTech[[#This Row],[11-1]] + tech_6_3_2*TblTech[[#This Row],[6-3]] + tech_5_2_3*TblTech[[#This Row],[5-2]], 1-global_constr_cap) * TblConstr[[#This Row],[RCPA Lumber]],0)</f>
        <v>216</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9" s="69" t="n">
        <f aca="false">ROUNDDOWN( MAX(1 - MIN(facs_constr_factor*TblConstr[[#This Row],[Facs DB]],facs_constr_max) + tech_1_11*TblTech[[#This Row],[1-11]] + tech_6_3_2*TblTech[[#This Row],[6-3]] + tech_5_2_3*TblTech[[#This Row],[5-2]], 1-global_constr_cap) * ROUND((TblConstr[[#This Row],[Land]]-250)*0.285 + 87.5 + 0/4.25,0),0)</f>
        <v>216</v>
      </c>
      <c r="AQ109" s="1" t="n">
        <f aca="false">TblConstr[[#This Row],[build -db]]*TblConstr[[#This Row],[CPA Platinum -DB]] + TblConstr[[#This Row],[build db]]*TblConstr[[#This Row],[CPA Platinum DB]]</f>
        <v>0</v>
      </c>
      <c r="AR109" s="1" t="n">
        <f aca="false">TblConstr[[#This Row],[build -db]]*TblConstr[[#This Row],[CPA Lumber -DB]]+TblConstr[[#This Row],[build db]]*TblConstr[[#This Row],[CPA Lumber DB]]</f>
        <v>0</v>
      </c>
      <c r="AS109" s="69" t="n">
        <f aca="false">MIN(SUM(OFFSET(TblConstr[[#This Row],[Plain]:[Water]],-1,0))+SUM(TblConstr[[#This Row],[Dest Hom]:[Dest Doc]])+IF(TblConstr[[#This Row],[Hour]]&gt;12,SUM(OFFSET(TblExplore[[#This Row],[Plains Explore]:[Water Explore]],-12,0)),0),SUM(TblConstr[[#This Row],[Hom]:[Doc]]))</f>
        <v>0</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1413</v>
      </c>
      <c r="AW109" s="69" t="n">
        <f aca="false">ROUND((TblConstr[[#This Row],[Land]]-250 - IF(TblExplore[[#This Row],[Land Bonus]]&lt;&gt;0,20,0))*0.285 + 87.5 + 0/4.25,0)</f>
        <v>216</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700</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430</v>
      </c>
      <c r="DA109" s="69" t="n">
        <f aca="false">H109+SUM(T98:U109)+SUM(BD109:BE109)</f>
        <v>25</v>
      </c>
      <c r="DB109" s="1" t="n">
        <f aca="false">I109+SUM(V98:W109)+SUM(BF109:BG109)</f>
        <v>0</v>
      </c>
      <c r="DC109" s="69" t="n">
        <f aca="false">J109+SUM(X98:Y109)+SUM(BH109:BI109)</f>
        <v>55</v>
      </c>
      <c r="DD109" s="69" t="n">
        <f aca="false">K109+SUM(AB98:AD109)+SUM(BL109:BN109)</f>
        <v>76</v>
      </c>
      <c r="DE109" s="1" t="n">
        <f aca="false">L109+SUM(AE98:AE109)+BO109</f>
        <v>0</v>
      </c>
      <c r="DF109" s="69" t="n">
        <f aca="false">M109+SUM(AG98:AG109)+BQ109</f>
        <v>24</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0</v>
      </c>
      <c r="C110" s="172" t="n">
        <f aca="false">SUM(TblConstr[[#This Row],[Tot Hom]:[Tot Doc]])</f>
        <v>700</v>
      </c>
      <c r="D110" s="172" t="n">
        <f aca="false">SUM(O99:AG110)</f>
        <v>0</v>
      </c>
      <c r="E110" s="173"/>
      <c r="F110" s="33" t="n">
        <f aca="false">TblConstr[[#This Row],[Barren]]+TblConstr[[#This Row],[Buildings]]+TblConstr[[#This Row],[Incoming]]</f>
        <v>700</v>
      </c>
      <c r="G110" s="199" t="n">
        <f aca="false">OFFSET(TblConstr[[#This Row],[Plain]],-1,0)+TblConstr[[#This Row],[Ch_Plain]]</f>
        <v>0</v>
      </c>
      <c r="H110" s="193" t="n">
        <f aca="false">OFFSET(TblConstr[[#This Row],[Forest]],-1,0)+TblConstr[[#This Row],[Ch_Forest]]</f>
        <v>0</v>
      </c>
      <c r="I110" s="200" t="n">
        <f aca="false">OFFSET(TblConstr[[#This Row],[Mountain]],-1,0)+TblConstr[[#This Row],[Ch_Mountain]]</f>
        <v>0</v>
      </c>
      <c r="J110" s="201" t="n">
        <f aca="false">OFFSET(TblConstr[[#This Row],[Hill]],-1,0)+TblConstr[[#This Row],[Ch_Hill]]</f>
        <v>0</v>
      </c>
      <c r="K110" s="202" t="n">
        <f aca="false">OFFSET(TblConstr[[#This Row],[Swamp]],-1,0)+TblConstr[[#This Row],[Ch_Swamp]]</f>
        <v>0</v>
      </c>
      <c r="L110" s="197" t="n">
        <f aca="false">OFFSET(TblConstr[[#This Row],[Cavern]],-1,0)+TblConstr[[#This Row],[Ch_Cavern]]</f>
        <v>0</v>
      </c>
      <c r="M110" s="198" t="n">
        <f aca="false">OFFSET(TblConstr[[#This Row],[Water]],-1,0)+TblConstr[[#This Row],[Ch_Water]]</f>
        <v>0</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1424997</v>
      </c>
      <c r="AL110" s="69" t="n">
        <f aca="false">TblProd[[#This Row],[Lumber]]</f>
        <v>42891</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0" s="69" t="n">
        <f aca="false">ROUNDDOWN( MAX(1 - MIN(facs_constr_factor*TblConstr[[#This Row],[Facs -DB]],facs_constr_max) + tech_1_11*TblTech[[#This Row],[11-1]] + tech_6_3_2*TblTech[[#This Row],[6-3]] + tech_5_2_3*TblTech[[#This Row],[5-2]], 1-global_constr_cap) * TblConstr[[#This Row],[RCPA Lumber]],0)</f>
        <v>216</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0" s="69" t="n">
        <f aca="false">ROUNDDOWN( MAX(1 - MIN(facs_constr_factor*TblConstr[[#This Row],[Facs DB]],facs_constr_max) + tech_1_11*TblTech[[#This Row],[1-11]] + tech_6_3_2*TblTech[[#This Row],[6-3]] + tech_5_2_3*TblTech[[#This Row],[5-2]], 1-global_constr_cap) * ROUND((TblConstr[[#This Row],[Land]]-250)*0.285 + 87.5 + 0/4.25,0),0)</f>
        <v>216</v>
      </c>
      <c r="AQ110" s="1" t="n">
        <f aca="false">TblConstr[[#This Row],[build -db]]*TblConstr[[#This Row],[CPA Platinum -DB]] + TblConstr[[#This Row],[build db]]*TblConstr[[#This Row],[CPA Platinum DB]]</f>
        <v>0</v>
      </c>
      <c r="AR110" s="1" t="n">
        <f aca="false">TblConstr[[#This Row],[build -db]]*TblConstr[[#This Row],[CPA Lumber -DB]]+TblConstr[[#This Row],[build db]]*TblConstr[[#This Row],[CPA Lumber DB]]</f>
        <v>0</v>
      </c>
      <c r="AS110" s="69" t="n">
        <f aca="false">MIN(SUM(OFFSET(TblConstr[[#This Row],[Plain]:[Water]],-1,0))+SUM(TblConstr[[#This Row],[Dest Hom]:[Dest Doc]])+IF(TblConstr[[#This Row],[Hour]]&gt;12,SUM(OFFSET(TblExplore[[#This Row],[Plains Explore]:[Water Explore]],-12,0)),0),SUM(TblConstr[[#This Row],[Hom]:[Doc]]))</f>
        <v>0</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1413</v>
      </c>
      <c r="AW110" s="69" t="n">
        <f aca="false">ROUND((TblConstr[[#This Row],[Land]]-250 - IF(TblExplore[[#This Row],[Land Bonus]]&lt;&gt;0,20,0))*0.285 + 87.5 + 0/4.25,0)</f>
        <v>216</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700</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430</v>
      </c>
      <c r="DA110" s="69" t="n">
        <f aca="false">H110+SUM(T99:U110)+SUM(BD110:BE110)</f>
        <v>25</v>
      </c>
      <c r="DB110" s="1" t="n">
        <f aca="false">I110+SUM(V99:W110)+SUM(BF110:BG110)</f>
        <v>0</v>
      </c>
      <c r="DC110" s="69" t="n">
        <f aca="false">J110+SUM(X99:Y110)+SUM(BH110:BI110)</f>
        <v>55</v>
      </c>
      <c r="DD110" s="69" t="n">
        <f aca="false">K110+SUM(AB99:AD110)+SUM(BL110:BN110)</f>
        <v>76</v>
      </c>
      <c r="DE110" s="1" t="n">
        <f aca="false">L110+SUM(AE99:AE110)+BO110</f>
        <v>0</v>
      </c>
      <c r="DF110" s="69" t="n">
        <f aca="false">M110+SUM(AG99:AG110)+BQ110</f>
        <v>24</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0</v>
      </c>
      <c r="C111" s="172" t="n">
        <f aca="false">SUM(TblConstr[[#This Row],[Tot Hom]:[Tot Doc]])</f>
        <v>700</v>
      </c>
      <c r="D111" s="172" t="n">
        <f aca="false">SUM(O100:AG111)</f>
        <v>0</v>
      </c>
      <c r="E111" s="173"/>
      <c r="F111" s="33" t="n">
        <f aca="false">TblConstr[[#This Row],[Barren]]+TblConstr[[#This Row],[Buildings]]+TblConstr[[#This Row],[Incoming]]</f>
        <v>700</v>
      </c>
      <c r="G111" s="199" t="n">
        <f aca="false">OFFSET(TblConstr[[#This Row],[Plain]],-1,0)+TblConstr[[#This Row],[Ch_Plain]]</f>
        <v>0</v>
      </c>
      <c r="H111" s="193" t="n">
        <f aca="false">OFFSET(TblConstr[[#This Row],[Forest]],-1,0)+TblConstr[[#This Row],[Ch_Forest]]</f>
        <v>0</v>
      </c>
      <c r="I111" s="200" t="n">
        <f aca="false">OFFSET(TblConstr[[#This Row],[Mountain]],-1,0)+TblConstr[[#This Row],[Ch_Mountain]]</f>
        <v>0</v>
      </c>
      <c r="J111" s="201" t="n">
        <f aca="false">OFFSET(TblConstr[[#This Row],[Hill]],-1,0)+TblConstr[[#This Row],[Ch_Hill]]</f>
        <v>0</v>
      </c>
      <c r="K111" s="202" t="n">
        <f aca="false">OFFSET(TblConstr[[#This Row],[Swamp]],-1,0)+TblConstr[[#This Row],[Ch_Swamp]]</f>
        <v>0</v>
      </c>
      <c r="L111" s="197" t="n">
        <f aca="false">OFFSET(TblConstr[[#This Row],[Cavern]],-1,0)+TblConstr[[#This Row],[Ch_Cavern]]</f>
        <v>0</v>
      </c>
      <c r="M111" s="198" t="n">
        <f aca="false">OFFSET(TblConstr[[#This Row],[Water]],-1,0)+TblConstr[[#This Row],[Ch_Water]]</f>
        <v>0</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1463833</v>
      </c>
      <c r="AL111" s="69" t="n">
        <f aca="false">TblProd[[#This Row],[Lumber]]</f>
        <v>43587</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1" s="69" t="n">
        <f aca="false">ROUNDDOWN( MAX(1 - MIN(facs_constr_factor*TblConstr[[#This Row],[Facs -DB]],facs_constr_max) + tech_1_11*TblTech[[#This Row],[11-1]] + tech_6_3_2*TblTech[[#This Row],[6-3]] + tech_5_2_3*TblTech[[#This Row],[5-2]], 1-global_constr_cap) * TblConstr[[#This Row],[RCPA Lumber]],0)</f>
        <v>216</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1" s="69" t="n">
        <f aca="false">ROUNDDOWN( MAX(1 - MIN(facs_constr_factor*TblConstr[[#This Row],[Facs DB]],facs_constr_max) + tech_1_11*TblTech[[#This Row],[1-11]] + tech_6_3_2*TblTech[[#This Row],[6-3]] + tech_5_2_3*TblTech[[#This Row],[5-2]], 1-global_constr_cap) * ROUND((TblConstr[[#This Row],[Land]]-250)*0.285 + 87.5 + 0/4.25,0),0)</f>
        <v>216</v>
      </c>
      <c r="AQ111" s="1" t="n">
        <f aca="false">TblConstr[[#This Row],[build -db]]*TblConstr[[#This Row],[CPA Platinum -DB]] + TblConstr[[#This Row],[build db]]*TblConstr[[#This Row],[CPA Platinum DB]]</f>
        <v>0</v>
      </c>
      <c r="AR111" s="1" t="n">
        <f aca="false">TblConstr[[#This Row],[build -db]]*TblConstr[[#This Row],[CPA Lumber -DB]]+TblConstr[[#This Row],[build db]]*TblConstr[[#This Row],[CPA Lumber DB]]</f>
        <v>0</v>
      </c>
      <c r="AS111" s="69" t="n">
        <f aca="false">MIN(SUM(OFFSET(TblConstr[[#This Row],[Plain]:[Water]],-1,0))+SUM(TblConstr[[#This Row],[Dest Hom]:[Dest Doc]])+IF(TblConstr[[#This Row],[Hour]]&gt;12,SUM(OFFSET(TblExplore[[#This Row],[Plains Explore]:[Water Explore]],-12,0)),0),SUM(TblConstr[[#This Row],[Hom]:[Doc]]))</f>
        <v>0</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1413</v>
      </c>
      <c r="AW111" s="69" t="n">
        <f aca="false">ROUND((TblConstr[[#This Row],[Land]]-250 - IF(TblExplore[[#This Row],[Land Bonus]]&lt;&gt;0,20,0))*0.285 + 87.5 + 0/4.25,0)</f>
        <v>216</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700</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430</v>
      </c>
      <c r="DA111" s="69" t="n">
        <f aca="false">H111+SUM(T100:U111)+SUM(BD111:BE111)</f>
        <v>25</v>
      </c>
      <c r="DB111" s="1" t="n">
        <f aca="false">I111+SUM(V100:W111)+SUM(BF111:BG111)</f>
        <v>0</v>
      </c>
      <c r="DC111" s="69" t="n">
        <f aca="false">J111+SUM(X100:Y111)+SUM(BH111:BI111)</f>
        <v>55</v>
      </c>
      <c r="DD111" s="69" t="n">
        <f aca="false">K111+SUM(AB100:AD111)+SUM(BL111:BN111)</f>
        <v>76</v>
      </c>
      <c r="DE111" s="1" t="n">
        <f aca="false">L111+SUM(AE100:AE111)+BO111</f>
        <v>0</v>
      </c>
      <c r="DF111" s="69" t="n">
        <f aca="false">M111+SUM(AG100:AG111)+BQ111</f>
        <v>24</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0</v>
      </c>
      <c r="C112" s="172" t="n">
        <f aca="false">SUM(TblConstr[[#This Row],[Tot Hom]:[Tot Doc]])</f>
        <v>700</v>
      </c>
      <c r="D112" s="172" t="n">
        <f aca="false">SUM(O101:AG112)</f>
        <v>0</v>
      </c>
      <c r="E112" s="173"/>
      <c r="F112" s="33" t="n">
        <f aca="false">TblConstr[[#This Row],[Barren]]+TblConstr[[#This Row],[Buildings]]+TblConstr[[#This Row],[Incoming]]</f>
        <v>700</v>
      </c>
      <c r="G112" s="199" t="n">
        <f aca="false">OFFSET(TblConstr[[#This Row],[Plain]],-1,0)+TblConstr[[#This Row],[Ch_Plain]]</f>
        <v>0</v>
      </c>
      <c r="H112" s="193" t="n">
        <f aca="false">OFFSET(TblConstr[[#This Row],[Forest]],-1,0)+TblConstr[[#This Row],[Ch_Forest]]</f>
        <v>0</v>
      </c>
      <c r="I112" s="200" t="n">
        <f aca="false">OFFSET(TblConstr[[#This Row],[Mountain]],-1,0)+TblConstr[[#This Row],[Ch_Mountain]]</f>
        <v>0</v>
      </c>
      <c r="J112" s="201" t="n">
        <f aca="false">OFFSET(TblConstr[[#This Row],[Hill]],-1,0)+TblConstr[[#This Row],[Ch_Hill]]</f>
        <v>0</v>
      </c>
      <c r="K112" s="202" t="n">
        <f aca="false">OFFSET(TblConstr[[#This Row],[Swamp]],-1,0)+TblConstr[[#This Row],[Ch_Swamp]]</f>
        <v>0</v>
      </c>
      <c r="L112" s="197" t="n">
        <f aca="false">OFFSET(TblConstr[[#This Row],[Cavern]],-1,0)+TblConstr[[#This Row],[Ch_Cavern]]</f>
        <v>0</v>
      </c>
      <c r="M112" s="198" t="n">
        <f aca="false">OFFSET(TblConstr[[#This Row],[Water]],-1,0)+TblConstr[[#This Row],[Ch_Water]]</f>
        <v>0</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1502456</v>
      </c>
      <c r="AL112" s="69" t="n">
        <f aca="false">TblProd[[#This Row],[Lumber]]</f>
        <v>44276</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2" s="69" t="n">
        <f aca="false">ROUNDDOWN( MAX(1 - MIN(facs_constr_factor*TblConstr[[#This Row],[Facs -DB]],facs_constr_max) + tech_1_11*TblTech[[#This Row],[11-1]] + tech_6_3_2*TblTech[[#This Row],[6-3]] + tech_5_2_3*TblTech[[#This Row],[5-2]], 1-global_constr_cap) * TblConstr[[#This Row],[RCPA Lumber]],0)</f>
        <v>216</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2" s="69" t="n">
        <f aca="false">ROUNDDOWN( MAX(1 - MIN(facs_constr_factor*TblConstr[[#This Row],[Facs DB]],facs_constr_max) + tech_1_11*TblTech[[#This Row],[1-11]] + tech_6_3_2*TblTech[[#This Row],[6-3]] + tech_5_2_3*TblTech[[#This Row],[5-2]], 1-global_constr_cap) * ROUND((TblConstr[[#This Row],[Land]]-250)*0.285 + 87.5 + 0/4.25,0),0)</f>
        <v>216</v>
      </c>
      <c r="AQ112" s="1" t="n">
        <f aca="false">TblConstr[[#This Row],[build -db]]*TblConstr[[#This Row],[CPA Platinum -DB]] + TblConstr[[#This Row],[build db]]*TblConstr[[#This Row],[CPA Platinum DB]]</f>
        <v>0</v>
      </c>
      <c r="AR112" s="1" t="n">
        <f aca="false">TblConstr[[#This Row],[build -db]]*TblConstr[[#This Row],[CPA Lumber -DB]]+TblConstr[[#This Row],[build db]]*TblConstr[[#This Row],[CPA Lumber DB]]</f>
        <v>0</v>
      </c>
      <c r="AS112" s="69" t="n">
        <f aca="false">MIN(SUM(OFFSET(TblConstr[[#This Row],[Plain]:[Water]],-1,0))+SUM(TblConstr[[#This Row],[Dest Hom]:[Dest Doc]])+IF(TblConstr[[#This Row],[Hour]]&gt;12,SUM(OFFSET(TblExplore[[#This Row],[Plains Explore]:[Water Explore]],-12,0)),0),SUM(TblConstr[[#This Row],[Hom]:[Doc]]))</f>
        <v>0</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1413</v>
      </c>
      <c r="AW112" s="69" t="n">
        <f aca="false">ROUND((TblConstr[[#This Row],[Land]]-250 - IF(TblExplore[[#This Row],[Land Bonus]]&lt;&gt;0,20,0))*0.285 + 87.5 + 0/4.25,0)</f>
        <v>216</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700</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430</v>
      </c>
      <c r="DA112" s="69" t="n">
        <f aca="false">H112+SUM(T101:U112)+SUM(BD112:BE112)</f>
        <v>25</v>
      </c>
      <c r="DB112" s="1" t="n">
        <f aca="false">I112+SUM(V101:W112)+SUM(BF112:BG112)</f>
        <v>0</v>
      </c>
      <c r="DC112" s="69" t="n">
        <f aca="false">J112+SUM(X101:Y112)+SUM(BH112:BI112)</f>
        <v>55</v>
      </c>
      <c r="DD112" s="69" t="n">
        <f aca="false">K112+SUM(AB101:AD112)+SUM(BL112:BN112)</f>
        <v>76</v>
      </c>
      <c r="DE112" s="1" t="n">
        <f aca="false">L112+SUM(AE101:AE112)+BO112</f>
        <v>0</v>
      </c>
      <c r="DF112" s="69" t="n">
        <f aca="false">M112+SUM(AG101:AG112)+BQ112</f>
        <v>24</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0</v>
      </c>
      <c r="C113" s="172" t="n">
        <f aca="false">SUM(TblConstr[[#This Row],[Tot Hom]:[Tot Doc]])</f>
        <v>700</v>
      </c>
      <c r="D113" s="172" t="n">
        <f aca="false">SUM(O102:AG113)</f>
        <v>0</v>
      </c>
      <c r="E113" s="173"/>
      <c r="F113" s="33" t="n">
        <f aca="false">TblConstr[[#This Row],[Barren]]+TblConstr[[#This Row],[Buildings]]+TblConstr[[#This Row],[Incoming]]</f>
        <v>700</v>
      </c>
      <c r="G113" s="199" t="n">
        <f aca="false">OFFSET(TblConstr[[#This Row],[Plain]],-1,0)+TblConstr[[#This Row],[Ch_Plain]]</f>
        <v>0</v>
      </c>
      <c r="H113" s="193" t="n">
        <f aca="false">OFFSET(TblConstr[[#This Row],[Forest]],-1,0)+TblConstr[[#This Row],[Ch_Forest]]</f>
        <v>0</v>
      </c>
      <c r="I113" s="200" t="n">
        <f aca="false">OFFSET(TblConstr[[#This Row],[Mountain]],-1,0)+TblConstr[[#This Row],[Ch_Mountain]]</f>
        <v>0</v>
      </c>
      <c r="J113" s="201" t="n">
        <f aca="false">OFFSET(TblConstr[[#This Row],[Hill]],-1,0)+TblConstr[[#This Row],[Ch_Hill]]</f>
        <v>0</v>
      </c>
      <c r="K113" s="202" t="n">
        <f aca="false">OFFSET(TblConstr[[#This Row],[Swamp]],-1,0)+TblConstr[[#This Row],[Ch_Swamp]]</f>
        <v>0</v>
      </c>
      <c r="L113" s="197" t="n">
        <f aca="false">OFFSET(TblConstr[[#This Row],[Cavern]],-1,0)+TblConstr[[#This Row],[Ch_Cavern]]</f>
        <v>0</v>
      </c>
      <c r="M113" s="198" t="n">
        <f aca="false">OFFSET(TblConstr[[#This Row],[Water]],-1,0)+TblConstr[[#This Row],[Ch_Water]]</f>
        <v>0</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1533801</v>
      </c>
      <c r="AL113" s="69" t="n">
        <f aca="false">TblProd[[#This Row],[Lumber]]</f>
        <v>44958</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3" s="69" t="n">
        <f aca="false">ROUNDDOWN( MAX(1 - MIN(facs_constr_factor*TblConstr[[#This Row],[Facs -DB]],facs_constr_max) + tech_1_11*TblTech[[#This Row],[11-1]] + tech_6_3_2*TblTech[[#This Row],[6-3]] + tech_5_2_3*TblTech[[#This Row],[5-2]], 1-global_constr_cap) * TblConstr[[#This Row],[RCPA Lumber]],0)</f>
        <v>216</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3" s="69" t="n">
        <f aca="false">ROUNDDOWN( MAX(1 - MIN(facs_constr_factor*TblConstr[[#This Row],[Facs DB]],facs_constr_max) + tech_1_11*TblTech[[#This Row],[1-11]] + tech_6_3_2*TblTech[[#This Row],[6-3]] + tech_5_2_3*TblTech[[#This Row],[5-2]], 1-global_constr_cap) * ROUND((TblConstr[[#This Row],[Land]]-250)*0.285 + 87.5 + 0/4.25,0),0)</f>
        <v>216</v>
      </c>
      <c r="AQ113" s="1" t="n">
        <f aca="false">TblConstr[[#This Row],[build -db]]*TblConstr[[#This Row],[CPA Platinum -DB]] + TblConstr[[#This Row],[build db]]*TblConstr[[#This Row],[CPA Platinum DB]]</f>
        <v>0</v>
      </c>
      <c r="AR113" s="1" t="n">
        <f aca="false">TblConstr[[#This Row],[build -db]]*TblConstr[[#This Row],[CPA Lumber -DB]]+TblConstr[[#This Row],[build db]]*TblConstr[[#This Row],[CPA Lumber DB]]</f>
        <v>0</v>
      </c>
      <c r="AS113" s="69" t="n">
        <f aca="false">MIN(SUM(OFFSET(TblConstr[[#This Row],[Plain]:[Water]],-1,0))+SUM(TblConstr[[#This Row],[Dest Hom]:[Dest Doc]])+IF(TblConstr[[#This Row],[Hour]]&gt;12,SUM(OFFSET(TblExplore[[#This Row],[Plains Explore]:[Water Explore]],-12,0)),0),SUM(TblConstr[[#This Row],[Hom]:[Doc]]))</f>
        <v>0</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1413</v>
      </c>
      <c r="AW113" s="69" t="n">
        <f aca="false">ROUND((TblConstr[[#This Row],[Land]]-250 - IF(TblExplore[[#This Row],[Land Bonus]]&lt;&gt;0,20,0))*0.285 + 87.5 + 0/4.25,0)</f>
        <v>216</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700</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430</v>
      </c>
      <c r="DA113" s="69" t="n">
        <f aca="false">H113+SUM(T102:U113)+SUM(BD113:BE113)</f>
        <v>25</v>
      </c>
      <c r="DB113" s="1" t="n">
        <f aca="false">I113+SUM(V102:W113)+SUM(BF113:BG113)</f>
        <v>0</v>
      </c>
      <c r="DC113" s="69" t="n">
        <f aca="false">J113+SUM(X102:Y113)+SUM(BH113:BI113)</f>
        <v>55</v>
      </c>
      <c r="DD113" s="69" t="n">
        <f aca="false">K113+SUM(AB102:AD113)+SUM(BL113:BN113)</f>
        <v>76</v>
      </c>
      <c r="DE113" s="1" t="n">
        <f aca="false">L113+SUM(AE102:AE113)+BO113</f>
        <v>0</v>
      </c>
      <c r="DF113" s="69" t="n">
        <f aca="false">M113+SUM(AG102:AG113)+BQ113</f>
        <v>24</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0</v>
      </c>
      <c r="C114" s="172" t="n">
        <f aca="false">SUM(TblConstr[[#This Row],[Tot Hom]:[Tot Doc]])</f>
        <v>700</v>
      </c>
      <c r="D114" s="172" t="n">
        <f aca="false">SUM(O103:AG114)</f>
        <v>0</v>
      </c>
      <c r="E114" s="173"/>
      <c r="F114" s="33" t="n">
        <f aca="false">TblConstr[[#This Row],[Barren]]+TblConstr[[#This Row],[Buildings]]+TblConstr[[#This Row],[Incoming]]</f>
        <v>700</v>
      </c>
      <c r="G114" s="199" t="n">
        <f aca="false">OFFSET(TblConstr[[#This Row],[Plain]],-1,0)+TblConstr[[#This Row],[Ch_Plain]]</f>
        <v>0</v>
      </c>
      <c r="H114" s="193" t="n">
        <f aca="false">OFFSET(TblConstr[[#This Row],[Forest]],-1,0)+TblConstr[[#This Row],[Ch_Forest]]</f>
        <v>0</v>
      </c>
      <c r="I114" s="200" t="n">
        <f aca="false">OFFSET(TblConstr[[#This Row],[Mountain]],-1,0)+TblConstr[[#This Row],[Ch_Mountain]]</f>
        <v>0</v>
      </c>
      <c r="J114" s="201" t="n">
        <f aca="false">OFFSET(TblConstr[[#This Row],[Hill]],-1,0)+TblConstr[[#This Row],[Ch_Hill]]</f>
        <v>0</v>
      </c>
      <c r="K114" s="202" t="n">
        <f aca="false">OFFSET(TblConstr[[#This Row],[Swamp]],-1,0)+TblConstr[[#This Row],[Ch_Swamp]]</f>
        <v>0</v>
      </c>
      <c r="L114" s="197" t="n">
        <f aca="false">OFFSET(TblConstr[[#This Row],[Cavern]],-1,0)+TblConstr[[#This Row],[Ch_Cavern]]</f>
        <v>0</v>
      </c>
      <c r="M114" s="198" t="n">
        <f aca="false">OFFSET(TblConstr[[#This Row],[Water]],-1,0)+TblConstr[[#This Row],[Ch_Water]]</f>
        <v>0</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1564957</v>
      </c>
      <c r="AL114" s="69" t="n">
        <f aca="false">TblProd[[#This Row],[Lumber]]</f>
        <v>45633</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4" s="69" t="n">
        <f aca="false">ROUNDDOWN( MAX(1 - MIN(facs_constr_factor*TblConstr[[#This Row],[Facs -DB]],facs_constr_max) + tech_1_11*TblTech[[#This Row],[11-1]] + tech_6_3_2*TblTech[[#This Row],[6-3]] + tech_5_2_3*TblTech[[#This Row],[5-2]], 1-global_constr_cap) * TblConstr[[#This Row],[RCPA Lumber]],0)</f>
        <v>216</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4" s="69" t="n">
        <f aca="false">ROUNDDOWN( MAX(1 - MIN(facs_constr_factor*TblConstr[[#This Row],[Facs DB]],facs_constr_max) + tech_1_11*TblTech[[#This Row],[1-11]] + tech_6_3_2*TblTech[[#This Row],[6-3]] + tech_5_2_3*TblTech[[#This Row],[5-2]], 1-global_constr_cap) * ROUND((TblConstr[[#This Row],[Land]]-250)*0.285 + 87.5 + 0/4.25,0),0)</f>
        <v>216</v>
      </c>
      <c r="AQ114" s="1" t="n">
        <f aca="false">TblConstr[[#This Row],[build -db]]*TblConstr[[#This Row],[CPA Platinum -DB]] + TblConstr[[#This Row],[build db]]*TblConstr[[#This Row],[CPA Platinum DB]]</f>
        <v>0</v>
      </c>
      <c r="AR114" s="1" t="n">
        <f aca="false">TblConstr[[#This Row],[build -db]]*TblConstr[[#This Row],[CPA Lumber -DB]]+TblConstr[[#This Row],[build db]]*TblConstr[[#This Row],[CPA Lumber DB]]</f>
        <v>0</v>
      </c>
      <c r="AS114" s="69" t="n">
        <f aca="false">MIN(SUM(OFFSET(TblConstr[[#This Row],[Plain]:[Water]],-1,0))+SUM(TblConstr[[#This Row],[Dest Hom]:[Dest Doc]])+IF(TblConstr[[#This Row],[Hour]]&gt;12,SUM(OFFSET(TblExplore[[#This Row],[Plains Explore]:[Water Explore]],-12,0)),0),SUM(TblConstr[[#This Row],[Hom]:[Doc]]))</f>
        <v>0</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1413</v>
      </c>
      <c r="AW114" s="69" t="n">
        <f aca="false">ROUND((TblConstr[[#This Row],[Land]]-250 - IF(TblExplore[[#This Row],[Land Bonus]]&lt;&gt;0,20,0))*0.285 + 87.5 + 0/4.25,0)</f>
        <v>216</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700</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430</v>
      </c>
      <c r="DA114" s="69" t="n">
        <f aca="false">H114+SUM(T103:U114)+SUM(BD114:BE114)</f>
        <v>25</v>
      </c>
      <c r="DB114" s="1" t="n">
        <f aca="false">I114+SUM(V103:W114)+SUM(BF114:BG114)</f>
        <v>0</v>
      </c>
      <c r="DC114" s="69" t="n">
        <f aca="false">J114+SUM(X103:Y114)+SUM(BH114:BI114)</f>
        <v>55</v>
      </c>
      <c r="DD114" s="69" t="n">
        <f aca="false">K114+SUM(AB103:AD114)+SUM(BL114:BN114)</f>
        <v>76</v>
      </c>
      <c r="DE114" s="1" t="n">
        <f aca="false">L114+SUM(AE103:AE114)+BO114</f>
        <v>0</v>
      </c>
      <c r="DF114" s="69" t="n">
        <f aca="false">M114+SUM(AG103:AG114)+BQ114</f>
        <v>24</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0</v>
      </c>
      <c r="C115" s="172" t="n">
        <f aca="false">SUM(TblConstr[[#This Row],[Tot Hom]:[Tot Doc]])</f>
        <v>700</v>
      </c>
      <c r="D115" s="172" t="n">
        <f aca="false">SUM(O104:AG115)</f>
        <v>0</v>
      </c>
      <c r="E115" s="173"/>
      <c r="F115" s="33" t="n">
        <f aca="false">TblConstr[[#This Row],[Barren]]+TblConstr[[#This Row],[Buildings]]+TblConstr[[#This Row],[Incoming]]</f>
        <v>700</v>
      </c>
      <c r="G115" s="199" t="n">
        <f aca="false">OFFSET(TblConstr[[#This Row],[Plain]],-1,0)+TblConstr[[#This Row],[Ch_Plain]]</f>
        <v>0</v>
      </c>
      <c r="H115" s="193" t="n">
        <f aca="false">OFFSET(TblConstr[[#This Row],[Forest]],-1,0)+TblConstr[[#This Row],[Ch_Forest]]</f>
        <v>0</v>
      </c>
      <c r="I115" s="200" t="n">
        <f aca="false">OFFSET(TblConstr[[#This Row],[Mountain]],-1,0)+TblConstr[[#This Row],[Ch_Mountain]]</f>
        <v>0</v>
      </c>
      <c r="J115" s="201" t="n">
        <f aca="false">OFFSET(TblConstr[[#This Row],[Hill]],-1,0)+TblConstr[[#This Row],[Ch_Hill]]</f>
        <v>0</v>
      </c>
      <c r="K115" s="202" t="n">
        <f aca="false">OFFSET(TblConstr[[#This Row],[Swamp]],-1,0)+TblConstr[[#This Row],[Ch_Swamp]]</f>
        <v>0</v>
      </c>
      <c r="L115" s="197" t="n">
        <f aca="false">OFFSET(TblConstr[[#This Row],[Cavern]],-1,0)+TblConstr[[#This Row],[Ch_Cavern]]</f>
        <v>0</v>
      </c>
      <c r="M115" s="198" t="n">
        <f aca="false">OFFSET(TblConstr[[#This Row],[Water]],-1,0)+TblConstr[[#This Row],[Ch_Water]]</f>
        <v>0</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1595924</v>
      </c>
      <c r="AL115" s="69" t="n">
        <f aca="false">TblProd[[#This Row],[Lumber]]</f>
        <v>46302</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5" s="69" t="n">
        <f aca="false">ROUNDDOWN( MAX(1 - MIN(facs_constr_factor*TblConstr[[#This Row],[Facs -DB]],facs_constr_max) + tech_1_11*TblTech[[#This Row],[11-1]] + tech_6_3_2*TblTech[[#This Row],[6-3]] + tech_5_2_3*TblTech[[#This Row],[5-2]], 1-global_constr_cap) * TblConstr[[#This Row],[RCPA Lumber]],0)</f>
        <v>216</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5" s="69" t="n">
        <f aca="false">ROUNDDOWN( MAX(1 - MIN(facs_constr_factor*TblConstr[[#This Row],[Facs DB]],facs_constr_max) + tech_1_11*TblTech[[#This Row],[1-11]] + tech_6_3_2*TblTech[[#This Row],[6-3]] + tech_5_2_3*TblTech[[#This Row],[5-2]], 1-global_constr_cap) * ROUND((TblConstr[[#This Row],[Land]]-250)*0.285 + 87.5 + 0/4.25,0),0)</f>
        <v>216</v>
      </c>
      <c r="AQ115" s="1" t="n">
        <f aca="false">TblConstr[[#This Row],[build -db]]*TblConstr[[#This Row],[CPA Platinum -DB]] + TblConstr[[#This Row],[build db]]*TblConstr[[#This Row],[CPA Platinum DB]]</f>
        <v>0</v>
      </c>
      <c r="AR115" s="1" t="n">
        <f aca="false">TblConstr[[#This Row],[build -db]]*TblConstr[[#This Row],[CPA Lumber -DB]]+TblConstr[[#This Row],[build db]]*TblConstr[[#This Row],[CPA Lumber DB]]</f>
        <v>0</v>
      </c>
      <c r="AS115" s="69" t="n">
        <f aca="false">MIN(SUM(OFFSET(TblConstr[[#This Row],[Plain]:[Water]],-1,0))+SUM(TblConstr[[#This Row],[Dest Hom]:[Dest Doc]])+IF(TblConstr[[#This Row],[Hour]]&gt;12,SUM(OFFSET(TblExplore[[#This Row],[Plains Explore]:[Water Explore]],-12,0)),0),SUM(TblConstr[[#This Row],[Hom]:[Doc]]))</f>
        <v>0</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1413</v>
      </c>
      <c r="AW115" s="69" t="n">
        <f aca="false">ROUND((TblConstr[[#This Row],[Land]]-250 - IF(TblExplore[[#This Row],[Land Bonus]]&lt;&gt;0,20,0))*0.285 + 87.5 + 0/4.25,0)</f>
        <v>216</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700</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430</v>
      </c>
      <c r="DA115" s="69" t="n">
        <f aca="false">H115+SUM(T104:U115)+SUM(BD115:BE115)</f>
        <v>25</v>
      </c>
      <c r="DB115" s="1" t="n">
        <f aca="false">I115+SUM(V104:W115)+SUM(BF115:BG115)</f>
        <v>0</v>
      </c>
      <c r="DC115" s="69" t="n">
        <f aca="false">J115+SUM(X104:Y115)+SUM(BH115:BI115)</f>
        <v>55</v>
      </c>
      <c r="DD115" s="69" t="n">
        <f aca="false">K115+SUM(AB104:AD115)+SUM(BL115:BN115)</f>
        <v>76</v>
      </c>
      <c r="DE115" s="1" t="n">
        <f aca="false">L115+SUM(AE104:AE115)+BO115</f>
        <v>0</v>
      </c>
      <c r="DF115" s="69" t="n">
        <f aca="false">M115+SUM(AG104:AG115)+BQ115</f>
        <v>24</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0</v>
      </c>
      <c r="C116" s="172" t="n">
        <f aca="false">SUM(TblConstr[[#This Row],[Tot Hom]:[Tot Doc]])</f>
        <v>700</v>
      </c>
      <c r="D116" s="172" t="n">
        <f aca="false">SUM(O105:AG116)</f>
        <v>0</v>
      </c>
      <c r="E116" s="173"/>
      <c r="F116" s="33" t="n">
        <f aca="false">TblConstr[[#This Row],[Barren]]+TblConstr[[#This Row],[Buildings]]+TblConstr[[#This Row],[Incoming]]</f>
        <v>700</v>
      </c>
      <c r="G116" s="199" t="n">
        <f aca="false">OFFSET(TblConstr[[#This Row],[Plain]],-1,0)+TblConstr[[#This Row],[Ch_Plain]]</f>
        <v>0</v>
      </c>
      <c r="H116" s="193" t="n">
        <f aca="false">OFFSET(TblConstr[[#This Row],[Forest]],-1,0)+TblConstr[[#This Row],[Ch_Forest]]</f>
        <v>0</v>
      </c>
      <c r="I116" s="200" t="n">
        <f aca="false">OFFSET(TblConstr[[#This Row],[Mountain]],-1,0)+TblConstr[[#This Row],[Ch_Mountain]]</f>
        <v>0</v>
      </c>
      <c r="J116" s="201" t="n">
        <f aca="false">OFFSET(TblConstr[[#This Row],[Hill]],-1,0)+TblConstr[[#This Row],[Ch_Hill]]</f>
        <v>0</v>
      </c>
      <c r="K116" s="202" t="n">
        <f aca="false">OFFSET(TblConstr[[#This Row],[Swamp]],-1,0)+TblConstr[[#This Row],[Ch_Swamp]]</f>
        <v>0</v>
      </c>
      <c r="L116" s="197" t="n">
        <f aca="false">OFFSET(TblConstr[[#This Row],[Cavern]],-1,0)+TblConstr[[#This Row],[Ch_Cavern]]</f>
        <v>0</v>
      </c>
      <c r="M116" s="198" t="n">
        <f aca="false">OFFSET(TblConstr[[#This Row],[Water]],-1,0)+TblConstr[[#This Row],[Ch_Water]]</f>
        <v>0</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1626704</v>
      </c>
      <c r="AL116" s="69" t="n">
        <f aca="false">TblProd[[#This Row],[Lumber]]</f>
        <v>46964</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6" s="69" t="n">
        <f aca="false">ROUNDDOWN( MAX(1 - MIN(facs_constr_factor*TblConstr[[#This Row],[Facs -DB]],facs_constr_max) + tech_1_11*TblTech[[#This Row],[11-1]] + tech_6_3_2*TblTech[[#This Row],[6-3]] + tech_5_2_3*TblTech[[#This Row],[5-2]], 1-global_constr_cap) * TblConstr[[#This Row],[RCPA Lumber]],0)</f>
        <v>216</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6" s="69" t="n">
        <f aca="false">ROUNDDOWN( MAX(1 - MIN(facs_constr_factor*TblConstr[[#This Row],[Facs DB]],facs_constr_max) + tech_1_11*TblTech[[#This Row],[1-11]] + tech_6_3_2*TblTech[[#This Row],[6-3]] + tech_5_2_3*TblTech[[#This Row],[5-2]], 1-global_constr_cap) * ROUND((TblConstr[[#This Row],[Land]]-250)*0.285 + 87.5 + 0/4.25,0),0)</f>
        <v>216</v>
      </c>
      <c r="AQ116" s="1" t="n">
        <f aca="false">TblConstr[[#This Row],[build -db]]*TblConstr[[#This Row],[CPA Platinum -DB]] + TblConstr[[#This Row],[build db]]*TblConstr[[#This Row],[CPA Platinum DB]]</f>
        <v>0</v>
      </c>
      <c r="AR116" s="1" t="n">
        <f aca="false">TblConstr[[#This Row],[build -db]]*TblConstr[[#This Row],[CPA Lumber -DB]]+TblConstr[[#This Row],[build db]]*TblConstr[[#This Row],[CPA Lumber DB]]</f>
        <v>0</v>
      </c>
      <c r="AS116" s="69" t="n">
        <f aca="false">MIN(SUM(OFFSET(TblConstr[[#This Row],[Plain]:[Water]],-1,0))+SUM(TblConstr[[#This Row],[Dest Hom]:[Dest Doc]])+IF(TblConstr[[#This Row],[Hour]]&gt;12,SUM(OFFSET(TblExplore[[#This Row],[Plains Explore]:[Water Explore]],-12,0)),0),SUM(TblConstr[[#This Row],[Hom]:[Doc]]))</f>
        <v>0</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1413</v>
      </c>
      <c r="AW116" s="69" t="n">
        <f aca="false">ROUND((TblConstr[[#This Row],[Land]]-250 - IF(TblExplore[[#This Row],[Land Bonus]]&lt;&gt;0,20,0))*0.285 + 87.5 + 0/4.25,0)</f>
        <v>216</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700</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430</v>
      </c>
      <c r="DA116" s="69" t="n">
        <f aca="false">H116+SUM(T105:U116)+SUM(BD116:BE116)</f>
        <v>25</v>
      </c>
      <c r="DB116" s="1" t="n">
        <f aca="false">I116+SUM(V105:W116)+SUM(BF116:BG116)</f>
        <v>0</v>
      </c>
      <c r="DC116" s="69" t="n">
        <f aca="false">J116+SUM(X105:Y116)+SUM(BH116:BI116)</f>
        <v>55</v>
      </c>
      <c r="DD116" s="69" t="n">
        <f aca="false">K116+SUM(AB105:AD116)+SUM(BL116:BN116)</f>
        <v>76</v>
      </c>
      <c r="DE116" s="1" t="n">
        <f aca="false">L116+SUM(AE105:AE116)+BO116</f>
        <v>0</v>
      </c>
      <c r="DF116" s="69" t="n">
        <f aca="false">M116+SUM(AG105:AG116)+BQ116</f>
        <v>24</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0</v>
      </c>
      <c r="C117" s="172" t="n">
        <f aca="false">SUM(TblConstr[[#This Row],[Tot Hom]:[Tot Doc]])</f>
        <v>700</v>
      </c>
      <c r="D117" s="172" t="n">
        <f aca="false">SUM(O106:AG117)</f>
        <v>0</v>
      </c>
      <c r="E117" s="173"/>
      <c r="F117" s="33" t="n">
        <f aca="false">TblConstr[[#This Row],[Barren]]+TblConstr[[#This Row],[Buildings]]+TblConstr[[#This Row],[Incoming]]</f>
        <v>700</v>
      </c>
      <c r="G117" s="199" t="n">
        <f aca="false">OFFSET(TblConstr[[#This Row],[Plain]],-1,0)+TblConstr[[#This Row],[Ch_Plain]]</f>
        <v>0</v>
      </c>
      <c r="H117" s="193" t="n">
        <f aca="false">OFFSET(TblConstr[[#This Row],[Forest]],-1,0)+TblConstr[[#This Row],[Ch_Forest]]</f>
        <v>0</v>
      </c>
      <c r="I117" s="200" t="n">
        <f aca="false">OFFSET(TblConstr[[#This Row],[Mountain]],-1,0)+TblConstr[[#This Row],[Ch_Mountain]]</f>
        <v>0</v>
      </c>
      <c r="J117" s="201" t="n">
        <f aca="false">OFFSET(TblConstr[[#This Row],[Hill]],-1,0)+TblConstr[[#This Row],[Ch_Hill]]</f>
        <v>0</v>
      </c>
      <c r="K117" s="202" t="n">
        <f aca="false">OFFSET(TblConstr[[#This Row],[Swamp]],-1,0)+TblConstr[[#This Row],[Ch_Swamp]]</f>
        <v>0</v>
      </c>
      <c r="L117" s="197" t="n">
        <f aca="false">OFFSET(TblConstr[[#This Row],[Cavern]],-1,0)+TblConstr[[#This Row],[Ch_Cavern]]</f>
        <v>0</v>
      </c>
      <c r="M117" s="198" t="n">
        <f aca="false">OFFSET(TblConstr[[#This Row],[Water]],-1,0)+TblConstr[[#This Row],[Ch_Water]]</f>
        <v>0</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1657301</v>
      </c>
      <c r="AL117" s="69" t="n">
        <f aca="false">TblProd[[#This Row],[Lumber]]</f>
        <v>47619</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7" s="69" t="n">
        <f aca="false">ROUNDDOWN( MAX(1 - MIN(facs_constr_factor*TblConstr[[#This Row],[Facs -DB]],facs_constr_max) + tech_1_11*TblTech[[#This Row],[11-1]] + tech_6_3_2*TblTech[[#This Row],[6-3]] + tech_5_2_3*TblTech[[#This Row],[5-2]], 1-global_constr_cap) * TblConstr[[#This Row],[RCPA Lumber]],0)</f>
        <v>216</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7" s="69" t="n">
        <f aca="false">ROUNDDOWN( MAX(1 - MIN(facs_constr_factor*TblConstr[[#This Row],[Facs DB]],facs_constr_max) + tech_1_11*TblTech[[#This Row],[1-11]] + tech_6_3_2*TblTech[[#This Row],[6-3]] + tech_5_2_3*TblTech[[#This Row],[5-2]], 1-global_constr_cap) * ROUND((TblConstr[[#This Row],[Land]]-250)*0.285 + 87.5 + 0/4.25,0),0)</f>
        <v>216</v>
      </c>
      <c r="AQ117" s="1" t="n">
        <f aca="false">TblConstr[[#This Row],[build -db]]*TblConstr[[#This Row],[CPA Platinum -DB]] + TblConstr[[#This Row],[build db]]*TblConstr[[#This Row],[CPA Platinum DB]]</f>
        <v>0</v>
      </c>
      <c r="AR117" s="1" t="n">
        <f aca="false">TblConstr[[#This Row],[build -db]]*TblConstr[[#This Row],[CPA Lumber -DB]]+TblConstr[[#This Row],[build db]]*TblConstr[[#This Row],[CPA Lumber DB]]</f>
        <v>0</v>
      </c>
      <c r="AS117" s="69" t="n">
        <f aca="false">MIN(SUM(OFFSET(TblConstr[[#This Row],[Plain]:[Water]],-1,0))+SUM(TblConstr[[#This Row],[Dest Hom]:[Dest Doc]])+IF(TblConstr[[#This Row],[Hour]]&gt;12,SUM(OFFSET(TblExplore[[#This Row],[Plains Explore]:[Water Explore]],-12,0)),0),SUM(TblConstr[[#This Row],[Hom]:[Doc]]))</f>
        <v>0</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1413</v>
      </c>
      <c r="AW117" s="69" t="n">
        <f aca="false">ROUND((TblConstr[[#This Row],[Land]]-250 - IF(TblExplore[[#This Row],[Land Bonus]]&lt;&gt;0,20,0))*0.285 + 87.5 + 0/4.25,0)</f>
        <v>216</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700</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430</v>
      </c>
      <c r="DA117" s="69" t="n">
        <f aca="false">H117+SUM(T106:U117)+SUM(BD117:BE117)</f>
        <v>25</v>
      </c>
      <c r="DB117" s="1" t="n">
        <f aca="false">I117+SUM(V106:W117)+SUM(BF117:BG117)</f>
        <v>0</v>
      </c>
      <c r="DC117" s="69" t="n">
        <f aca="false">J117+SUM(X106:Y117)+SUM(BH117:BI117)</f>
        <v>55</v>
      </c>
      <c r="DD117" s="69" t="n">
        <f aca="false">K117+SUM(AB106:AD117)+SUM(BL117:BN117)</f>
        <v>76</v>
      </c>
      <c r="DE117" s="1" t="n">
        <f aca="false">L117+SUM(AE106:AE117)+BO117</f>
        <v>0</v>
      </c>
      <c r="DF117" s="69" t="n">
        <f aca="false">M117+SUM(AG106:AG117)+BQ117</f>
        <v>24</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0</v>
      </c>
      <c r="C118" s="172" t="n">
        <f aca="false">SUM(TblConstr[[#This Row],[Tot Hom]:[Tot Doc]])</f>
        <v>700</v>
      </c>
      <c r="D118" s="172" t="n">
        <f aca="false">SUM(O107:AG118)</f>
        <v>0</v>
      </c>
      <c r="E118" s="173"/>
      <c r="F118" s="33" t="n">
        <f aca="false">TblConstr[[#This Row],[Barren]]+TblConstr[[#This Row],[Buildings]]+TblConstr[[#This Row],[Incoming]]</f>
        <v>700</v>
      </c>
      <c r="G118" s="199" t="n">
        <f aca="false">OFFSET(TblConstr[[#This Row],[Plain]],-1,0)+TblConstr[[#This Row],[Ch_Plain]]</f>
        <v>0</v>
      </c>
      <c r="H118" s="193" t="n">
        <f aca="false">OFFSET(TblConstr[[#This Row],[Forest]],-1,0)+TblConstr[[#This Row],[Ch_Forest]]</f>
        <v>0</v>
      </c>
      <c r="I118" s="200" t="n">
        <f aca="false">OFFSET(TblConstr[[#This Row],[Mountain]],-1,0)+TblConstr[[#This Row],[Ch_Mountain]]</f>
        <v>0</v>
      </c>
      <c r="J118" s="201" t="n">
        <f aca="false">OFFSET(TblConstr[[#This Row],[Hill]],-1,0)+TblConstr[[#This Row],[Ch_Hill]]</f>
        <v>0</v>
      </c>
      <c r="K118" s="202" t="n">
        <f aca="false">OFFSET(TblConstr[[#This Row],[Swamp]],-1,0)+TblConstr[[#This Row],[Ch_Swamp]]</f>
        <v>0</v>
      </c>
      <c r="L118" s="197" t="n">
        <f aca="false">OFFSET(TblConstr[[#This Row],[Cavern]],-1,0)+TblConstr[[#This Row],[Ch_Cavern]]</f>
        <v>0</v>
      </c>
      <c r="M118" s="198" t="n">
        <f aca="false">OFFSET(TblConstr[[#This Row],[Water]],-1,0)+TblConstr[[#This Row],[Ch_Water]]</f>
        <v>0</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1687717</v>
      </c>
      <c r="AL118" s="69" t="n">
        <f aca="false">TblProd[[#This Row],[Lumber]]</f>
        <v>48268</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8" s="69" t="n">
        <f aca="false">ROUNDDOWN( MAX(1 - MIN(facs_constr_factor*TblConstr[[#This Row],[Facs -DB]],facs_constr_max) + tech_1_11*TblTech[[#This Row],[11-1]] + tech_6_3_2*TblTech[[#This Row],[6-3]] + tech_5_2_3*TblTech[[#This Row],[5-2]], 1-global_constr_cap) * TblConstr[[#This Row],[RCPA Lumber]],0)</f>
        <v>216</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8" s="69" t="n">
        <f aca="false">ROUNDDOWN( MAX(1 - MIN(facs_constr_factor*TblConstr[[#This Row],[Facs DB]],facs_constr_max) + tech_1_11*TblTech[[#This Row],[1-11]] + tech_6_3_2*TblTech[[#This Row],[6-3]] + tech_5_2_3*TblTech[[#This Row],[5-2]], 1-global_constr_cap) * ROUND((TblConstr[[#This Row],[Land]]-250)*0.285 + 87.5 + 0/4.25,0),0)</f>
        <v>216</v>
      </c>
      <c r="AQ118" s="1" t="n">
        <f aca="false">TblConstr[[#This Row],[build -db]]*TblConstr[[#This Row],[CPA Platinum -DB]] + TblConstr[[#This Row],[build db]]*TblConstr[[#This Row],[CPA Platinum DB]]</f>
        <v>0</v>
      </c>
      <c r="AR118" s="1" t="n">
        <f aca="false">TblConstr[[#This Row],[build -db]]*TblConstr[[#This Row],[CPA Lumber -DB]]+TblConstr[[#This Row],[build db]]*TblConstr[[#This Row],[CPA Lumber DB]]</f>
        <v>0</v>
      </c>
      <c r="AS118" s="69" t="n">
        <f aca="false">MIN(SUM(OFFSET(TblConstr[[#This Row],[Plain]:[Water]],-1,0))+SUM(TblConstr[[#This Row],[Dest Hom]:[Dest Doc]])+IF(TblConstr[[#This Row],[Hour]]&gt;12,SUM(OFFSET(TblExplore[[#This Row],[Plains Explore]:[Water Explore]],-12,0)),0),SUM(TblConstr[[#This Row],[Hom]:[Doc]]))</f>
        <v>0</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1413</v>
      </c>
      <c r="AW118" s="69" t="n">
        <f aca="false">ROUND((TblConstr[[#This Row],[Land]]-250 - IF(TblExplore[[#This Row],[Land Bonus]]&lt;&gt;0,20,0))*0.285 + 87.5 + 0/4.25,0)</f>
        <v>216</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700</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430</v>
      </c>
      <c r="DA118" s="69" t="n">
        <f aca="false">H118+SUM(T107:U118)+SUM(BD118:BE118)</f>
        <v>25</v>
      </c>
      <c r="DB118" s="1" t="n">
        <f aca="false">I118+SUM(V107:W118)+SUM(BF118:BG118)</f>
        <v>0</v>
      </c>
      <c r="DC118" s="69" t="n">
        <f aca="false">J118+SUM(X107:Y118)+SUM(BH118:BI118)</f>
        <v>55</v>
      </c>
      <c r="DD118" s="69" t="n">
        <f aca="false">K118+SUM(AB107:AD118)+SUM(BL118:BN118)</f>
        <v>76</v>
      </c>
      <c r="DE118" s="1" t="n">
        <f aca="false">L118+SUM(AE107:AE118)+BO118</f>
        <v>0</v>
      </c>
      <c r="DF118" s="69" t="n">
        <f aca="false">M118+SUM(AG107:AG118)+BQ118</f>
        <v>24</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0</v>
      </c>
      <c r="C119" s="172" t="n">
        <f aca="false">SUM(TblConstr[[#This Row],[Tot Hom]:[Tot Doc]])</f>
        <v>700</v>
      </c>
      <c r="D119" s="172" t="n">
        <f aca="false">SUM(O108:AG119)</f>
        <v>0</v>
      </c>
      <c r="E119" s="173"/>
      <c r="F119" s="33" t="n">
        <f aca="false">TblConstr[[#This Row],[Barren]]+TblConstr[[#This Row],[Buildings]]+TblConstr[[#This Row],[Incoming]]</f>
        <v>700</v>
      </c>
      <c r="G119" s="199" t="n">
        <f aca="false">OFFSET(TblConstr[[#This Row],[Plain]],-1,0)+TblConstr[[#This Row],[Ch_Plain]]</f>
        <v>0</v>
      </c>
      <c r="H119" s="193" t="n">
        <f aca="false">OFFSET(TblConstr[[#This Row],[Forest]],-1,0)+TblConstr[[#This Row],[Ch_Forest]]</f>
        <v>0</v>
      </c>
      <c r="I119" s="200" t="n">
        <f aca="false">OFFSET(TblConstr[[#This Row],[Mountain]],-1,0)+TblConstr[[#This Row],[Ch_Mountain]]</f>
        <v>0</v>
      </c>
      <c r="J119" s="201" t="n">
        <f aca="false">OFFSET(TblConstr[[#This Row],[Hill]],-1,0)+TblConstr[[#This Row],[Ch_Hill]]</f>
        <v>0</v>
      </c>
      <c r="K119" s="202" t="n">
        <f aca="false">OFFSET(TblConstr[[#This Row],[Swamp]],-1,0)+TblConstr[[#This Row],[Ch_Swamp]]</f>
        <v>0</v>
      </c>
      <c r="L119" s="197" t="n">
        <f aca="false">OFFSET(TblConstr[[#This Row],[Cavern]],-1,0)+TblConstr[[#This Row],[Ch_Cavern]]</f>
        <v>0</v>
      </c>
      <c r="M119" s="198" t="n">
        <f aca="false">OFFSET(TblConstr[[#This Row],[Water]],-1,0)+TblConstr[[#This Row],[Ch_Water]]</f>
        <v>0</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1717952</v>
      </c>
      <c r="AL119" s="69" t="n">
        <f aca="false">TblProd[[#This Row],[Lumber]]</f>
        <v>48910</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9" s="69" t="n">
        <f aca="false">ROUNDDOWN( MAX(1 - MIN(facs_constr_factor*TblConstr[[#This Row],[Facs -DB]],facs_constr_max) + tech_1_11*TblTech[[#This Row],[11-1]] + tech_6_3_2*TblTech[[#This Row],[6-3]] + tech_5_2_3*TblTech[[#This Row],[5-2]], 1-global_constr_cap) * TblConstr[[#This Row],[RCPA Lumber]],0)</f>
        <v>216</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9" s="69" t="n">
        <f aca="false">ROUNDDOWN( MAX(1 - MIN(facs_constr_factor*TblConstr[[#This Row],[Facs DB]],facs_constr_max) + tech_1_11*TblTech[[#This Row],[1-11]] + tech_6_3_2*TblTech[[#This Row],[6-3]] + tech_5_2_3*TblTech[[#This Row],[5-2]], 1-global_constr_cap) * ROUND((TblConstr[[#This Row],[Land]]-250)*0.285 + 87.5 + 0/4.25,0),0)</f>
        <v>216</v>
      </c>
      <c r="AQ119" s="1" t="n">
        <f aca="false">TblConstr[[#This Row],[build -db]]*TblConstr[[#This Row],[CPA Platinum -DB]] + TblConstr[[#This Row],[build db]]*TblConstr[[#This Row],[CPA Platinum DB]]</f>
        <v>0</v>
      </c>
      <c r="AR119" s="1" t="n">
        <f aca="false">TblConstr[[#This Row],[build -db]]*TblConstr[[#This Row],[CPA Lumber -DB]]+TblConstr[[#This Row],[build db]]*TblConstr[[#This Row],[CPA Lumber DB]]</f>
        <v>0</v>
      </c>
      <c r="AS119" s="69" t="n">
        <f aca="false">MIN(SUM(OFFSET(TblConstr[[#This Row],[Plain]:[Water]],-1,0))+SUM(TblConstr[[#This Row],[Dest Hom]:[Dest Doc]])+IF(TblConstr[[#This Row],[Hour]]&gt;12,SUM(OFFSET(TblExplore[[#This Row],[Plains Explore]:[Water Explore]],-12,0)),0),SUM(TblConstr[[#This Row],[Hom]:[Doc]]))</f>
        <v>0</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1413</v>
      </c>
      <c r="AW119" s="69" t="n">
        <f aca="false">ROUND((TblConstr[[#This Row],[Land]]-250 - IF(TblExplore[[#This Row],[Land Bonus]]&lt;&gt;0,20,0))*0.285 + 87.5 + 0/4.25,0)</f>
        <v>216</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700</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430</v>
      </c>
      <c r="DA119" s="69" t="n">
        <f aca="false">H119+SUM(T108:U119)+SUM(BD119:BE119)</f>
        <v>25</v>
      </c>
      <c r="DB119" s="1" t="n">
        <f aca="false">I119+SUM(V108:W119)+SUM(BF119:BG119)</f>
        <v>0</v>
      </c>
      <c r="DC119" s="69" t="n">
        <f aca="false">J119+SUM(X108:Y119)+SUM(BH119:BI119)</f>
        <v>55</v>
      </c>
      <c r="DD119" s="69" t="n">
        <f aca="false">K119+SUM(AB108:AD119)+SUM(BL119:BN119)</f>
        <v>76</v>
      </c>
      <c r="DE119" s="1" t="n">
        <f aca="false">L119+SUM(AE108:AE119)+BO119</f>
        <v>0</v>
      </c>
      <c r="DF119" s="69" t="n">
        <f aca="false">M119+SUM(AG108:AG119)+BQ119</f>
        <v>24</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0</v>
      </c>
      <c r="C120" s="172" t="n">
        <f aca="false">SUM(TblConstr[[#This Row],[Tot Hom]:[Tot Doc]])</f>
        <v>700</v>
      </c>
      <c r="D120" s="172" t="n">
        <f aca="false">SUM(O109:AG120)</f>
        <v>0</v>
      </c>
      <c r="E120" s="173"/>
      <c r="F120" s="33" t="n">
        <f aca="false">TblConstr[[#This Row],[Barren]]+TblConstr[[#This Row],[Buildings]]+TblConstr[[#This Row],[Incoming]]</f>
        <v>700</v>
      </c>
      <c r="G120" s="199" t="n">
        <f aca="false">OFFSET(TblConstr[[#This Row],[Plain]],-1,0)+TblConstr[[#This Row],[Ch_Plain]]</f>
        <v>0</v>
      </c>
      <c r="H120" s="193" t="n">
        <f aca="false">OFFSET(TblConstr[[#This Row],[Forest]],-1,0)+TblConstr[[#This Row],[Ch_Forest]]</f>
        <v>0</v>
      </c>
      <c r="I120" s="200" t="n">
        <f aca="false">OFFSET(TblConstr[[#This Row],[Mountain]],-1,0)+TblConstr[[#This Row],[Ch_Mountain]]</f>
        <v>0</v>
      </c>
      <c r="J120" s="201" t="n">
        <f aca="false">OFFSET(TblConstr[[#This Row],[Hill]],-1,0)+TblConstr[[#This Row],[Ch_Hill]]</f>
        <v>0</v>
      </c>
      <c r="K120" s="202" t="n">
        <f aca="false">OFFSET(TblConstr[[#This Row],[Swamp]],-1,0)+TblConstr[[#This Row],[Ch_Swamp]]</f>
        <v>0</v>
      </c>
      <c r="L120" s="197" t="n">
        <f aca="false">OFFSET(TblConstr[[#This Row],[Cavern]],-1,0)+TblConstr[[#This Row],[Ch_Cavern]]</f>
        <v>0</v>
      </c>
      <c r="M120" s="198" t="n">
        <f aca="false">OFFSET(TblConstr[[#This Row],[Water]],-1,0)+TblConstr[[#This Row],[Ch_Water]]</f>
        <v>0</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1748009</v>
      </c>
      <c r="AL120" s="69" t="n">
        <f aca="false">TblProd[[#This Row],[Lumber]]</f>
        <v>49546</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0" s="69" t="n">
        <f aca="false">ROUNDDOWN( MAX(1 - MIN(facs_constr_factor*TblConstr[[#This Row],[Facs -DB]],facs_constr_max) + tech_1_11*TblTech[[#This Row],[11-1]] + tech_6_3_2*TblTech[[#This Row],[6-3]] + tech_5_2_3*TblTech[[#This Row],[5-2]], 1-global_constr_cap) * TblConstr[[#This Row],[RCPA Lumber]],0)</f>
        <v>216</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0" s="69" t="n">
        <f aca="false">ROUNDDOWN( MAX(1 - MIN(facs_constr_factor*TblConstr[[#This Row],[Facs DB]],facs_constr_max) + tech_1_11*TblTech[[#This Row],[1-11]] + tech_6_3_2*TblTech[[#This Row],[6-3]] + tech_5_2_3*TblTech[[#This Row],[5-2]], 1-global_constr_cap) * ROUND((TblConstr[[#This Row],[Land]]-250)*0.285 + 87.5 + 0/4.25,0),0)</f>
        <v>216</v>
      </c>
      <c r="AQ120" s="1" t="n">
        <f aca="false">TblConstr[[#This Row],[build -db]]*TblConstr[[#This Row],[CPA Platinum -DB]] + TblConstr[[#This Row],[build db]]*TblConstr[[#This Row],[CPA Platinum DB]]</f>
        <v>0</v>
      </c>
      <c r="AR120" s="1" t="n">
        <f aca="false">TblConstr[[#This Row],[build -db]]*TblConstr[[#This Row],[CPA Lumber -DB]]+TblConstr[[#This Row],[build db]]*TblConstr[[#This Row],[CPA Lumber DB]]</f>
        <v>0</v>
      </c>
      <c r="AS120" s="69" t="n">
        <f aca="false">MIN(SUM(OFFSET(TblConstr[[#This Row],[Plain]:[Water]],-1,0))+SUM(TblConstr[[#This Row],[Dest Hom]:[Dest Doc]])+IF(TblConstr[[#This Row],[Hour]]&gt;12,SUM(OFFSET(TblExplore[[#This Row],[Plains Explore]:[Water Explore]],-12,0)),0),SUM(TblConstr[[#This Row],[Hom]:[Doc]]))</f>
        <v>0</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1413</v>
      </c>
      <c r="AW120" s="69" t="n">
        <f aca="false">ROUND((TblConstr[[#This Row],[Land]]-250 - IF(TblExplore[[#This Row],[Land Bonus]]&lt;&gt;0,20,0))*0.285 + 87.5 + 0/4.25,0)</f>
        <v>216</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700</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430</v>
      </c>
      <c r="DA120" s="69" t="n">
        <f aca="false">H120+SUM(T109:U120)+SUM(BD120:BE120)</f>
        <v>25</v>
      </c>
      <c r="DB120" s="1" t="n">
        <f aca="false">I120+SUM(V109:W120)+SUM(BF120:BG120)</f>
        <v>0</v>
      </c>
      <c r="DC120" s="69" t="n">
        <f aca="false">J120+SUM(X109:Y120)+SUM(BH120:BI120)</f>
        <v>55</v>
      </c>
      <c r="DD120" s="69" t="n">
        <f aca="false">K120+SUM(AB109:AD120)+SUM(BL120:BN120)</f>
        <v>76</v>
      </c>
      <c r="DE120" s="1" t="n">
        <f aca="false">L120+SUM(AE109:AE120)+BO120</f>
        <v>0</v>
      </c>
      <c r="DF120" s="69" t="n">
        <f aca="false">M120+SUM(AG109:AG120)+BQ120</f>
        <v>24</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0</v>
      </c>
      <c r="C121" s="172" t="n">
        <f aca="false">SUM(TblConstr[[#This Row],[Tot Hom]:[Tot Doc]])</f>
        <v>700</v>
      </c>
      <c r="D121" s="172" t="n">
        <f aca="false">SUM(O110:AG121)</f>
        <v>0</v>
      </c>
      <c r="E121" s="173"/>
      <c r="F121" s="33" t="n">
        <f aca="false">TblConstr[[#This Row],[Barren]]+TblConstr[[#This Row],[Buildings]]+TblConstr[[#This Row],[Incoming]]</f>
        <v>700</v>
      </c>
      <c r="G121" s="199" t="n">
        <f aca="false">OFFSET(TblConstr[[#This Row],[Plain]],-1,0)+TblConstr[[#This Row],[Ch_Plain]]</f>
        <v>0</v>
      </c>
      <c r="H121" s="193" t="n">
        <f aca="false">OFFSET(TblConstr[[#This Row],[Forest]],-1,0)+TblConstr[[#This Row],[Ch_Forest]]</f>
        <v>0</v>
      </c>
      <c r="I121" s="200" t="n">
        <f aca="false">OFFSET(TblConstr[[#This Row],[Mountain]],-1,0)+TblConstr[[#This Row],[Ch_Mountain]]</f>
        <v>0</v>
      </c>
      <c r="J121" s="201" t="n">
        <f aca="false">OFFSET(TblConstr[[#This Row],[Hill]],-1,0)+TblConstr[[#This Row],[Ch_Hill]]</f>
        <v>0</v>
      </c>
      <c r="K121" s="202" t="n">
        <f aca="false">OFFSET(TblConstr[[#This Row],[Swamp]],-1,0)+TblConstr[[#This Row],[Ch_Swamp]]</f>
        <v>0</v>
      </c>
      <c r="L121" s="197" t="n">
        <f aca="false">OFFSET(TblConstr[[#This Row],[Cavern]],-1,0)+TblConstr[[#This Row],[Ch_Cavern]]</f>
        <v>0</v>
      </c>
      <c r="M121" s="198" t="n">
        <f aca="false">OFFSET(TblConstr[[#This Row],[Water]],-1,0)+TblConstr[[#This Row],[Ch_Water]]</f>
        <v>0</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1777890</v>
      </c>
      <c r="AL121" s="69" t="n">
        <f aca="false">TblProd[[#This Row],[Lumber]]</f>
        <v>50176</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1" s="69" t="n">
        <f aca="false">ROUNDDOWN( MAX(1 - MIN(facs_constr_factor*TblConstr[[#This Row],[Facs -DB]],facs_constr_max) + tech_1_11*TblTech[[#This Row],[11-1]] + tech_6_3_2*TblTech[[#This Row],[6-3]] + tech_5_2_3*TblTech[[#This Row],[5-2]], 1-global_constr_cap) * TblConstr[[#This Row],[RCPA Lumber]],0)</f>
        <v>216</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1" s="69" t="n">
        <f aca="false">ROUNDDOWN( MAX(1 - MIN(facs_constr_factor*TblConstr[[#This Row],[Facs DB]],facs_constr_max) + tech_1_11*TblTech[[#This Row],[1-11]] + tech_6_3_2*TblTech[[#This Row],[6-3]] + tech_5_2_3*TblTech[[#This Row],[5-2]], 1-global_constr_cap) * ROUND((TblConstr[[#This Row],[Land]]-250)*0.285 + 87.5 + 0/4.25,0),0)</f>
        <v>216</v>
      </c>
      <c r="AQ121" s="1" t="n">
        <f aca="false">TblConstr[[#This Row],[build -db]]*TblConstr[[#This Row],[CPA Platinum -DB]] + TblConstr[[#This Row],[build db]]*TblConstr[[#This Row],[CPA Platinum DB]]</f>
        <v>0</v>
      </c>
      <c r="AR121" s="1" t="n">
        <f aca="false">TblConstr[[#This Row],[build -db]]*TblConstr[[#This Row],[CPA Lumber -DB]]+TblConstr[[#This Row],[build db]]*TblConstr[[#This Row],[CPA Lumber DB]]</f>
        <v>0</v>
      </c>
      <c r="AS121" s="69" t="n">
        <f aca="false">MIN(SUM(OFFSET(TblConstr[[#This Row],[Plain]:[Water]],-1,0))+SUM(TblConstr[[#This Row],[Dest Hom]:[Dest Doc]])+IF(TblConstr[[#This Row],[Hour]]&gt;12,SUM(OFFSET(TblExplore[[#This Row],[Plains Explore]:[Water Explore]],-12,0)),0),SUM(TblConstr[[#This Row],[Hom]:[Doc]]))</f>
        <v>0</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1413</v>
      </c>
      <c r="AW121" s="69" t="n">
        <f aca="false">ROUND((TblConstr[[#This Row],[Land]]-250 - IF(TblExplore[[#This Row],[Land Bonus]]&lt;&gt;0,20,0))*0.285 + 87.5 + 0/4.25,0)</f>
        <v>216</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700</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430</v>
      </c>
      <c r="DA121" s="69" t="n">
        <f aca="false">H121+SUM(T110:U121)+SUM(BD121:BE121)</f>
        <v>25</v>
      </c>
      <c r="DB121" s="1" t="n">
        <f aca="false">I121+SUM(V110:W121)+SUM(BF121:BG121)</f>
        <v>0</v>
      </c>
      <c r="DC121" s="69" t="n">
        <f aca="false">J121+SUM(X110:Y121)+SUM(BH121:BI121)</f>
        <v>55</v>
      </c>
      <c r="DD121" s="69" t="n">
        <f aca="false">K121+SUM(AB110:AD121)+SUM(BL121:BN121)</f>
        <v>76</v>
      </c>
      <c r="DE121" s="1" t="n">
        <f aca="false">L121+SUM(AE110:AE121)+BO121</f>
        <v>0</v>
      </c>
      <c r="DF121" s="69" t="n">
        <f aca="false">M121+SUM(AG110:AG121)+BQ121</f>
        <v>24</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0</v>
      </c>
      <c r="C122" s="172" t="n">
        <f aca="false">SUM(TblConstr[[#This Row],[Tot Hom]:[Tot Doc]])</f>
        <v>700</v>
      </c>
      <c r="D122" s="172" t="n">
        <f aca="false">SUM(O111:AG122)</f>
        <v>0</v>
      </c>
      <c r="E122" s="173"/>
      <c r="F122" s="33" t="n">
        <f aca="false">TblConstr[[#This Row],[Barren]]+TblConstr[[#This Row],[Buildings]]+TblConstr[[#This Row],[Incoming]]</f>
        <v>700</v>
      </c>
      <c r="G122" s="199" t="n">
        <f aca="false">OFFSET(TblConstr[[#This Row],[Plain]],-1,0)+TblConstr[[#This Row],[Ch_Plain]]</f>
        <v>0</v>
      </c>
      <c r="H122" s="193" t="n">
        <f aca="false">OFFSET(TblConstr[[#This Row],[Forest]],-1,0)+TblConstr[[#This Row],[Ch_Forest]]</f>
        <v>0</v>
      </c>
      <c r="I122" s="200" t="n">
        <f aca="false">OFFSET(TblConstr[[#This Row],[Mountain]],-1,0)+TblConstr[[#This Row],[Ch_Mountain]]</f>
        <v>0</v>
      </c>
      <c r="J122" s="201" t="n">
        <f aca="false">OFFSET(TblConstr[[#This Row],[Hill]],-1,0)+TblConstr[[#This Row],[Ch_Hill]]</f>
        <v>0</v>
      </c>
      <c r="K122" s="202" t="n">
        <f aca="false">OFFSET(TblConstr[[#This Row],[Swamp]],-1,0)+TblConstr[[#This Row],[Ch_Swamp]]</f>
        <v>0</v>
      </c>
      <c r="L122" s="197" t="n">
        <f aca="false">OFFSET(TblConstr[[#This Row],[Cavern]],-1,0)+TblConstr[[#This Row],[Ch_Cavern]]</f>
        <v>0</v>
      </c>
      <c r="M122" s="198" t="n">
        <f aca="false">OFFSET(TblConstr[[#This Row],[Water]],-1,0)+TblConstr[[#This Row],[Ch_Water]]</f>
        <v>0</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1807596</v>
      </c>
      <c r="AL122" s="69" t="n">
        <f aca="false">TblProd[[#This Row],[Lumber]]</f>
        <v>50799</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2" s="69" t="n">
        <f aca="false">ROUNDDOWN( MAX(1 - MIN(facs_constr_factor*TblConstr[[#This Row],[Facs -DB]],facs_constr_max) + tech_1_11*TblTech[[#This Row],[11-1]] + tech_6_3_2*TblTech[[#This Row],[6-3]] + tech_5_2_3*TblTech[[#This Row],[5-2]], 1-global_constr_cap) * TblConstr[[#This Row],[RCPA Lumber]],0)</f>
        <v>216</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2" s="69" t="n">
        <f aca="false">ROUNDDOWN( MAX(1 - MIN(facs_constr_factor*TblConstr[[#This Row],[Facs DB]],facs_constr_max) + tech_1_11*TblTech[[#This Row],[1-11]] + tech_6_3_2*TblTech[[#This Row],[6-3]] + tech_5_2_3*TblTech[[#This Row],[5-2]], 1-global_constr_cap) * ROUND((TblConstr[[#This Row],[Land]]-250)*0.285 + 87.5 + 0/4.25,0),0)</f>
        <v>216</v>
      </c>
      <c r="AQ122" s="1" t="n">
        <f aca="false">TblConstr[[#This Row],[build -db]]*TblConstr[[#This Row],[CPA Platinum -DB]] + TblConstr[[#This Row],[build db]]*TblConstr[[#This Row],[CPA Platinum DB]]</f>
        <v>0</v>
      </c>
      <c r="AR122" s="1" t="n">
        <f aca="false">TblConstr[[#This Row],[build -db]]*TblConstr[[#This Row],[CPA Lumber -DB]]+TblConstr[[#This Row],[build db]]*TblConstr[[#This Row],[CPA Lumber DB]]</f>
        <v>0</v>
      </c>
      <c r="AS122" s="69" t="n">
        <f aca="false">MIN(SUM(OFFSET(TblConstr[[#This Row],[Plain]:[Water]],-1,0))+SUM(TblConstr[[#This Row],[Dest Hom]:[Dest Doc]])+IF(TblConstr[[#This Row],[Hour]]&gt;12,SUM(OFFSET(TblExplore[[#This Row],[Plains Explore]:[Water Explore]],-12,0)),0),SUM(TblConstr[[#This Row],[Hom]:[Doc]]))</f>
        <v>0</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1413</v>
      </c>
      <c r="AW122" s="69" t="n">
        <f aca="false">ROUND((TblConstr[[#This Row],[Land]]-250 - IF(TblExplore[[#This Row],[Land Bonus]]&lt;&gt;0,20,0))*0.285 + 87.5 + 0/4.25,0)</f>
        <v>216</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700</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430</v>
      </c>
      <c r="DA122" s="69" t="n">
        <f aca="false">H122+SUM(T111:U122)+SUM(BD122:BE122)</f>
        <v>25</v>
      </c>
      <c r="DB122" s="1" t="n">
        <f aca="false">I122+SUM(V111:W122)+SUM(BF122:BG122)</f>
        <v>0</v>
      </c>
      <c r="DC122" s="69" t="n">
        <f aca="false">J122+SUM(X111:Y122)+SUM(BH122:BI122)</f>
        <v>55</v>
      </c>
      <c r="DD122" s="69" t="n">
        <f aca="false">K122+SUM(AB111:AD122)+SUM(BL122:BN122)</f>
        <v>76</v>
      </c>
      <c r="DE122" s="1" t="n">
        <f aca="false">L122+SUM(AE111:AE122)+BO122</f>
        <v>0</v>
      </c>
      <c r="DF122" s="69" t="n">
        <f aca="false">M122+SUM(AG111:AG122)+BQ122</f>
        <v>24</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0</v>
      </c>
      <c r="C123" s="172" t="n">
        <f aca="false">SUM(TblConstr[[#This Row],[Tot Hom]:[Tot Doc]])</f>
        <v>700</v>
      </c>
      <c r="D123" s="172" t="n">
        <f aca="false">SUM(O112:AG123)</f>
        <v>0</v>
      </c>
      <c r="E123" s="173"/>
      <c r="F123" s="33" t="n">
        <f aca="false">TblConstr[[#This Row],[Barren]]+TblConstr[[#This Row],[Buildings]]+TblConstr[[#This Row],[Incoming]]</f>
        <v>700</v>
      </c>
      <c r="G123" s="199" t="n">
        <f aca="false">OFFSET(TblConstr[[#This Row],[Plain]],-1,0)+TblConstr[[#This Row],[Ch_Plain]]</f>
        <v>0</v>
      </c>
      <c r="H123" s="193" t="n">
        <f aca="false">OFFSET(TblConstr[[#This Row],[Forest]],-1,0)+TblConstr[[#This Row],[Ch_Forest]]</f>
        <v>0</v>
      </c>
      <c r="I123" s="200" t="n">
        <f aca="false">OFFSET(TblConstr[[#This Row],[Mountain]],-1,0)+TblConstr[[#This Row],[Ch_Mountain]]</f>
        <v>0</v>
      </c>
      <c r="J123" s="201" t="n">
        <f aca="false">OFFSET(TblConstr[[#This Row],[Hill]],-1,0)+TblConstr[[#This Row],[Ch_Hill]]</f>
        <v>0</v>
      </c>
      <c r="K123" s="202" t="n">
        <f aca="false">OFFSET(TblConstr[[#This Row],[Swamp]],-1,0)+TblConstr[[#This Row],[Ch_Swamp]]</f>
        <v>0</v>
      </c>
      <c r="L123" s="197" t="n">
        <f aca="false">OFFSET(TblConstr[[#This Row],[Cavern]],-1,0)+TblConstr[[#This Row],[Ch_Cavern]]</f>
        <v>0</v>
      </c>
      <c r="M123" s="198" t="n">
        <f aca="false">OFFSET(TblConstr[[#This Row],[Water]],-1,0)+TblConstr[[#This Row],[Ch_Water]]</f>
        <v>0</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1837129</v>
      </c>
      <c r="AL123" s="69" t="n">
        <f aca="false">TblProd[[#This Row],[Lumber]]</f>
        <v>51416</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3" s="69" t="n">
        <f aca="false">ROUNDDOWN( MAX(1 - MIN(facs_constr_factor*TblConstr[[#This Row],[Facs -DB]],facs_constr_max) + tech_1_11*TblTech[[#This Row],[11-1]] + tech_6_3_2*TblTech[[#This Row],[6-3]] + tech_5_2_3*TblTech[[#This Row],[5-2]], 1-global_constr_cap) * TblConstr[[#This Row],[RCPA Lumber]],0)</f>
        <v>216</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3" s="69" t="n">
        <f aca="false">ROUNDDOWN( MAX(1 - MIN(facs_constr_factor*TblConstr[[#This Row],[Facs DB]],facs_constr_max) + tech_1_11*TblTech[[#This Row],[1-11]] + tech_6_3_2*TblTech[[#This Row],[6-3]] + tech_5_2_3*TblTech[[#This Row],[5-2]], 1-global_constr_cap) * ROUND((TblConstr[[#This Row],[Land]]-250)*0.285 + 87.5 + 0/4.25,0),0)</f>
        <v>216</v>
      </c>
      <c r="AQ123" s="1" t="n">
        <f aca="false">TblConstr[[#This Row],[build -db]]*TblConstr[[#This Row],[CPA Platinum -DB]] + TblConstr[[#This Row],[build db]]*TblConstr[[#This Row],[CPA Platinum DB]]</f>
        <v>0</v>
      </c>
      <c r="AR123" s="1" t="n">
        <f aca="false">TblConstr[[#This Row],[build -db]]*TblConstr[[#This Row],[CPA Lumber -DB]]+TblConstr[[#This Row],[build db]]*TblConstr[[#This Row],[CPA Lumber DB]]</f>
        <v>0</v>
      </c>
      <c r="AS123" s="69" t="n">
        <f aca="false">MIN(SUM(OFFSET(TblConstr[[#This Row],[Plain]:[Water]],-1,0))+SUM(TblConstr[[#This Row],[Dest Hom]:[Dest Doc]])+IF(TblConstr[[#This Row],[Hour]]&gt;12,SUM(OFFSET(TblExplore[[#This Row],[Plains Explore]:[Water Explore]],-12,0)),0),SUM(TblConstr[[#This Row],[Hom]:[Doc]]))</f>
        <v>0</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1413</v>
      </c>
      <c r="AW123" s="69" t="n">
        <f aca="false">ROUND((TblConstr[[#This Row],[Land]]-250 - IF(TblExplore[[#This Row],[Land Bonus]]&lt;&gt;0,20,0))*0.285 + 87.5 + 0/4.25,0)</f>
        <v>216</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700</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430</v>
      </c>
      <c r="DA123" s="69" t="n">
        <f aca="false">H123+SUM(T112:U123)+SUM(BD123:BE123)</f>
        <v>25</v>
      </c>
      <c r="DB123" s="1" t="n">
        <f aca="false">I123+SUM(V112:W123)+SUM(BF123:BG123)</f>
        <v>0</v>
      </c>
      <c r="DC123" s="69" t="n">
        <f aca="false">J123+SUM(X112:Y123)+SUM(BH123:BI123)</f>
        <v>55</v>
      </c>
      <c r="DD123" s="69" t="n">
        <f aca="false">K123+SUM(AB112:AD123)+SUM(BL123:BN123)</f>
        <v>76</v>
      </c>
      <c r="DE123" s="1" t="n">
        <f aca="false">L123+SUM(AE112:AE123)+BO123</f>
        <v>0</v>
      </c>
      <c r="DF123" s="69" t="n">
        <f aca="false">M123+SUM(AG112:AG123)+BQ123</f>
        <v>24</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0</v>
      </c>
      <c r="C124" s="172" t="n">
        <f aca="false">SUM(TblConstr[[#This Row],[Tot Hom]:[Tot Doc]])</f>
        <v>700</v>
      </c>
      <c r="D124" s="172" t="n">
        <f aca="false">SUM(O113:AG124)</f>
        <v>0</v>
      </c>
      <c r="E124" s="173"/>
      <c r="F124" s="33" t="n">
        <f aca="false">TblConstr[[#This Row],[Barren]]+TblConstr[[#This Row],[Buildings]]+TblConstr[[#This Row],[Incoming]]</f>
        <v>700</v>
      </c>
      <c r="G124" s="199" t="n">
        <f aca="false">OFFSET(TblConstr[[#This Row],[Plain]],-1,0)+TblConstr[[#This Row],[Ch_Plain]]</f>
        <v>0</v>
      </c>
      <c r="H124" s="193" t="n">
        <f aca="false">OFFSET(TblConstr[[#This Row],[Forest]],-1,0)+TblConstr[[#This Row],[Ch_Forest]]</f>
        <v>0</v>
      </c>
      <c r="I124" s="200" t="n">
        <f aca="false">OFFSET(TblConstr[[#This Row],[Mountain]],-1,0)+TblConstr[[#This Row],[Ch_Mountain]]</f>
        <v>0</v>
      </c>
      <c r="J124" s="201" t="n">
        <f aca="false">OFFSET(TblConstr[[#This Row],[Hill]],-1,0)+TblConstr[[#This Row],[Ch_Hill]]</f>
        <v>0</v>
      </c>
      <c r="K124" s="202" t="n">
        <f aca="false">OFFSET(TblConstr[[#This Row],[Swamp]],-1,0)+TblConstr[[#This Row],[Ch_Swamp]]</f>
        <v>0</v>
      </c>
      <c r="L124" s="197" t="n">
        <f aca="false">OFFSET(TblConstr[[#This Row],[Cavern]],-1,0)+TblConstr[[#This Row],[Ch_Cavern]]</f>
        <v>0</v>
      </c>
      <c r="M124" s="198" t="n">
        <f aca="false">OFFSET(TblConstr[[#This Row],[Water]],-1,0)+TblConstr[[#This Row],[Ch_Water]]</f>
        <v>0</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1866489</v>
      </c>
      <c r="AL124" s="69" t="n">
        <f aca="false">TblProd[[#This Row],[Lumber]]</f>
        <v>52027</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4" s="69" t="n">
        <f aca="false">ROUNDDOWN( MAX(1 - MIN(facs_constr_factor*TblConstr[[#This Row],[Facs -DB]],facs_constr_max) + tech_1_11*TblTech[[#This Row],[11-1]] + tech_6_3_2*TblTech[[#This Row],[6-3]] + tech_5_2_3*TblTech[[#This Row],[5-2]], 1-global_constr_cap) * TblConstr[[#This Row],[RCPA Lumber]],0)</f>
        <v>216</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4" s="69" t="n">
        <f aca="false">ROUNDDOWN( MAX(1 - MIN(facs_constr_factor*TblConstr[[#This Row],[Facs DB]],facs_constr_max) + tech_1_11*TblTech[[#This Row],[1-11]] + tech_6_3_2*TblTech[[#This Row],[6-3]] + tech_5_2_3*TblTech[[#This Row],[5-2]], 1-global_constr_cap) * ROUND((TblConstr[[#This Row],[Land]]-250)*0.285 + 87.5 + 0/4.25,0),0)</f>
        <v>216</v>
      </c>
      <c r="AQ124" s="1" t="n">
        <f aca="false">TblConstr[[#This Row],[build -db]]*TblConstr[[#This Row],[CPA Platinum -DB]] + TblConstr[[#This Row],[build db]]*TblConstr[[#This Row],[CPA Platinum DB]]</f>
        <v>0</v>
      </c>
      <c r="AR124" s="1" t="n">
        <f aca="false">TblConstr[[#This Row],[build -db]]*TblConstr[[#This Row],[CPA Lumber -DB]]+TblConstr[[#This Row],[build db]]*TblConstr[[#This Row],[CPA Lumber DB]]</f>
        <v>0</v>
      </c>
      <c r="AS124" s="69" t="n">
        <f aca="false">MIN(SUM(OFFSET(TblConstr[[#This Row],[Plain]:[Water]],-1,0))+SUM(TblConstr[[#This Row],[Dest Hom]:[Dest Doc]])+IF(TblConstr[[#This Row],[Hour]]&gt;12,SUM(OFFSET(TblExplore[[#This Row],[Plains Explore]:[Water Explore]],-12,0)),0),SUM(TblConstr[[#This Row],[Hom]:[Doc]]))</f>
        <v>0</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1413</v>
      </c>
      <c r="AW124" s="69" t="n">
        <f aca="false">ROUND((TblConstr[[#This Row],[Land]]-250 - IF(TblExplore[[#This Row],[Land Bonus]]&lt;&gt;0,20,0))*0.285 + 87.5 + 0/4.25,0)</f>
        <v>216</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700</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430</v>
      </c>
      <c r="DA124" s="69" t="n">
        <f aca="false">H124+SUM(T113:U124)+SUM(BD124:BE124)</f>
        <v>25</v>
      </c>
      <c r="DB124" s="1" t="n">
        <f aca="false">I124+SUM(V113:W124)+SUM(BF124:BG124)</f>
        <v>0</v>
      </c>
      <c r="DC124" s="69" t="n">
        <f aca="false">J124+SUM(X113:Y124)+SUM(BH124:BI124)</f>
        <v>55</v>
      </c>
      <c r="DD124" s="69" t="n">
        <f aca="false">K124+SUM(AB113:AD124)+SUM(BL124:BN124)</f>
        <v>76</v>
      </c>
      <c r="DE124" s="1" t="n">
        <f aca="false">L124+SUM(AE113:AE124)+BO124</f>
        <v>0</v>
      </c>
      <c r="DF124" s="69" t="n">
        <f aca="false">M124+SUM(AG113:AG124)+BQ124</f>
        <v>24</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0</v>
      </c>
      <c r="C125" s="172" t="n">
        <f aca="false">SUM(TblConstr[[#This Row],[Tot Hom]:[Tot Doc]])</f>
        <v>700</v>
      </c>
      <c r="D125" s="172" t="n">
        <f aca="false">SUM(O114:AG125)</f>
        <v>0</v>
      </c>
      <c r="E125" s="173"/>
      <c r="F125" s="33" t="n">
        <f aca="false">TblConstr[[#This Row],[Barren]]+TblConstr[[#This Row],[Buildings]]+TblConstr[[#This Row],[Incoming]]</f>
        <v>700</v>
      </c>
      <c r="G125" s="199" t="n">
        <f aca="false">OFFSET(TblConstr[[#This Row],[Plain]],-1,0)+TblConstr[[#This Row],[Ch_Plain]]</f>
        <v>0</v>
      </c>
      <c r="H125" s="193" t="n">
        <f aca="false">OFFSET(TblConstr[[#This Row],[Forest]],-1,0)+TblConstr[[#This Row],[Ch_Forest]]</f>
        <v>0</v>
      </c>
      <c r="I125" s="200" t="n">
        <f aca="false">OFFSET(TblConstr[[#This Row],[Mountain]],-1,0)+TblConstr[[#This Row],[Ch_Mountain]]</f>
        <v>0</v>
      </c>
      <c r="J125" s="201" t="n">
        <f aca="false">OFFSET(TblConstr[[#This Row],[Hill]],-1,0)+TblConstr[[#This Row],[Ch_Hill]]</f>
        <v>0</v>
      </c>
      <c r="K125" s="202" t="n">
        <f aca="false">OFFSET(TblConstr[[#This Row],[Swamp]],-1,0)+TblConstr[[#This Row],[Ch_Swamp]]</f>
        <v>0</v>
      </c>
      <c r="L125" s="197" t="n">
        <f aca="false">OFFSET(TblConstr[[#This Row],[Cavern]],-1,0)+TblConstr[[#This Row],[Ch_Cavern]]</f>
        <v>0</v>
      </c>
      <c r="M125" s="198" t="n">
        <f aca="false">OFFSET(TblConstr[[#This Row],[Water]],-1,0)+TblConstr[[#This Row],[Ch_Water]]</f>
        <v>0</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1895679</v>
      </c>
      <c r="AL125" s="69" t="n">
        <f aca="false">TblProd[[#This Row],[Lumber]]</f>
        <v>52632</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5" s="69" t="n">
        <f aca="false">ROUNDDOWN( MAX(1 - MIN(facs_constr_factor*TblConstr[[#This Row],[Facs -DB]],facs_constr_max) + tech_1_11*TblTech[[#This Row],[11-1]] + tech_6_3_2*TblTech[[#This Row],[6-3]] + tech_5_2_3*TblTech[[#This Row],[5-2]], 1-global_constr_cap) * TblConstr[[#This Row],[RCPA Lumber]],0)</f>
        <v>216</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5" s="69" t="n">
        <f aca="false">ROUNDDOWN( MAX(1 - MIN(facs_constr_factor*TblConstr[[#This Row],[Facs DB]],facs_constr_max) + tech_1_11*TblTech[[#This Row],[1-11]] + tech_6_3_2*TblTech[[#This Row],[6-3]] + tech_5_2_3*TblTech[[#This Row],[5-2]], 1-global_constr_cap) * ROUND((TblConstr[[#This Row],[Land]]-250)*0.285 + 87.5 + 0/4.25,0),0)</f>
        <v>216</v>
      </c>
      <c r="AQ125" s="1" t="n">
        <f aca="false">TblConstr[[#This Row],[build -db]]*TblConstr[[#This Row],[CPA Platinum -DB]] + TblConstr[[#This Row],[build db]]*TblConstr[[#This Row],[CPA Platinum DB]]</f>
        <v>0</v>
      </c>
      <c r="AR125" s="1" t="n">
        <f aca="false">TblConstr[[#This Row],[build -db]]*TblConstr[[#This Row],[CPA Lumber -DB]]+TblConstr[[#This Row],[build db]]*TblConstr[[#This Row],[CPA Lumber DB]]</f>
        <v>0</v>
      </c>
      <c r="AS125" s="69" t="n">
        <f aca="false">MIN(SUM(OFFSET(TblConstr[[#This Row],[Plain]:[Water]],-1,0))+SUM(TblConstr[[#This Row],[Dest Hom]:[Dest Doc]])+IF(TblConstr[[#This Row],[Hour]]&gt;12,SUM(OFFSET(TblExplore[[#This Row],[Plains Explore]:[Water Explore]],-12,0)),0),SUM(TblConstr[[#This Row],[Hom]:[Doc]]))</f>
        <v>0</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1413</v>
      </c>
      <c r="AW125" s="69" t="n">
        <f aca="false">ROUND((TblConstr[[#This Row],[Land]]-250 - IF(TblExplore[[#This Row],[Land Bonus]]&lt;&gt;0,20,0))*0.285 + 87.5 + 0/4.25,0)</f>
        <v>216</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700</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430</v>
      </c>
      <c r="DA125" s="69" t="n">
        <f aca="false">H125+SUM(T114:U125)+SUM(BD125:BE125)</f>
        <v>25</v>
      </c>
      <c r="DB125" s="1" t="n">
        <f aca="false">I125+SUM(V114:W125)+SUM(BF125:BG125)</f>
        <v>0</v>
      </c>
      <c r="DC125" s="69" t="n">
        <f aca="false">J125+SUM(X114:Y125)+SUM(BH125:BI125)</f>
        <v>55</v>
      </c>
      <c r="DD125" s="69" t="n">
        <f aca="false">K125+SUM(AB114:AD125)+SUM(BL125:BN125)</f>
        <v>76</v>
      </c>
      <c r="DE125" s="1" t="n">
        <f aca="false">L125+SUM(AE114:AE125)+BO125</f>
        <v>0</v>
      </c>
      <c r="DF125" s="69" t="n">
        <f aca="false">M125+SUM(AG114:AG125)+BQ125</f>
        <v>24</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0</v>
      </c>
      <c r="C126" s="172" t="n">
        <f aca="false">SUM(TblConstr[[#This Row],[Tot Hom]:[Tot Doc]])</f>
        <v>700</v>
      </c>
      <c r="D126" s="172" t="n">
        <f aca="false">SUM(O115:AG126)</f>
        <v>0</v>
      </c>
      <c r="E126" s="173"/>
      <c r="F126" s="33" t="n">
        <f aca="false">TblConstr[[#This Row],[Barren]]+TblConstr[[#This Row],[Buildings]]+TblConstr[[#This Row],[Incoming]]</f>
        <v>700</v>
      </c>
      <c r="G126" s="199" t="n">
        <f aca="false">OFFSET(TblConstr[[#This Row],[Plain]],-1,0)+TblConstr[[#This Row],[Ch_Plain]]</f>
        <v>0</v>
      </c>
      <c r="H126" s="193" t="n">
        <f aca="false">OFFSET(TblConstr[[#This Row],[Forest]],-1,0)+TblConstr[[#This Row],[Ch_Forest]]</f>
        <v>0</v>
      </c>
      <c r="I126" s="200" t="n">
        <f aca="false">OFFSET(TblConstr[[#This Row],[Mountain]],-1,0)+TblConstr[[#This Row],[Ch_Mountain]]</f>
        <v>0</v>
      </c>
      <c r="J126" s="201" t="n">
        <f aca="false">OFFSET(TblConstr[[#This Row],[Hill]],-1,0)+TblConstr[[#This Row],[Ch_Hill]]</f>
        <v>0</v>
      </c>
      <c r="K126" s="202" t="n">
        <f aca="false">OFFSET(TblConstr[[#This Row],[Swamp]],-1,0)+TblConstr[[#This Row],[Ch_Swamp]]</f>
        <v>0</v>
      </c>
      <c r="L126" s="197" t="n">
        <f aca="false">OFFSET(TblConstr[[#This Row],[Cavern]],-1,0)+TblConstr[[#This Row],[Ch_Cavern]]</f>
        <v>0</v>
      </c>
      <c r="M126" s="198" t="n">
        <f aca="false">OFFSET(TblConstr[[#This Row],[Water]],-1,0)+TblConstr[[#This Row],[Ch_Water]]</f>
        <v>0</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1924702</v>
      </c>
      <c r="AL126" s="69" t="n">
        <f aca="false">TblProd[[#This Row],[Lumber]]</f>
        <v>53231</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6" s="69" t="n">
        <f aca="false">ROUNDDOWN( MAX(1 - MIN(facs_constr_factor*TblConstr[[#This Row],[Facs -DB]],facs_constr_max) + tech_1_11*TblTech[[#This Row],[11-1]] + tech_6_3_2*TblTech[[#This Row],[6-3]] + tech_5_2_3*TblTech[[#This Row],[5-2]], 1-global_constr_cap) * TblConstr[[#This Row],[RCPA Lumber]],0)</f>
        <v>216</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6" s="69" t="n">
        <f aca="false">ROUNDDOWN( MAX(1 - MIN(facs_constr_factor*TblConstr[[#This Row],[Facs DB]],facs_constr_max) + tech_1_11*TblTech[[#This Row],[1-11]] + tech_6_3_2*TblTech[[#This Row],[6-3]] + tech_5_2_3*TblTech[[#This Row],[5-2]], 1-global_constr_cap) * ROUND((TblConstr[[#This Row],[Land]]-250)*0.285 + 87.5 + 0/4.25,0),0)</f>
        <v>216</v>
      </c>
      <c r="AQ126" s="1" t="n">
        <f aca="false">TblConstr[[#This Row],[build -db]]*TblConstr[[#This Row],[CPA Platinum -DB]] + TblConstr[[#This Row],[build db]]*TblConstr[[#This Row],[CPA Platinum DB]]</f>
        <v>0</v>
      </c>
      <c r="AR126" s="1" t="n">
        <f aca="false">TblConstr[[#This Row],[build -db]]*TblConstr[[#This Row],[CPA Lumber -DB]]+TblConstr[[#This Row],[build db]]*TblConstr[[#This Row],[CPA Lumber DB]]</f>
        <v>0</v>
      </c>
      <c r="AS126" s="69" t="n">
        <f aca="false">MIN(SUM(OFFSET(TblConstr[[#This Row],[Plain]:[Water]],-1,0))+SUM(TblConstr[[#This Row],[Dest Hom]:[Dest Doc]])+IF(TblConstr[[#This Row],[Hour]]&gt;12,SUM(OFFSET(TblExplore[[#This Row],[Plains Explore]:[Water Explore]],-12,0)),0),SUM(TblConstr[[#This Row],[Hom]:[Doc]]))</f>
        <v>0</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1413</v>
      </c>
      <c r="AW126" s="69" t="n">
        <f aca="false">ROUND((TblConstr[[#This Row],[Land]]-250 - IF(TblExplore[[#This Row],[Land Bonus]]&lt;&gt;0,20,0))*0.285 + 87.5 + 0/4.25,0)</f>
        <v>216</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700</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430</v>
      </c>
      <c r="DA126" s="69" t="n">
        <f aca="false">H126+SUM(T115:U126)+SUM(BD126:BE126)</f>
        <v>25</v>
      </c>
      <c r="DB126" s="1" t="n">
        <f aca="false">I126+SUM(V115:W126)+SUM(BF126:BG126)</f>
        <v>0</v>
      </c>
      <c r="DC126" s="69" t="n">
        <f aca="false">J126+SUM(X115:Y126)+SUM(BH126:BI126)</f>
        <v>55</v>
      </c>
      <c r="DD126" s="69" t="n">
        <f aca="false">K126+SUM(AB115:AD126)+SUM(BL126:BN126)</f>
        <v>76</v>
      </c>
      <c r="DE126" s="1" t="n">
        <f aca="false">L126+SUM(AE115:AE126)+BO126</f>
        <v>0</v>
      </c>
      <c r="DF126" s="69" t="n">
        <f aca="false">M126+SUM(AG115:AG126)+BQ126</f>
        <v>24</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0</v>
      </c>
      <c r="C127" s="172" t="n">
        <f aca="false">SUM(TblConstr[[#This Row],[Tot Hom]:[Tot Doc]])</f>
        <v>700</v>
      </c>
      <c r="D127" s="172" t="n">
        <f aca="false">SUM(O116:AG127)</f>
        <v>0</v>
      </c>
      <c r="E127" s="173"/>
      <c r="F127" s="33" t="n">
        <f aca="false">TblConstr[[#This Row],[Barren]]+TblConstr[[#This Row],[Buildings]]+TblConstr[[#This Row],[Incoming]]</f>
        <v>700</v>
      </c>
      <c r="G127" s="199" t="n">
        <f aca="false">OFFSET(TblConstr[[#This Row],[Plain]],-1,0)+TblConstr[[#This Row],[Ch_Plain]]</f>
        <v>0</v>
      </c>
      <c r="H127" s="193" t="n">
        <f aca="false">OFFSET(TblConstr[[#This Row],[Forest]],-1,0)+TblConstr[[#This Row],[Ch_Forest]]</f>
        <v>0</v>
      </c>
      <c r="I127" s="200" t="n">
        <f aca="false">OFFSET(TblConstr[[#This Row],[Mountain]],-1,0)+TblConstr[[#This Row],[Ch_Mountain]]</f>
        <v>0</v>
      </c>
      <c r="J127" s="201" t="n">
        <f aca="false">OFFSET(TblConstr[[#This Row],[Hill]],-1,0)+TblConstr[[#This Row],[Ch_Hill]]</f>
        <v>0</v>
      </c>
      <c r="K127" s="202" t="n">
        <f aca="false">OFFSET(TblConstr[[#This Row],[Swamp]],-1,0)+TblConstr[[#This Row],[Ch_Swamp]]</f>
        <v>0</v>
      </c>
      <c r="L127" s="197" t="n">
        <f aca="false">OFFSET(TblConstr[[#This Row],[Cavern]],-1,0)+TblConstr[[#This Row],[Ch_Cavern]]</f>
        <v>0</v>
      </c>
      <c r="M127" s="198" t="n">
        <f aca="false">OFFSET(TblConstr[[#This Row],[Water]],-1,0)+TblConstr[[#This Row],[Ch_Water]]</f>
        <v>0</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1953557</v>
      </c>
      <c r="AL127" s="69" t="n">
        <f aca="false">TblProd[[#This Row],[Lumber]]</f>
        <v>53824</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7" s="69" t="n">
        <f aca="false">ROUNDDOWN( MAX(1 - MIN(facs_constr_factor*TblConstr[[#This Row],[Facs -DB]],facs_constr_max) + tech_1_11*TblTech[[#This Row],[11-1]] + tech_6_3_2*TblTech[[#This Row],[6-3]] + tech_5_2_3*TblTech[[#This Row],[5-2]], 1-global_constr_cap) * TblConstr[[#This Row],[RCPA Lumber]],0)</f>
        <v>216</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7" s="69" t="n">
        <f aca="false">ROUNDDOWN( MAX(1 - MIN(facs_constr_factor*TblConstr[[#This Row],[Facs DB]],facs_constr_max) + tech_1_11*TblTech[[#This Row],[1-11]] + tech_6_3_2*TblTech[[#This Row],[6-3]] + tech_5_2_3*TblTech[[#This Row],[5-2]], 1-global_constr_cap) * ROUND((TblConstr[[#This Row],[Land]]-250)*0.285 + 87.5 + 0/4.25,0),0)</f>
        <v>216</v>
      </c>
      <c r="AQ127" s="1" t="n">
        <f aca="false">TblConstr[[#This Row],[build -db]]*TblConstr[[#This Row],[CPA Platinum -DB]] + TblConstr[[#This Row],[build db]]*TblConstr[[#This Row],[CPA Platinum DB]]</f>
        <v>0</v>
      </c>
      <c r="AR127" s="1" t="n">
        <f aca="false">TblConstr[[#This Row],[build -db]]*TblConstr[[#This Row],[CPA Lumber -DB]]+TblConstr[[#This Row],[build db]]*TblConstr[[#This Row],[CPA Lumber DB]]</f>
        <v>0</v>
      </c>
      <c r="AS127" s="69" t="n">
        <f aca="false">MIN(SUM(OFFSET(TblConstr[[#This Row],[Plain]:[Water]],-1,0))+SUM(TblConstr[[#This Row],[Dest Hom]:[Dest Doc]])+IF(TblConstr[[#This Row],[Hour]]&gt;12,SUM(OFFSET(TblExplore[[#This Row],[Plains Explore]:[Water Explore]],-12,0)),0),SUM(TblConstr[[#This Row],[Hom]:[Doc]]))</f>
        <v>0</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1413</v>
      </c>
      <c r="AW127" s="69" t="n">
        <f aca="false">ROUND((TblConstr[[#This Row],[Land]]-250 - IF(TblExplore[[#This Row],[Land Bonus]]&lt;&gt;0,20,0))*0.285 + 87.5 + 0/4.25,0)</f>
        <v>216</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700</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430</v>
      </c>
      <c r="DA127" s="69" t="n">
        <f aca="false">H127+SUM(T116:U127)+SUM(BD127:BE127)</f>
        <v>25</v>
      </c>
      <c r="DB127" s="1" t="n">
        <f aca="false">I127+SUM(V116:W127)+SUM(BF127:BG127)</f>
        <v>0</v>
      </c>
      <c r="DC127" s="69" t="n">
        <f aca="false">J127+SUM(X116:Y127)+SUM(BH127:BI127)</f>
        <v>55</v>
      </c>
      <c r="DD127" s="69" t="n">
        <f aca="false">K127+SUM(AB116:AD127)+SUM(BL127:BN127)</f>
        <v>76</v>
      </c>
      <c r="DE127" s="1" t="n">
        <f aca="false">L127+SUM(AE116:AE127)+BO127</f>
        <v>0</v>
      </c>
      <c r="DF127" s="69" t="n">
        <f aca="false">M127+SUM(AG116:AG127)+BQ127</f>
        <v>24</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0</v>
      </c>
      <c r="C128" s="172" t="n">
        <f aca="false">SUM(TblConstr[[#This Row],[Tot Hom]:[Tot Doc]])</f>
        <v>700</v>
      </c>
      <c r="D128" s="172" t="n">
        <f aca="false">SUM(O117:AG128)</f>
        <v>0</v>
      </c>
      <c r="E128" s="173"/>
      <c r="F128" s="33" t="n">
        <f aca="false">TblConstr[[#This Row],[Barren]]+TblConstr[[#This Row],[Buildings]]+TblConstr[[#This Row],[Incoming]]</f>
        <v>700</v>
      </c>
      <c r="G128" s="199" t="n">
        <f aca="false">OFFSET(TblConstr[[#This Row],[Plain]],-1,0)+TblConstr[[#This Row],[Ch_Plain]]</f>
        <v>0</v>
      </c>
      <c r="H128" s="193" t="n">
        <f aca="false">OFFSET(TblConstr[[#This Row],[Forest]],-1,0)+TblConstr[[#This Row],[Ch_Forest]]</f>
        <v>0</v>
      </c>
      <c r="I128" s="200" t="n">
        <f aca="false">OFFSET(TblConstr[[#This Row],[Mountain]],-1,0)+TblConstr[[#This Row],[Ch_Mountain]]</f>
        <v>0</v>
      </c>
      <c r="J128" s="201" t="n">
        <f aca="false">OFFSET(TblConstr[[#This Row],[Hill]],-1,0)+TblConstr[[#This Row],[Ch_Hill]]</f>
        <v>0</v>
      </c>
      <c r="K128" s="202" t="n">
        <f aca="false">OFFSET(TblConstr[[#This Row],[Swamp]],-1,0)+TblConstr[[#This Row],[Ch_Swamp]]</f>
        <v>0</v>
      </c>
      <c r="L128" s="197" t="n">
        <f aca="false">OFFSET(TblConstr[[#This Row],[Cavern]],-1,0)+TblConstr[[#This Row],[Ch_Cavern]]</f>
        <v>0</v>
      </c>
      <c r="M128" s="198" t="n">
        <f aca="false">OFFSET(TblConstr[[#This Row],[Water]],-1,0)+TblConstr[[#This Row],[Ch_Water]]</f>
        <v>0</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1982248</v>
      </c>
      <c r="AL128" s="69" t="n">
        <f aca="false">TblProd[[#This Row],[Lumber]]</f>
        <v>54411</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8" s="69" t="n">
        <f aca="false">ROUNDDOWN( MAX(1 - MIN(facs_constr_factor*TblConstr[[#This Row],[Facs -DB]],facs_constr_max) + tech_1_11*TblTech[[#This Row],[11-1]] + tech_6_3_2*TblTech[[#This Row],[6-3]] + tech_5_2_3*TblTech[[#This Row],[5-2]], 1-global_constr_cap) * TblConstr[[#This Row],[RCPA Lumber]],0)</f>
        <v>216</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8" s="69" t="n">
        <f aca="false">ROUNDDOWN( MAX(1 - MIN(facs_constr_factor*TblConstr[[#This Row],[Facs DB]],facs_constr_max) + tech_1_11*TblTech[[#This Row],[1-11]] + tech_6_3_2*TblTech[[#This Row],[6-3]] + tech_5_2_3*TblTech[[#This Row],[5-2]], 1-global_constr_cap) * ROUND((TblConstr[[#This Row],[Land]]-250)*0.285 + 87.5 + 0/4.25,0),0)</f>
        <v>216</v>
      </c>
      <c r="AQ128" s="1" t="n">
        <f aca="false">TblConstr[[#This Row],[build -db]]*TblConstr[[#This Row],[CPA Platinum -DB]] + TblConstr[[#This Row],[build db]]*TblConstr[[#This Row],[CPA Platinum DB]]</f>
        <v>0</v>
      </c>
      <c r="AR128" s="1" t="n">
        <f aca="false">TblConstr[[#This Row],[build -db]]*TblConstr[[#This Row],[CPA Lumber -DB]]+TblConstr[[#This Row],[build db]]*TblConstr[[#This Row],[CPA Lumber DB]]</f>
        <v>0</v>
      </c>
      <c r="AS128" s="69" t="n">
        <f aca="false">MIN(SUM(OFFSET(TblConstr[[#This Row],[Plain]:[Water]],-1,0))+SUM(TblConstr[[#This Row],[Dest Hom]:[Dest Doc]])+IF(TblConstr[[#This Row],[Hour]]&gt;12,SUM(OFFSET(TblExplore[[#This Row],[Plains Explore]:[Water Explore]],-12,0)),0),SUM(TblConstr[[#This Row],[Hom]:[Doc]]))</f>
        <v>0</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1413</v>
      </c>
      <c r="AW128" s="69" t="n">
        <f aca="false">ROUND((TblConstr[[#This Row],[Land]]-250 - IF(TblExplore[[#This Row],[Land Bonus]]&lt;&gt;0,20,0))*0.285 + 87.5 + 0/4.25,0)</f>
        <v>216</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700</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430</v>
      </c>
      <c r="DA128" s="69" t="n">
        <f aca="false">H128+SUM(T117:U128)+SUM(BD128:BE128)</f>
        <v>25</v>
      </c>
      <c r="DB128" s="1" t="n">
        <f aca="false">I128+SUM(V117:W128)+SUM(BF128:BG128)</f>
        <v>0</v>
      </c>
      <c r="DC128" s="69" t="n">
        <f aca="false">J128+SUM(X117:Y128)+SUM(BH128:BI128)</f>
        <v>55</v>
      </c>
      <c r="DD128" s="69" t="n">
        <f aca="false">K128+SUM(AB117:AD128)+SUM(BL128:BN128)</f>
        <v>76</v>
      </c>
      <c r="DE128" s="1" t="n">
        <f aca="false">L128+SUM(AE117:AE128)+BO128</f>
        <v>0</v>
      </c>
      <c r="DF128" s="69" t="n">
        <f aca="false">M128+SUM(AG117:AG128)+BQ128</f>
        <v>24</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0</v>
      </c>
      <c r="C129" s="172" t="n">
        <f aca="false">SUM(TblConstr[[#This Row],[Tot Hom]:[Tot Doc]])</f>
        <v>700</v>
      </c>
      <c r="D129" s="172" t="n">
        <f aca="false">SUM(O118:AG129)</f>
        <v>0</v>
      </c>
      <c r="E129" s="173"/>
      <c r="F129" s="33" t="n">
        <f aca="false">TblConstr[[#This Row],[Barren]]+TblConstr[[#This Row],[Buildings]]+TblConstr[[#This Row],[Incoming]]</f>
        <v>700</v>
      </c>
      <c r="G129" s="199" t="n">
        <f aca="false">OFFSET(TblConstr[[#This Row],[Plain]],-1,0)+TblConstr[[#This Row],[Ch_Plain]]</f>
        <v>0</v>
      </c>
      <c r="H129" s="193" t="n">
        <f aca="false">OFFSET(TblConstr[[#This Row],[Forest]],-1,0)+TblConstr[[#This Row],[Ch_Forest]]</f>
        <v>0</v>
      </c>
      <c r="I129" s="200" t="n">
        <f aca="false">OFFSET(TblConstr[[#This Row],[Mountain]],-1,0)+TblConstr[[#This Row],[Ch_Mountain]]</f>
        <v>0</v>
      </c>
      <c r="J129" s="201" t="n">
        <f aca="false">OFFSET(TblConstr[[#This Row],[Hill]],-1,0)+TblConstr[[#This Row],[Ch_Hill]]</f>
        <v>0</v>
      </c>
      <c r="K129" s="202" t="n">
        <f aca="false">OFFSET(TblConstr[[#This Row],[Swamp]],-1,0)+TblConstr[[#This Row],[Ch_Swamp]]</f>
        <v>0</v>
      </c>
      <c r="L129" s="197" t="n">
        <f aca="false">OFFSET(TblConstr[[#This Row],[Cavern]],-1,0)+TblConstr[[#This Row],[Ch_Cavern]]</f>
        <v>0</v>
      </c>
      <c r="M129" s="198" t="n">
        <f aca="false">OFFSET(TblConstr[[#This Row],[Water]],-1,0)+TblConstr[[#This Row],[Ch_Water]]</f>
        <v>0</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2010777</v>
      </c>
      <c r="AL129" s="69" t="n">
        <f aca="false">TblProd[[#This Row],[Lumber]]</f>
        <v>54992</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9" s="69" t="n">
        <f aca="false">ROUNDDOWN( MAX(1 - MIN(facs_constr_factor*TblConstr[[#This Row],[Facs -DB]],facs_constr_max) + tech_1_11*TblTech[[#This Row],[11-1]] + tech_6_3_2*TblTech[[#This Row],[6-3]] + tech_5_2_3*TblTech[[#This Row],[5-2]], 1-global_constr_cap) * TblConstr[[#This Row],[RCPA Lumber]],0)</f>
        <v>216</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9" s="69" t="n">
        <f aca="false">ROUNDDOWN( MAX(1 - MIN(facs_constr_factor*TblConstr[[#This Row],[Facs DB]],facs_constr_max) + tech_1_11*TblTech[[#This Row],[1-11]] + tech_6_3_2*TblTech[[#This Row],[6-3]] + tech_5_2_3*TblTech[[#This Row],[5-2]], 1-global_constr_cap) * ROUND((TblConstr[[#This Row],[Land]]-250)*0.285 + 87.5 + 0/4.25,0),0)</f>
        <v>216</v>
      </c>
      <c r="AQ129" s="1" t="n">
        <f aca="false">TblConstr[[#This Row],[build -db]]*TblConstr[[#This Row],[CPA Platinum -DB]] + TblConstr[[#This Row],[build db]]*TblConstr[[#This Row],[CPA Platinum DB]]</f>
        <v>0</v>
      </c>
      <c r="AR129" s="1" t="n">
        <f aca="false">TblConstr[[#This Row],[build -db]]*TblConstr[[#This Row],[CPA Lumber -DB]]+TblConstr[[#This Row],[build db]]*TblConstr[[#This Row],[CPA Lumber DB]]</f>
        <v>0</v>
      </c>
      <c r="AS129" s="69" t="n">
        <f aca="false">MIN(SUM(OFFSET(TblConstr[[#This Row],[Plain]:[Water]],-1,0))+SUM(TblConstr[[#This Row],[Dest Hom]:[Dest Doc]])+IF(TblConstr[[#This Row],[Hour]]&gt;12,SUM(OFFSET(TblExplore[[#This Row],[Plains Explore]:[Water Explore]],-12,0)),0),SUM(TblConstr[[#This Row],[Hom]:[Doc]]))</f>
        <v>0</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1413</v>
      </c>
      <c r="AW129" s="69" t="n">
        <f aca="false">ROUND((TblConstr[[#This Row],[Land]]-250 - IF(TblExplore[[#This Row],[Land Bonus]]&lt;&gt;0,20,0))*0.285 + 87.5 + 0/4.25,0)</f>
        <v>216</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700</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430</v>
      </c>
      <c r="DA129" s="69" t="n">
        <f aca="false">H129+SUM(T118:U129)+SUM(BD129:BE129)</f>
        <v>25</v>
      </c>
      <c r="DB129" s="1" t="n">
        <f aca="false">I129+SUM(V118:W129)+SUM(BF129:BG129)</f>
        <v>0</v>
      </c>
      <c r="DC129" s="69" t="n">
        <f aca="false">J129+SUM(X118:Y129)+SUM(BH129:BI129)</f>
        <v>55</v>
      </c>
      <c r="DD129" s="69" t="n">
        <f aca="false">K129+SUM(AB118:AD129)+SUM(BL129:BN129)</f>
        <v>76</v>
      </c>
      <c r="DE129" s="1" t="n">
        <f aca="false">L129+SUM(AE118:AE129)+BO129</f>
        <v>0</v>
      </c>
      <c r="DF129" s="69" t="n">
        <f aca="false">M129+SUM(AG118:AG129)+BQ129</f>
        <v>24</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0</v>
      </c>
      <c r="C130" s="172" t="n">
        <f aca="false">SUM(TblConstr[[#This Row],[Tot Hom]:[Tot Doc]])</f>
        <v>700</v>
      </c>
      <c r="D130" s="172" t="n">
        <f aca="false">SUM(O119:AG130)</f>
        <v>0</v>
      </c>
      <c r="E130" s="173"/>
      <c r="F130" s="33" t="n">
        <f aca="false">TblConstr[[#This Row],[Barren]]+TblConstr[[#This Row],[Buildings]]+TblConstr[[#This Row],[Incoming]]</f>
        <v>700</v>
      </c>
      <c r="G130" s="199" t="n">
        <f aca="false">OFFSET(TblConstr[[#This Row],[Plain]],-1,0)+TblConstr[[#This Row],[Ch_Plain]]</f>
        <v>0</v>
      </c>
      <c r="H130" s="193" t="n">
        <f aca="false">OFFSET(TblConstr[[#This Row],[Forest]],-1,0)+TblConstr[[#This Row],[Ch_Forest]]</f>
        <v>0</v>
      </c>
      <c r="I130" s="200" t="n">
        <f aca="false">OFFSET(TblConstr[[#This Row],[Mountain]],-1,0)+TblConstr[[#This Row],[Ch_Mountain]]</f>
        <v>0</v>
      </c>
      <c r="J130" s="201" t="n">
        <f aca="false">OFFSET(TblConstr[[#This Row],[Hill]],-1,0)+TblConstr[[#This Row],[Ch_Hill]]</f>
        <v>0</v>
      </c>
      <c r="K130" s="202" t="n">
        <f aca="false">OFFSET(TblConstr[[#This Row],[Swamp]],-1,0)+TblConstr[[#This Row],[Ch_Swamp]]</f>
        <v>0</v>
      </c>
      <c r="L130" s="197" t="n">
        <f aca="false">OFFSET(TblConstr[[#This Row],[Cavern]],-1,0)+TblConstr[[#This Row],[Ch_Cavern]]</f>
        <v>0</v>
      </c>
      <c r="M130" s="198" t="n">
        <f aca="false">OFFSET(TblConstr[[#This Row],[Water]],-1,0)+TblConstr[[#This Row],[Ch_Water]]</f>
        <v>0</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2039144</v>
      </c>
      <c r="AL130" s="69" t="n">
        <f aca="false">TblProd[[#This Row],[Lumber]]</f>
        <v>55567</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0" s="69" t="n">
        <f aca="false">ROUNDDOWN( MAX(1 - MIN(facs_constr_factor*TblConstr[[#This Row],[Facs -DB]],facs_constr_max) + tech_1_11*TblTech[[#This Row],[11-1]] + tech_6_3_2*TblTech[[#This Row],[6-3]] + tech_5_2_3*TblTech[[#This Row],[5-2]], 1-global_constr_cap) * TblConstr[[#This Row],[RCPA Lumber]],0)</f>
        <v>216</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0" s="69" t="n">
        <f aca="false">ROUNDDOWN( MAX(1 - MIN(facs_constr_factor*TblConstr[[#This Row],[Facs DB]],facs_constr_max) + tech_1_11*TblTech[[#This Row],[1-11]] + tech_6_3_2*TblTech[[#This Row],[6-3]] + tech_5_2_3*TblTech[[#This Row],[5-2]], 1-global_constr_cap) * ROUND((TblConstr[[#This Row],[Land]]-250)*0.285 + 87.5 + 0/4.25,0),0)</f>
        <v>216</v>
      </c>
      <c r="AQ130" s="1" t="n">
        <f aca="false">TblConstr[[#This Row],[build -db]]*TblConstr[[#This Row],[CPA Platinum -DB]] + TblConstr[[#This Row],[build db]]*TblConstr[[#This Row],[CPA Platinum DB]]</f>
        <v>0</v>
      </c>
      <c r="AR130" s="1" t="n">
        <f aca="false">TblConstr[[#This Row],[build -db]]*TblConstr[[#This Row],[CPA Lumber -DB]]+TblConstr[[#This Row],[build db]]*TblConstr[[#This Row],[CPA Lumber DB]]</f>
        <v>0</v>
      </c>
      <c r="AS130" s="69" t="n">
        <f aca="false">MIN(SUM(OFFSET(TblConstr[[#This Row],[Plain]:[Water]],-1,0))+SUM(TblConstr[[#This Row],[Dest Hom]:[Dest Doc]])+IF(TblConstr[[#This Row],[Hour]]&gt;12,SUM(OFFSET(TblExplore[[#This Row],[Plains Explore]:[Water Explore]],-12,0)),0),SUM(TblConstr[[#This Row],[Hom]:[Doc]]))</f>
        <v>0</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1413</v>
      </c>
      <c r="AW130" s="69" t="n">
        <f aca="false">ROUND((TblConstr[[#This Row],[Land]]-250 - IF(TblExplore[[#This Row],[Land Bonus]]&lt;&gt;0,20,0))*0.285 + 87.5 + 0/4.25,0)</f>
        <v>216</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700</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430</v>
      </c>
      <c r="DA130" s="69" t="n">
        <f aca="false">H130+SUM(T119:U130)+SUM(BD130:BE130)</f>
        <v>25</v>
      </c>
      <c r="DB130" s="1" t="n">
        <f aca="false">I130+SUM(V119:W130)+SUM(BF130:BG130)</f>
        <v>0</v>
      </c>
      <c r="DC130" s="69" t="n">
        <f aca="false">J130+SUM(X119:Y130)+SUM(BH130:BI130)</f>
        <v>55</v>
      </c>
      <c r="DD130" s="69" t="n">
        <f aca="false">K130+SUM(AB119:AD130)+SUM(BL130:BN130)</f>
        <v>76</v>
      </c>
      <c r="DE130" s="1" t="n">
        <f aca="false">L130+SUM(AE119:AE130)+BO130</f>
        <v>0</v>
      </c>
      <c r="DF130" s="69" t="n">
        <f aca="false">M130+SUM(AG119:AG130)+BQ130</f>
        <v>24</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0</v>
      </c>
      <c r="C131" s="172" t="n">
        <f aca="false">SUM(TblConstr[[#This Row],[Tot Hom]:[Tot Doc]])</f>
        <v>700</v>
      </c>
      <c r="D131" s="172" t="n">
        <f aca="false">SUM(O120:AG131)</f>
        <v>0</v>
      </c>
      <c r="E131" s="173"/>
      <c r="F131" s="33" t="n">
        <f aca="false">TblConstr[[#This Row],[Barren]]+TblConstr[[#This Row],[Buildings]]+TblConstr[[#This Row],[Incoming]]</f>
        <v>700</v>
      </c>
      <c r="G131" s="199" t="n">
        <f aca="false">OFFSET(TblConstr[[#This Row],[Plain]],-1,0)+TblConstr[[#This Row],[Ch_Plain]]</f>
        <v>0</v>
      </c>
      <c r="H131" s="193" t="n">
        <f aca="false">OFFSET(TblConstr[[#This Row],[Forest]],-1,0)+TblConstr[[#This Row],[Ch_Forest]]</f>
        <v>0</v>
      </c>
      <c r="I131" s="200" t="n">
        <f aca="false">OFFSET(TblConstr[[#This Row],[Mountain]],-1,0)+TblConstr[[#This Row],[Ch_Mountain]]</f>
        <v>0</v>
      </c>
      <c r="J131" s="201" t="n">
        <f aca="false">OFFSET(TblConstr[[#This Row],[Hill]],-1,0)+TblConstr[[#This Row],[Ch_Hill]]</f>
        <v>0</v>
      </c>
      <c r="K131" s="202" t="n">
        <f aca="false">OFFSET(TblConstr[[#This Row],[Swamp]],-1,0)+TblConstr[[#This Row],[Ch_Swamp]]</f>
        <v>0</v>
      </c>
      <c r="L131" s="197" t="n">
        <f aca="false">OFFSET(TblConstr[[#This Row],[Cavern]],-1,0)+TblConstr[[#This Row],[Ch_Cavern]]</f>
        <v>0</v>
      </c>
      <c r="M131" s="198" t="n">
        <f aca="false">OFFSET(TblConstr[[#This Row],[Water]],-1,0)+TblConstr[[#This Row],[Ch_Water]]</f>
        <v>0</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2067351</v>
      </c>
      <c r="AL131" s="69" t="n">
        <f aca="false">TblProd[[#This Row],[Lumber]]</f>
        <v>56136</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1" s="69" t="n">
        <f aca="false">ROUNDDOWN( MAX(1 - MIN(facs_constr_factor*TblConstr[[#This Row],[Facs -DB]],facs_constr_max) + tech_1_11*TblTech[[#This Row],[11-1]] + tech_6_3_2*TblTech[[#This Row],[6-3]] + tech_5_2_3*TblTech[[#This Row],[5-2]], 1-global_constr_cap) * TblConstr[[#This Row],[RCPA Lumber]],0)</f>
        <v>216</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1" s="69" t="n">
        <f aca="false">ROUNDDOWN( MAX(1 - MIN(facs_constr_factor*TblConstr[[#This Row],[Facs DB]],facs_constr_max) + tech_1_11*TblTech[[#This Row],[1-11]] + tech_6_3_2*TblTech[[#This Row],[6-3]] + tech_5_2_3*TblTech[[#This Row],[5-2]], 1-global_constr_cap) * ROUND((TblConstr[[#This Row],[Land]]-250)*0.285 + 87.5 + 0/4.25,0),0)</f>
        <v>216</v>
      </c>
      <c r="AQ131" s="1" t="n">
        <f aca="false">TblConstr[[#This Row],[build -db]]*TblConstr[[#This Row],[CPA Platinum -DB]] + TblConstr[[#This Row],[build db]]*TblConstr[[#This Row],[CPA Platinum DB]]</f>
        <v>0</v>
      </c>
      <c r="AR131" s="1" t="n">
        <f aca="false">TblConstr[[#This Row],[build -db]]*TblConstr[[#This Row],[CPA Lumber -DB]]+TblConstr[[#This Row],[build db]]*TblConstr[[#This Row],[CPA Lumber DB]]</f>
        <v>0</v>
      </c>
      <c r="AS131" s="69" t="n">
        <f aca="false">MIN(SUM(OFFSET(TblConstr[[#This Row],[Plain]:[Water]],-1,0))+SUM(TblConstr[[#This Row],[Dest Hom]:[Dest Doc]])+IF(TblConstr[[#This Row],[Hour]]&gt;12,SUM(OFFSET(TblExplore[[#This Row],[Plains Explore]:[Water Explore]],-12,0)),0),SUM(TblConstr[[#This Row],[Hom]:[Doc]]))</f>
        <v>0</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1413</v>
      </c>
      <c r="AW131" s="69" t="n">
        <f aca="false">ROUND((TblConstr[[#This Row],[Land]]-250 - IF(TblExplore[[#This Row],[Land Bonus]]&lt;&gt;0,20,0))*0.285 + 87.5 + 0/4.25,0)</f>
        <v>216</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700</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430</v>
      </c>
      <c r="DA131" s="69" t="n">
        <f aca="false">H131+SUM(T120:U131)+SUM(BD131:BE131)</f>
        <v>25</v>
      </c>
      <c r="DB131" s="1" t="n">
        <f aca="false">I131+SUM(V120:W131)+SUM(BF131:BG131)</f>
        <v>0</v>
      </c>
      <c r="DC131" s="69" t="n">
        <f aca="false">J131+SUM(X120:Y131)+SUM(BH131:BI131)</f>
        <v>55</v>
      </c>
      <c r="DD131" s="69" t="n">
        <f aca="false">K131+SUM(AB120:AD131)+SUM(BL131:BN131)</f>
        <v>76</v>
      </c>
      <c r="DE131" s="1" t="n">
        <f aca="false">L131+SUM(AE120:AE131)+BO131</f>
        <v>0</v>
      </c>
      <c r="DF131" s="69" t="n">
        <f aca="false">M131+SUM(AG120:AG131)+BQ131</f>
        <v>24</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0</v>
      </c>
      <c r="C132" s="172" t="n">
        <f aca="false">SUM(TblConstr[[#This Row],[Tot Hom]:[Tot Doc]])</f>
        <v>700</v>
      </c>
      <c r="D132" s="172" t="n">
        <f aca="false">SUM(O121:AG132)</f>
        <v>0</v>
      </c>
      <c r="E132" s="173"/>
      <c r="F132" s="33" t="n">
        <f aca="false">TblConstr[[#This Row],[Barren]]+TblConstr[[#This Row],[Buildings]]+TblConstr[[#This Row],[Incoming]]</f>
        <v>700</v>
      </c>
      <c r="G132" s="199" t="n">
        <f aca="false">OFFSET(TblConstr[[#This Row],[Plain]],-1,0)+TblConstr[[#This Row],[Ch_Plain]]</f>
        <v>0</v>
      </c>
      <c r="H132" s="193" t="n">
        <f aca="false">OFFSET(TblConstr[[#This Row],[Forest]],-1,0)+TblConstr[[#This Row],[Ch_Forest]]</f>
        <v>0</v>
      </c>
      <c r="I132" s="200" t="n">
        <f aca="false">OFFSET(TblConstr[[#This Row],[Mountain]],-1,0)+TblConstr[[#This Row],[Ch_Mountain]]</f>
        <v>0</v>
      </c>
      <c r="J132" s="201" t="n">
        <f aca="false">OFFSET(TblConstr[[#This Row],[Hill]],-1,0)+TblConstr[[#This Row],[Ch_Hill]]</f>
        <v>0</v>
      </c>
      <c r="K132" s="202" t="n">
        <f aca="false">OFFSET(TblConstr[[#This Row],[Swamp]],-1,0)+TblConstr[[#This Row],[Ch_Swamp]]</f>
        <v>0</v>
      </c>
      <c r="L132" s="197" t="n">
        <f aca="false">OFFSET(TblConstr[[#This Row],[Cavern]],-1,0)+TblConstr[[#This Row],[Ch_Cavern]]</f>
        <v>0</v>
      </c>
      <c r="M132" s="198" t="n">
        <f aca="false">OFFSET(TblConstr[[#This Row],[Water]],-1,0)+TblConstr[[#This Row],[Ch_Water]]</f>
        <v>0</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2095399</v>
      </c>
      <c r="AL132" s="69" t="n">
        <f aca="false">TblProd[[#This Row],[Lumber]]</f>
        <v>56700</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2" s="69" t="n">
        <f aca="false">ROUNDDOWN( MAX(1 - MIN(facs_constr_factor*TblConstr[[#This Row],[Facs -DB]],facs_constr_max) + tech_1_11*TblTech[[#This Row],[11-1]] + tech_6_3_2*TblTech[[#This Row],[6-3]] + tech_5_2_3*TblTech[[#This Row],[5-2]], 1-global_constr_cap) * TblConstr[[#This Row],[RCPA Lumber]],0)</f>
        <v>216</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2" s="69" t="n">
        <f aca="false">ROUNDDOWN( MAX(1 - MIN(facs_constr_factor*TblConstr[[#This Row],[Facs DB]],facs_constr_max) + tech_1_11*TblTech[[#This Row],[1-11]] + tech_6_3_2*TblTech[[#This Row],[6-3]] + tech_5_2_3*TblTech[[#This Row],[5-2]], 1-global_constr_cap) * ROUND((TblConstr[[#This Row],[Land]]-250)*0.285 + 87.5 + 0/4.25,0),0)</f>
        <v>216</v>
      </c>
      <c r="AQ132" s="1" t="n">
        <f aca="false">TblConstr[[#This Row],[build -db]]*TblConstr[[#This Row],[CPA Platinum -DB]] + TblConstr[[#This Row],[build db]]*TblConstr[[#This Row],[CPA Platinum DB]]</f>
        <v>0</v>
      </c>
      <c r="AR132" s="1" t="n">
        <f aca="false">TblConstr[[#This Row],[build -db]]*TblConstr[[#This Row],[CPA Lumber -DB]]+TblConstr[[#This Row],[build db]]*TblConstr[[#This Row],[CPA Lumber DB]]</f>
        <v>0</v>
      </c>
      <c r="AS132" s="69" t="n">
        <f aca="false">MIN(SUM(OFFSET(TblConstr[[#This Row],[Plain]:[Water]],-1,0))+SUM(TblConstr[[#This Row],[Dest Hom]:[Dest Doc]])+IF(TblConstr[[#This Row],[Hour]]&gt;12,SUM(OFFSET(TblExplore[[#This Row],[Plains Explore]:[Water Explore]],-12,0)),0),SUM(TblConstr[[#This Row],[Hom]:[Doc]]))</f>
        <v>0</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1413</v>
      </c>
      <c r="AW132" s="69" t="n">
        <f aca="false">ROUND((TblConstr[[#This Row],[Land]]-250 - IF(TblExplore[[#This Row],[Land Bonus]]&lt;&gt;0,20,0))*0.285 + 87.5 + 0/4.25,0)</f>
        <v>216</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700</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430</v>
      </c>
      <c r="DA132" s="69" t="n">
        <f aca="false">H132+SUM(T121:U132)+SUM(BD132:BE132)</f>
        <v>25</v>
      </c>
      <c r="DB132" s="1" t="n">
        <f aca="false">I132+SUM(V121:W132)+SUM(BF132:BG132)</f>
        <v>0</v>
      </c>
      <c r="DC132" s="69" t="n">
        <f aca="false">J132+SUM(X121:Y132)+SUM(BH132:BI132)</f>
        <v>55</v>
      </c>
      <c r="DD132" s="69" t="n">
        <f aca="false">K132+SUM(AB121:AD132)+SUM(BL132:BN132)</f>
        <v>76</v>
      </c>
      <c r="DE132" s="1" t="n">
        <f aca="false">L132+SUM(AE121:AE132)+BO132</f>
        <v>0</v>
      </c>
      <c r="DF132" s="69" t="n">
        <f aca="false">M132+SUM(AG121:AG132)+BQ132</f>
        <v>24</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0</v>
      </c>
      <c r="C133" s="172" t="n">
        <f aca="false">SUM(TblConstr[[#This Row],[Tot Hom]:[Tot Doc]])</f>
        <v>700</v>
      </c>
      <c r="D133" s="172" t="n">
        <f aca="false">SUM(O122:AG133)</f>
        <v>0</v>
      </c>
      <c r="E133" s="173"/>
      <c r="F133" s="33" t="n">
        <f aca="false">TblConstr[[#This Row],[Barren]]+TblConstr[[#This Row],[Buildings]]+TblConstr[[#This Row],[Incoming]]</f>
        <v>700</v>
      </c>
      <c r="G133" s="199" t="n">
        <f aca="false">OFFSET(TblConstr[[#This Row],[Plain]],-1,0)+TblConstr[[#This Row],[Ch_Plain]]</f>
        <v>0</v>
      </c>
      <c r="H133" s="193" t="n">
        <f aca="false">OFFSET(TblConstr[[#This Row],[Forest]],-1,0)+TblConstr[[#This Row],[Ch_Forest]]</f>
        <v>0</v>
      </c>
      <c r="I133" s="200" t="n">
        <f aca="false">OFFSET(TblConstr[[#This Row],[Mountain]],-1,0)+TblConstr[[#This Row],[Ch_Mountain]]</f>
        <v>0</v>
      </c>
      <c r="J133" s="201" t="n">
        <f aca="false">OFFSET(TblConstr[[#This Row],[Hill]],-1,0)+TblConstr[[#This Row],[Ch_Hill]]</f>
        <v>0</v>
      </c>
      <c r="K133" s="202" t="n">
        <f aca="false">OFFSET(TblConstr[[#This Row],[Swamp]],-1,0)+TblConstr[[#This Row],[Ch_Swamp]]</f>
        <v>0</v>
      </c>
      <c r="L133" s="197" t="n">
        <f aca="false">OFFSET(TblConstr[[#This Row],[Cavern]],-1,0)+TblConstr[[#This Row],[Ch_Cavern]]</f>
        <v>0</v>
      </c>
      <c r="M133" s="198" t="n">
        <f aca="false">OFFSET(TblConstr[[#This Row],[Water]],-1,0)+TblConstr[[#This Row],[Ch_Water]]</f>
        <v>0</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2123290</v>
      </c>
      <c r="AL133" s="69" t="n">
        <f aca="false">TblProd[[#This Row],[Lumber]]</f>
        <v>57258</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3" s="69" t="n">
        <f aca="false">ROUNDDOWN( MAX(1 - MIN(facs_constr_factor*TblConstr[[#This Row],[Facs -DB]],facs_constr_max) + tech_1_11*TblTech[[#This Row],[11-1]] + tech_6_3_2*TblTech[[#This Row],[6-3]] + tech_5_2_3*TblTech[[#This Row],[5-2]], 1-global_constr_cap) * TblConstr[[#This Row],[RCPA Lumber]],0)</f>
        <v>216</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3" s="69" t="n">
        <f aca="false">ROUNDDOWN( MAX(1 - MIN(facs_constr_factor*TblConstr[[#This Row],[Facs DB]],facs_constr_max) + tech_1_11*TblTech[[#This Row],[1-11]] + tech_6_3_2*TblTech[[#This Row],[6-3]] + tech_5_2_3*TblTech[[#This Row],[5-2]], 1-global_constr_cap) * ROUND((TblConstr[[#This Row],[Land]]-250)*0.285 + 87.5 + 0/4.25,0),0)</f>
        <v>216</v>
      </c>
      <c r="AQ133" s="1" t="n">
        <f aca="false">TblConstr[[#This Row],[build -db]]*TblConstr[[#This Row],[CPA Platinum -DB]] + TblConstr[[#This Row],[build db]]*TblConstr[[#This Row],[CPA Platinum DB]]</f>
        <v>0</v>
      </c>
      <c r="AR133" s="1" t="n">
        <f aca="false">TblConstr[[#This Row],[build -db]]*TblConstr[[#This Row],[CPA Lumber -DB]]+TblConstr[[#This Row],[build db]]*TblConstr[[#This Row],[CPA Lumber DB]]</f>
        <v>0</v>
      </c>
      <c r="AS133" s="69" t="n">
        <f aca="false">MIN(SUM(OFFSET(TblConstr[[#This Row],[Plain]:[Water]],-1,0))+SUM(TblConstr[[#This Row],[Dest Hom]:[Dest Doc]])+IF(TblConstr[[#This Row],[Hour]]&gt;12,SUM(OFFSET(TblExplore[[#This Row],[Plains Explore]:[Water Explore]],-12,0)),0),SUM(TblConstr[[#This Row],[Hom]:[Doc]]))</f>
        <v>0</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1413</v>
      </c>
      <c r="AW133" s="69" t="n">
        <f aca="false">ROUND((TblConstr[[#This Row],[Land]]-250 - IF(TblExplore[[#This Row],[Land Bonus]]&lt;&gt;0,20,0))*0.285 + 87.5 + 0/4.25,0)</f>
        <v>216</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700</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430</v>
      </c>
      <c r="DA133" s="69" t="n">
        <f aca="false">H133+SUM(T122:U133)+SUM(BD133:BE133)</f>
        <v>25</v>
      </c>
      <c r="DB133" s="1" t="n">
        <f aca="false">I133+SUM(V122:W133)+SUM(BF133:BG133)</f>
        <v>0</v>
      </c>
      <c r="DC133" s="69" t="n">
        <f aca="false">J133+SUM(X122:Y133)+SUM(BH133:BI133)</f>
        <v>55</v>
      </c>
      <c r="DD133" s="69" t="n">
        <f aca="false">K133+SUM(AB122:AD133)+SUM(BL133:BN133)</f>
        <v>76</v>
      </c>
      <c r="DE133" s="1" t="n">
        <f aca="false">L133+SUM(AE122:AE133)+BO133</f>
        <v>0</v>
      </c>
      <c r="DF133" s="69" t="n">
        <f aca="false">M133+SUM(AG122:AG133)+BQ133</f>
        <v>24</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0</v>
      </c>
      <c r="C134" s="172" t="n">
        <f aca="false">SUM(TblConstr[[#This Row],[Tot Hom]:[Tot Doc]])</f>
        <v>700</v>
      </c>
      <c r="D134" s="172" t="n">
        <f aca="false">SUM(O123:AG134)</f>
        <v>0</v>
      </c>
      <c r="E134" s="173"/>
      <c r="F134" s="33" t="n">
        <f aca="false">TblConstr[[#This Row],[Barren]]+TblConstr[[#This Row],[Buildings]]+TblConstr[[#This Row],[Incoming]]</f>
        <v>700</v>
      </c>
      <c r="G134" s="199" t="n">
        <f aca="false">OFFSET(TblConstr[[#This Row],[Plain]],-1,0)+TblConstr[[#This Row],[Ch_Plain]]</f>
        <v>0</v>
      </c>
      <c r="H134" s="193" t="n">
        <f aca="false">OFFSET(TblConstr[[#This Row],[Forest]],-1,0)+TblConstr[[#This Row],[Ch_Forest]]</f>
        <v>0</v>
      </c>
      <c r="I134" s="200" t="n">
        <f aca="false">OFFSET(TblConstr[[#This Row],[Mountain]],-1,0)+TblConstr[[#This Row],[Ch_Mountain]]</f>
        <v>0</v>
      </c>
      <c r="J134" s="201" t="n">
        <f aca="false">OFFSET(TblConstr[[#This Row],[Hill]],-1,0)+TblConstr[[#This Row],[Ch_Hill]]</f>
        <v>0</v>
      </c>
      <c r="K134" s="202" t="n">
        <f aca="false">OFFSET(TblConstr[[#This Row],[Swamp]],-1,0)+TblConstr[[#This Row],[Ch_Swamp]]</f>
        <v>0</v>
      </c>
      <c r="L134" s="197" t="n">
        <f aca="false">OFFSET(TblConstr[[#This Row],[Cavern]],-1,0)+TblConstr[[#This Row],[Ch_Cavern]]</f>
        <v>0</v>
      </c>
      <c r="M134" s="198" t="n">
        <f aca="false">OFFSET(TblConstr[[#This Row],[Water]],-1,0)+TblConstr[[#This Row],[Ch_Water]]</f>
        <v>0</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2151028</v>
      </c>
      <c r="AL134" s="69" t="n">
        <f aca="false">TblProd[[#This Row],[Lumber]]</f>
        <v>57810</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4" s="69" t="n">
        <f aca="false">ROUNDDOWN( MAX(1 - MIN(facs_constr_factor*TblConstr[[#This Row],[Facs -DB]],facs_constr_max) + tech_1_11*TblTech[[#This Row],[11-1]] + tech_6_3_2*TblTech[[#This Row],[6-3]] + tech_5_2_3*TblTech[[#This Row],[5-2]], 1-global_constr_cap) * TblConstr[[#This Row],[RCPA Lumber]],0)</f>
        <v>216</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4" s="69" t="n">
        <f aca="false">ROUNDDOWN( MAX(1 - MIN(facs_constr_factor*TblConstr[[#This Row],[Facs DB]],facs_constr_max) + tech_1_11*TblTech[[#This Row],[1-11]] + tech_6_3_2*TblTech[[#This Row],[6-3]] + tech_5_2_3*TblTech[[#This Row],[5-2]], 1-global_constr_cap) * ROUND((TblConstr[[#This Row],[Land]]-250)*0.285 + 87.5 + 0/4.25,0),0)</f>
        <v>216</v>
      </c>
      <c r="AQ134" s="1" t="n">
        <f aca="false">TblConstr[[#This Row],[build -db]]*TblConstr[[#This Row],[CPA Platinum -DB]] + TblConstr[[#This Row],[build db]]*TblConstr[[#This Row],[CPA Platinum DB]]</f>
        <v>0</v>
      </c>
      <c r="AR134" s="1" t="n">
        <f aca="false">TblConstr[[#This Row],[build -db]]*TblConstr[[#This Row],[CPA Lumber -DB]]+TblConstr[[#This Row],[build db]]*TblConstr[[#This Row],[CPA Lumber DB]]</f>
        <v>0</v>
      </c>
      <c r="AS134" s="69" t="n">
        <f aca="false">MIN(SUM(OFFSET(TblConstr[[#This Row],[Plain]:[Water]],-1,0))+SUM(TblConstr[[#This Row],[Dest Hom]:[Dest Doc]])+IF(TblConstr[[#This Row],[Hour]]&gt;12,SUM(OFFSET(TblExplore[[#This Row],[Plains Explore]:[Water Explore]],-12,0)),0),SUM(TblConstr[[#This Row],[Hom]:[Doc]]))</f>
        <v>0</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1413</v>
      </c>
      <c r="AW134" s="69" t="n">
        <f aca="false">ROUND((TblConstr[[#This Row],[Land]]-250 - IF(TblExplore[[#This Row],[Land Bonus]]&lt;&gt;0,20,0))*0.285 + 87.5 + 0/4.25,0)</f>
        <v>216</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700</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430</v>
      </c>
      <c r="DA134" s="69" t="n">
        <f aca="false">H134+SUM(T123:U134)+SUM(BD134:BE134)</f>
        <v>25</v>
      </c>
      <c r="DB134" s="1" t="n">
        <f aca="false">I134+SUM(V123:W134)+SUM(BF134:BG134)</f>
        <v>0</v>
      </c>
      <c r="DC134" s="69" t="n">
        <f aca="false">J134+SUM(X123:Y134)+SUM(BH134:BI134)</f>
        <v>55</v>
      </c>
      <c r="DD134" s="69" t="n">
        <f aca="false">K134+SUM(AB123:AD134)+SUM(BL134:BN134)</f>
        <v>76</v>
      </c>
      <c r="DE134" s="1" t="n">
        <f aca="false">L134+SUM(AE123:AE134)+BO134</f>
        <v>0</v>
      </c>
      <c r="DF134" s="69" t="n">
        <f aca="false">M134+SUM(AG123:AG134)+BQ134</f>
        <v>24</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0</v>
      </c>
      <c r="C135" s="172" t="n">
        <f aca="false">SUM(TblConstr[[#This Row],[Tot Hom]:[Tot Doc]])</f>
        <v>700</v>
      </c>
      <c r="D135" s="172" t="n">
        <f aca="false">SUM(O124:AG135)</f>
        <v>0</v>
      </c>
      <c r="E135" s="173"/>
      <c r="F135" s="33" t="n">
        <f aca="false">TblConstr[[#This Row],[Barren]]+TblConstr[[#This Row],[Buildings]]+TblConstr[[#This Row],[Incoming]]</f>
        <v>700</v>
      </c>
      <c r="G135" s="199" t="n">
        <f aca="false">OFFSET(TblConstr[[#This Row],[Plain]],-1,0)+TblConstr[[#This Row],[Ch_Plain]]</f>
        <v>0</v>
      </c>
      <c r="H135" s="193" t="n">
        <f aca="false">OFFSET(TblConstr[[#This Row],[Forest]],-1,0)+TblConstr[[#This Row],[Ch_Forest]]</f>
        <v>0</v>
      </c>
      <c r="I135" s="200" t="n">
        <f aca="false">OFFSET(TblConstr[[#This Row],[Mountain]],-1,0)+TblConstr[[#This Row],[Ch_Mountain]]</f>
        <v>0</v>
      </c>
      <c r="J135" s="201" t="n">
        <f aca="false">OFFSET(TblConstr[[#This Row],[Hill]],-1,0)+TblConstr[[#This Row],[Ch_Hill]]</f>
        <v>0</v>
      </c>
      <c r="K135" s="202" t="n">
        <f aca="false">OFFSET(TblConstr[[#This Row],[Swamp]],-1,0)+TblConstr[[#This Row],[Ch_Swamp]]</f>
        <v>0</v>
      </c>
      <c r="L135" s="197" t="n">
        <f aca="false">OFFSET(TblConstr[[#This Row],[Cavern]],-1,0)+TblConstr[[#This Row],[Ch_Cavern]]</f>
        <v>0</v>
      </c>
      <c r="M135" s="198" t="n">
        <f aca="false">OFFSET(TblConstr[[#This Row],[Water]],-1,0)+TblConstr[[#This Row],[Ch_Water]]</f>
        <v>0</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2178612</v>
      </c>
      <c r="AL135" s="69" t="n">
        <f aca="false">TblProd[[#This Row],[Lumber]]</f>
        <v>58357</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5" s="69" t="n">
        <f aca="false">ROUNDDOWN( MAX(1 - MIN(facs_constr_factor*TblConstr[[#This Row],[Facs -DB]],facs_constr_max) + tech_1_11*TblTech[[#This Row],[11-1]] + tech_6_3_2*TblTech[[#This Row],[6-3]] + tech_5_2_3*TblTech[[#This Row],[5-2]], 1-global_constr_cap) * TblConstr[[#This Row],[RCPA Lumber]],0)</f>
        <v>216</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5" s="69" t="n">
        <f aca="false">ROUNDDOWN( MAX(1 - MIN(facs_constr_factor*TblConstr[[#This Row],[Facs DB]],facs_constr_max) + tech_1_11*TblTech[[#This Row],[1-11]] + tech_6_3_2*TblTech[[#This Row],[6-3]] + tech_5_2_3*TblTech[[#This Row],[5-2]], 1-global_constr_cap) * ROUND((TblConstr[[#This Row],[Land]]-250)*0.285 + 87.5 + 0/4.25,0),0)</f>
        <v>216</v>
      </c>
      <c r="AQ135" s="1" t="n">
        <f aca="false">TblConstr[[#This Row],[build -db]]*TblConstr[[#This Row],[CPA Platinum -DB]] + TblConstr[[#This Row],[build db]]*TblConstr[[#This Row],[CPA Platinum DB]]</f>
        <v>0</v>
      </c>
      <c r="AR135" s="1" t="n">
        <f aca="false">TblConstr[[#This Row],[build -db]]*TblConstr[[#This Row],[CPA Lumber -DB]]+TblConstr[[#This Row],[build db]]*TblConstr[[#This Row],[CPA Lumber DB]]</f>
        <v>0</v>
      </c>
      <c r="AS135" s="69" t="n">
        <f aca="false">MIN(SUM(OFFSET(TblConstr[[#This Row],[Plain]:[Water]],-1,0))+SUM(TblConstr[[#This Row],[Dest Hom]:[Dest Doc]])+IF(TblConstr[[#This Row],[Hour]]&gt;12,SUM(OFFSET(TblExplore[[#This Row],[Plains Explore]:[Water Explore]],-12,0)),0),SUM(TblConstr[[#This Row],[Hom]:[Doc]]))</f>
        <v>0</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1413</v>
      </c>
      <c r="AW135" s="69" t="n">
        <f aca="false">ROUND((TblConstr[[#This Row],[Land]]-250 - IF(TblExplore[[#This Row],[Land Bonus]]&lt;&gt;0,20,0))*0.285 + 87.5 + 0/4.25,0)</f>
        <v>216</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700</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430</v>
      </c>
      <c r="DA135" s="69" t="n">
        <f aca="false">H135+SUM(T124:U135)+SUM(BD135:BE135)</f>
        <v>25</v>
      </c>
      <c r="DB135" s="1" t="n">
        <f aca="false">I135+SUM(V124:W135)+SUM(BF135:BG135)</f>
        <v>0</v>
      </c>
      <c r="DC135" s="69" t="n">
        <f aca="false">J135+SUM(X124:Y135)+SUM(BH135:BI135)</f>
        <v>55</v>
      </c>
      <c r="DD135" s="69" t="n">
        <f aca="false">K135+SUM(AB124:AD135)+SUM(BL135:BN135)</f>
        <v>76</v>
      </c>
      <c r="DE135" s="1" t="n">
        <f aca="false">L135+SUM(AE124:AE135)+BO135</f>
        <v>0</v>
      </c>
      <c r="DF135" s="69" t="n">
        <f aca="false">M135+SUM(AG124:AG135)+BQ135</f>
        <v>24</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0</v>
      </c>
      <c r="C136" s="172" t="n">
        <f aca="false">SUM(TblConstr[[#This Row],[Tot Hom]:[Tot Doc]])</f>
        <v>700</v>
      </c>
      <c r="D136" s="172" t="n">
        <f aca="false">SUM(O125:AG136)</f>
        <v>0</v>
      </c>
      <c r="E136" s="173"/>
      <c r="F136" s="33" t="n">
        <f aca="false">TblConstr[[#This Row],[Barren]]+TblConstr[[#This Row],[Buildings]]+TblConstr[[#This Row],[Incoming]]</f>
        <v>700</v>
      </c>
      <c r="G136" s="199" t="n">
        <f aca="false">OFFSET(TblConstr[[#This Row],[Plain]],-1,0)+TblConstr[[#This Row],[Ch_Plain]]</f>
        <v>0</v>
      </c>
      <c r="H136" s="193" t="n">
        <f aca="false">OFFSET(TblConstr[[#This Row],[Forest]],-1,0)+TblConstr[[#This Row],[Ch_Forest]]</f>
        <v>0</v>
      </c>
      <c r="I136" s="200" t="n">
        <f aca="false">OFFSET(TblConstr[[#This Row],[Mountain]],-1,0)+TblConstr[[#This Row],[Ch_Mountain]]</f>
        <v>0</v>
      </c>
      <c r="J136" s="201" t="n">
        <f aca="false">OFFSET(TblConstr[[#This Row],[Hill]],-1,0)+TblConstr[[#This Row],[Ch_Hill]]</f>
        <v>0</v>
      </c>
      <c r="K136" s="202" t="n">
        <f aca="false">OFFSET(TblConstr[[#This Row],[Swamp]],-1,0)+TblConstr[[#This Row],[Ch_Swamp]]</f>
        <v>0</v>
      </c>
      <c r="L136" s="197" t="n">
        <f aca="false">OFFSET(TblConstr[[#This Row],[Cavern]],-1,0)+TblConstr[[#This Row],[Ch_Cavern]]</f>
        <v>0</v>
      </c>
      <c r="M136" s="198" t="n">
        <f aca="false">OFFSET(TblConstr[[#This Row],[Water]],-1,0)+TblConstr[[#This Row],[Ch_Water]]</f>
        <v>0</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2206044</v>
      </c>
      <c r="AL136" s="69" t="n">
        <f aca="false">TblProd[[#This Row],[Lumber]]</f>
        <v>58898</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6" s="69" t="n">
        <f aca="false">ROUNDDOWN( MAX(1 - MIN(facs_constr_factor*TblConstr[[#This Row],[Facs -DB]],facs_constr_max) + tech_1_11*TblTech[[#This Row],[11-1]] + tech_6_3_2*TblTech[[#This Row],[6-3]] + tech_5_2_3*TblTech[[#This Row],[5-2]], 1-global_constr_cap) * TblConstr[[#This Row],[RCPA Lumber]],0)</f>
        <v>216</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6" s="69" t="n">
        <f aca="false">ROUNDDOWN( MAX(1 - MIN(facs_constr_factor*TblConstr[[#This Row],[Facs DB]],facs_constr_max) + tech_1_11*TblTech[[#This Row],[1-11]] + tech_6_3_2*TblTech[[#This Row],[6-3]] + tech_5_2_3*TblTech[[#This Row],[5-2]], 1-global_constr_cap) * ROUND((TblConstr[[#This Row],[Land]]-250)*0.285 + 87.5 + 0/4.25,0),0)</f>
        <v>216</v>
      </c>
      <c r="AQ136" s="1" t="n">
        <f aca="false">TblConstr[[#This Row],[build -db]]*TblConstr[[#This Row],[CPA Platinum -DB]] + TblConstr[[#This Row],[build db]]*TblConstr[[#This Row],[CPA Platinum DB]]</f>
        <v>0</v>
      </c>
      <c r="AR136" s="1" t="n">
        <f aca="false">TblConstr[[#This Row],[build -db]]*TblConstr[[#This Row],[CPA Lumber -DB]]+TblConstr[[#This Row],[build db]]*TblConstr[[#This Row],[CPA Lumber DB]]</f>
        <v>0</v>
      </c>
      <c r="AS136" s="69" t="n">
        <f aca="false">MIN(SUM(OFFSET(TblConstr[[#This Row],[Plain]:[Water]],-1,0))+SUM(TblConstr[[#This Row],[Dest Hom]:[Dest Doc]])+IF(TblConstr[[#This Row],[Hour]]&gt;12,SUM(OFFSET(TblExplore[[#This Row],[Plains Explore]:[Water Explore]],-12,0)),0),SUM(TblConstr[[#This Row],[Hom]:[Doc]]))</f>
        <v>0</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1413</v>
      </c>
      <c r="AW136" s="69" t="n">
        <f aca="false">ROUND((TblConstr[[#This Row],[Land]]-250 - IF(TblExplore[[#This Row],[Land Bonus]]&lt;&gt;0,20,0))*0.285 + 87.5 + 0/4.25,0)</f>
        <v>216</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700</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430</v>
      </c>
      <c r="DA136" s="69" t="n">
        <f aca="false">H136+SUM(T125:U136)+SUM(BD136:BE136)</f>
        <v>25</v>
      </c>
      <c r="DB136" s="1" t="n">
        <f aca="false">I136+SUM(V125:W136)+SUM(BF136:BG136)</f>
        <v>0</v>
      </c>
      <c r="DC136" s="69" t="n">
        <f aca="false">J136+SUM(X125:Y136)+SUM(BH136:BI136)</f>
        <v>55</v>
      </c>
      <c r="DD136" s="69" t="n">
        <f aca="false">K136+SUM(AB125:AD136)+SUM(BL136:BN136)</f>
        <v>76</v>
      </c>
      <c r="DE136" s="1" t="n">
        <f aca="false">L136+SUM(AE125:AE136)+BO136</f>
        <v>0</v>
      </c>
      <c r="DF136" s="69" t="n">
        <f aca="false">M136+SUM(AG125:AG136)+BQ136</f>
        <v>24</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3">
      <formula>ROW()-3=$B$1270</formula>
    </cfRule>
    <cfRule type="expression" priority="3" aboveAverage="0" equalAverage="0" bottom="0" percent="0" rank="0" text="" dxfId="44">
      <formula>$A36=73</formula>
    </cfRule>
    <cfRule type="expression" priority="4" aboveAverage="0" equalAverage="0" bottom="0" percent="0" rank="0" text="" dxfId="45">
      <formula>ROUND(($A36-1)/12,0)=INT($A36-1)/12</formula>
    </cfRule>
  </conditionalFormatting>
  <conditionalFormatting sqref="P36:P38">
    <cfRule type="expression" priority="5" aboveAverage="0" equalAverage="0" bottom="0" percent="0" rank="0" text="" dxfId="46">
      <formula>ROW()-3=$B$1270</formula>
    </cfRule>
    <cfRule type="expression" priority="6" aboveAverage="0" equalAverage="0" bottom="0" percent="0" rank="0" text="" dxfId="47">
      <formula>$A36=73</formula>
    </cfRule>
    <cfRule type="expression" priority="7" aboveAverage="0" equalAverage="0" bottom="0" percent="0" rank="0" text="" dxfId="48">
      <formula>ROUND(($A36-1)/12,0)=INT($A36-1)/12</formula>
    </cfRule>
  </conditionalFormatting>
  <conditionalFormatting sqref="AY4:BQ136">
    <cfRule type="expression" priority="8" aboveAverage="0" equalAverage="0" bottom="0" percent="0" rank="0" text="" dxfId="49">
      <formula>OR(AY4&lt;0,ROW()-3=$A$1270)</formula>
    </cfRule>
  </conditionalFormatting>
  <conditionalFormatting sqref="A4:DJ35 A36:O38 Q36:W38 A39:W39 Y36:DJ39 A40:DJ52 A60:DJ136 A53:Q59 S53:X59 Z53:DJ59">
    <cfRule type="expression" priority="9" aboveAverage="0" equalAverage="0" bottom="0" percent="0" rank="0" text="" dxfId="50">
      <formula>ROW()-3=$A$1270</formula>
    </cfRule>
    <cfRule type="expression" priority="10" aboveAverage="0" equalAverage="0" bottom="0" percent="0" rank="0" text="" dxfId="51">
      <formula>$A4=73</formula>
    </cfRule>
    <cfRule type="expression" priority="11" aboveAverage="0" equalAverage="0" bottom="0" percent="0" rank="0" text="" dxfId="52">
      <formula>ROUND(($A4-1)/12,0)=INT($A4-1)/12</formula>
    </cfRule>
  </conditionalFormatting>
  <conditionalFormatting sqref="M1271:N65537 M137:N1268">
    <cfRule type="expression" priority="12" aboveAverage="0" equalAverage="0" bottom="0" percent="0" rank="0" text="" dxfId="53">
      <formula>XEZ137&lt;0</formula>
    </cfRule>
  </conditionalFormatting>
  <conditionalFormatting sqref="A137:D1268 A1271:D65537 F1271:H65537 F137:H1268">
    <cfRule type="expression" priority="13" aboveAverage="0" equalAverage="0" bottom="0" percent="0" rank="0" text="" dxfId="54">
      <formula>XEV137&lt;0</formula>
    </cfRule>
  </conditionalFormatting>
  <conditionalFormatting sqref="E1271:E65537 E137:E1268">
    <cfRule type="expression" priority="14" aboveAverage="0" equalAverage="0" bottom="0" percent="0" rank="0" text="" dxfId="55">
      <formula>XEU137&lt;0</formula>
    </cfRule>
  </conditionalFormatting>
  <conditionalFormatting sqref="DI1271:DJ52023 O1271:AG52052 O137:AG1268 BV1271:DH52052 BV137:DJ1268">
    <cfRule type="expression" priority="15" aboveAverage="0" equalAverage="0" bottom="0" percent="0" rank="0" text="" dxfId="56">
      <formula>ROW(-2=#ref!)</formula>
    </cfRule>
  </conditionalFormatting>
  <conditionalFormatting sqref="A1269:AG1270 BV1269:DJ1270">
    <cfRule type="expression" priority="16" aboveAverage="0" equalAverage="0" bottom="0" percent="0" rank="0" text="" dxfId="57">
      <formula>$A$1270&gt;144</formula>
    </cfRule>
  </conditionalFormatting>
  <conditionalFormatting sqref="K1271:L65537 K137:L1268">
    <cfRule type="expression" priority="17" aboveAverage="0" equalAverage="0" bottom="0" percent="0" rank="0" text="" dxfId="58">
      <formula>A137&lt;0</formula>
    </cfRule>
  </conditionalFormatting>
  <conditionalFormatting sqref="I1271:J65537 I137:J1268">
    <cfRule type="expression" priority="18" aboveAverage="0" equalAverage="0" bottom="0" percent="0" rank="0" text="" dxfId="59">
      <formula>A137&lt;0</formula>
    </cfRule>
  </conditionalFormatting>
  <conditionalFormatting sqref="A1:XFD3">
    <cfRule type="expression" priority="19" aboveAverage="0" equalAverage="0" bottom="0" percent="0" rank="0" text="" dxfId="60">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13" activePane="bottomLeft" state="frozen"/>
      <selection pane="topLeft" activeCell="A1" activeCellId="0" sqref="A1"/>
      <selection pane="bottomLeft" activeCell="B17" activeCellId="0" sqref="B17"/>
    </sheetView>
  </sheetViews>
  <sheetFormatPr defaultColWidth="3.42578125" defaultRowHeight="12.75" zeroHeight="false" outlineLevelRow="0" outlineLevelCol="0"/>
  <cols>
    <col collapsed="false" customWidth="true" hidden="false" outlineLevel="0" max="2" min="1" style="26" width="7.16"/>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6"/>
    <col collapsed="false" customWidth="true" hidden="false" outlineLevel="0" max="18" min="18" style="124" width="7.16"/>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32177</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37</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38394</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45</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44502.5</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52</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0.50413009808983</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53587</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63</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0.530459473412494</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39408</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46</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0.535678889990089</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49346</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58</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0.563676907829534</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59563</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70</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0.593161546085233</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70075</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82</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0.624132804757185</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80898</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95</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0.567827130852341</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173</v>
      </c>
      <c r="AC21" s="69" t="n">
        <f aca="false">TblProd[[#This Row],[Platinum]]</f>
        <v>21929</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24</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0.553849627455408</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151</v>
      </c>
      <c r="AC22" s="69" t="n">
        <f aca="false">TblProd[[#This Row],[Platinum]]</f>
        <v>23317</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26</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0.572103487064117</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126</v>
      </c>
      <c r="AC23" s="69" t="n">
        <f aca="false">TblProd[[#This Row],[Platinum]]</f>
        <v>24112</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27</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0.591795561533289</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102</v>
      </c>
      <c r="AC24" s="69" t="n">
        <f aca="false">TblProd[[#This Row],[Platinum]]</f>
        <v>23628</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25</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0.620951530042439</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115</v>
      </c>
      <c r="AC25" s="69" t="n">
        <f aca="false">TblProd[[#This Row],[Platinum]]</f>
        <v>30585</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28</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-14</v>
      </c>
      <c r="N26" s="247" t="n">
        <f aca="false">TblMili[[#This Row],[Smithies]]</f>
        <v>0</v>
      </c>
      <c r="O26" s="247" t="n">
        <f aca="false">TblPop[[#This Row],[Employment]]</f>
        <v>1</v>
      </c>
      <c r="P26" s="247" t="n">
        <f aca="false">TblImps[[#This Row],[Population]]</f>
        <v>0.65234809703984</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134</v>
      </c>
      <c r="AC26" s="69" t="n">
        <f aca="false">TblProd[[#This Row],[Platinum]]</f>
        <v>38772</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33</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Production!T76</f>
        <v>46784</v>
      </c>
      <c r="N27" s="247" t="n">
        <f aca="false">TblMili[[#This Row],[Smithies]]</f>
        <v>0</v>
      </c>
      <c r="O27" s="247" t="n">
        <f aca="false">TblPop[[#This Row],[Employment]]</f>
        <v>1</v>
      </c>
      <c r="P27" s="247" t="n">
        <f aca="false">TblImps[[#This Row],[Population]]</f>
        <v>0.678952042628774</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122</v>
      </c>
      <c r="AC27" s="69" t="n">
        <f aca="false">TblProd[[#This Row],[Platinum]]</f>
        <v>41357</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30</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316</v>
      </c>
      <c r="N28" s="247" t="n">
        <f aca="false">TblMili[[#This Row],[Smithies]]</f>
        <v>0</v>
      </c>
      <c r="O28" s="247" t="n">
        <f aca="false">TblPop[[#This Row],[Employment]]</f>
        <v>1</v>
      </c>
      <c r="P28" s="247" t="n">
        <f aca="false">TblImps[[#This Row],[Population]]</f>
        <v>0.677646571369381</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151</v>
      </c>
      <c r="AC28" s="69" t="n">
        <f aca="false">TblProd[[#This Row],[Platinum]]</f>
        <v>54909</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37</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700</v>
      </c>
      <c r="N29" s="247" t="n">
        <f aca="false">TblMili[[#This Row],[Smithies]]</f>
        <v>0</v>
      </c>
      <c r="O29" s="247" t="n">
        <f aca="false">TblPop[[#This Row],[Employment]]</f>
        <v>1</v>
      </c>
      <c r="P29" s="247" t="n">
        <f aca="false">TblImps[[#This Row],[Population]]</f>
        <v>0.724466542365859</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182</v>
      </c>
      <c r="AC29" s="69" t="n">
        <f aca="false">TblProd[[#This Row],[Platinum]]</f>
        <v>68958</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45</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0.774394033561218</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215</v>
      </c>
      <c r="AC30" s="69" t="n">
        <f aca="false">TblProd[[#This Row],[Platinum]]</f>
        <v>85158</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53</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0.827429044955459</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250</v>
      </c>
      <c r="AC31" s="69" t="n">
        <f aca="false">TblProd[[#This Row],[Platinum]]</f>
        <v>101920</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62</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0.815827636212969</v>
      </c>
      <c r="Q32" s="181" t="n">
        <f aca="false">TblExplore[[#This Row],[Land]]</f>
        <v>299</v>
      </c>
      <c r="R32" s="170" t="n">
        <f aca="false">TblExplore[[#This Row],[Hour]]</f>
        <v>29</v>
      </c>
      <c r="S32" s="248"/>
      <c r="T32" s="152" t="n">
        <v>82</v>
      </c>
      <c r="U32" s="182"/>
      <c r="V32" s="182"/>
      <c r="W32" s="182"/>
      <c r="X32" s="182"/>
      <c r="Y32" s="182"/>
      <c r="Z32" s="182"/>
      <c r="AA32" s="153" t="n">
        <f aca="false">TblImps[[#This Row],[Real time]]</f>
        <v>45430.9166666667</v>
      </c>
      <c r="AB32" s="69" t="n">
        <f aca="false">TblMili[[#This Row],[Draftees]]</f>
        <v>-41</v>
      </c>
      <c r="AC32" s="69" t="n">
        <f aca="false">TblProd[[#This Row],[Platinum]]</f>
        <v>40162</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80852</v>
      </c>
      <c r="AI32" s="69" t="n">
        <f aca="false">SUM(TblExplore[[#This Row],[Plains Explore]:[Water Explore]])*TblExplore[[#This Row],[Draftees/acre]]</f>
        <v>328</v>
      </c>
      <c r="AJ32" s="151" t="n">
        <f aca="false">_xlfn.FLOOR.MATH(MIN(TblExplore[[#This Row],[Platinum]]/TblExplore[[#This Row],[Plat/acre]],TblExplore[[#This Row],[Draftees]]/TblExplore[[#This Row],[Draftees/acre]]))</f>
        <v>-11</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0.799577248270561</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-46</v>
      </c>
      <c r="AC33" s="69" t="n">
        <f aca="false">TblProd[[#This Row],[Platinum]]</f>
        <v>21126</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-10</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0.729886968085106</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-54</v>
      </c>
      <c r="AC34" s="69" t="n">
        <f aca="false">TblProd[[#This Row],[Platinum]]</f>
        <v>24436</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-11</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0.747539925794483</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-60</v>
      </c>
      <c r="AC35" s="69" t="n">
        <f aca="false">TblProd[[#This Row],[Platinum]]</f>
        <v>27426</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-12</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0.764899108399812</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-63</v>
      </c>
      <c r="AC36" s="69" t="n">
        <f aca="false">TblProd[[#This Row],[Platinum]]</f>
        <v>30523</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-13</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1</v>
      </c>
      <c r="P37" s="247" t="n">
        <f aca="false">TblImps[[#This Row],[Population]]</f>
        <v>0.788926277148975</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-68</v>
      </c>
      <c r="AC37" s="69" t="n">
        <f aca="false">TblProd[[#This Row],[Platinum]]</f>
        <v>36528</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-14</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0.826318188725118</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-76</v>
      </c>
      <c r="AC38" s="69" t="n">
        <f aca="false">TblProd[[#This Row],[Platinum]]</f>
        <v>42167</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-16</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1</v>
      </c>
      <c r="P39" s="247" t="n">
        <f aca="false">TblImps[[#This Row],[Population]]</f>
        <v>0.860597866907015</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-86</v>
      </c>
      <c r="AC39" s="69" t="n">
        <f aca="false">TblProd[[#This Row],[Platinum]]</f>
        <v>43805</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-18</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1</v>
      </c>
      <c r="P40" s="247" t="n">
        <f aca="false">TblImps[[#This Row],[Population]]</f>
        <v>0.892814902424601</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-93</v>
      </c>
      <c r="AC40" s="69" t="n">
        <f aca="false">TblProd[[#This Row],[Platinum]]</f>
        <v>50577</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-19</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0.964125560538117</v>
      </c>
      <c r="P41" s="247" t="n">
        <f aca="false">TblImps[[#This Row],[Population]]</f>
        <v>0.941750443524542</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-97</v>
      </c>
      <c r="AC41" s="69" t="n">
        <f aca="false">TblProd[[#This Row],[Platinum]]</f>
        <v>58290</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-20</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0.91745144202472</v>
      </c>
      <c r="P42" s="247" t="n">
        <f aca="false">TblImps[[#This Row],[Population]]</f>
        <v>0.989651094027203</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-102</v>
      </c>
      <c r="AC42" s="69" t="n">
        <f aca="false">TblProd[[#This Row],[Platinum]]</f>
        <v>64780</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-21</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0.917181523977641</v>
      </c>
      <c r="P43" s="247" t="n">
        <f aca="false">TblImps[[#This Row],[Population]]</f>
        <v>0.990390301596688</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-99</v>
      </c>
      <c r="AC43" s="69" t="n">
        <f aca="false">TblProd[[#This Row],[Platinum]]</f>
        <v>72799</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-20</v>
      </c>
    </row>
    <row r="44" customFormat="false" ht="12.75" hidden="false" customHeight="false" outlineLevel="0" collapsed="false">
      <c r="A44" s="170" t="n">
        <f aca="false">TblRezone[[#This Row],[Hour]]</f>
        <v>41</v>
      </c>
      <c r="B44" s="181" t="n">
        <f aca="false">TblConstr[[#This Row],[Land]]</f>
        <v>501</v>
      </c>
      <c r="C44" s="245"/>
      <c r="D44" s="246" t="n">
        <f aca="false">TblConstr[[#This Row],[Plain]]</f>
        <v>0</v>
      </c>
      <c r="E44" s="193" t="n">
        <f aca="false">TblConstr[[#This Row],[Forest]]</f>
        <v>0</v>
      </c>
      <c r="F44" s="200" t="n">
        <f aca="false">TblConstr[[#This Row],[Mountain]]</f>
        <v>0</v>
      </c>
      <c r="G44" s="201" t="n">
        <f aca="false">TblConstr[[#This Row],[Hill]]</f>
        <v>0</v>
      </c>
      <c r="H44" s="202" t="n">
        <f aca="false">TblConstr[[#This Row],[Swamp]]</f>
        <v>0</v>
      </c>
      <c r="I44" s="197" t="n">
        <f aca="false">TblConstr[[#This Row],[Cavern]]</f>
        <v>0</v>
      </c>
      <c r="J44" s="198" t="n">
        <f aca="false">TblConstr[[#This Row],[Water]]</f>
        <v>0</v>
      </c>
      <c r="K44" s="4"/>
      <c r="L44" s="4"/>
      <c r="M44" s="4"/>
      <c r="N44" s="247" t="n">
        <f aca="false">TblMili[[#This Row],[Smithies]]</f>
        <v>0</v>
      </c>
      <c r="O44" s="247" t="n">
        <f aca="false">TblPop[[#This Row],[Employment]]</f>
        <v>1</v>
      </c>
      <c r="P44" s="247" t="n">
        <f aca="false">TblImps[[#This Row],[Population]]</f>
        <v>0.978348369188064</v>
      </c>
      <c r="Q44" s="181" t="n">
        <f aca="false">TblExplore[[#This Row],[Land]]</f>
        <v>501</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-97</v>
      </c>
      <c r="AC44" s="69" t="n">
        <f aca="false">TblProd[[#This Row],[Platinum]]</f>
        <v>41346</v>
      </c>
      <c r="AD44" s="245"/>
      <c r="AE44" s="151" t="n">
        <f aca="false">TblExplore[[#This Row],[Land]]-TblExplore[[#This Row],[Land Bonus]]*20</f>
        <v>501</v>
      </c>
      <c r="AF44" s="69" t="n">
        <f aca="false">ROUND(MAX(0.6*TblExplore[[#This Row],[Land-DB]]^1.299,850)*(1+ tech_2_6*Techs!AC44 + tech_2_9*Techs!AF44 + tech_3_7*Techs!AN44 + Overview!$I$32),0)</f>
        <v>1929</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21219</v>
      </c>
      <c r="AI44" s="69" t="n">
        <f aca="false">SUM(TblExplore[[#This Row],[Plains Explore]:[Water Explore]])*TblExplore[[#This Row],[Draftees/acre]]</f>
        <v>66</v>
      </c>
      <c r="AJ44" s="151" t="n">
        <f aca="false">_xlfn.FLOOR.MATH(MIN(TblExplore[[#This Row],[Platinum]]/TblExplore[[#This Row],[Plat/acre]],TblExplore[[#This Row],[Draftees]]/TblExplore[[#This Row],[Draftees/acre]]))</f>
        <v>-17</v>
      </c>
    </row>
    <row r="45" customFormat="false" ht="12.75" hidden="false" customHeight="false" outlineLevel="0" collapsed="false">
      <c r="A45" s="170" t="n">
        <f aca="false">TblRezone[[#This Row],[Hour]]</f>
        <v>42</v>
      </c>
      <c r="B45" s="181" t="n">
        <f aca="false">TblConstr[[#This Row],[Land]]</f>
        <v>510</v>
      </c>
      <c r="C45" s="245"/>
      <c r="D45" s="246" t="n">
        <f aca="false">TblConstr[[#This Row],[Plain]]</f>
        <v>0</v>
      </c>
      <c r="E45" s="193" t="n">
        <f aca="false">TblConstr[[#This Row],[Forest]]</f>
        <v>0</v>
      </c>
      <c r="F45" s="200" t="n">
        <f aca="false">TblConstr[[#This Row],[Mountain]]</f>
        <v>0</v>
      </c>
      <c r="G45" s="201" t="n">
        <f aca="false">TblConstr[[#This Row],[Hill]]</f>
        <v>0</v>
      </c>
      <c r="H45" s="202" t="n">
        <f aca="false">TblConstr[[#This Row],[Swamp]]</f>
        <v>0</v>
      </c>
      <c r="I45" s="197" t="n">
        <f aca="false">TblConstr[[#This Row],[Cavern]]</f>
        <v>0</v>
      </c>
      <c r="J45" s="198" t="n">
        <f aca="false">TblConstr[[#This Row],[Water]]</f>
        <v>0</v>
      </c>
      <c r="K45" s="4"/>
      <c r="L45" s="4"/>
      <c r="M45" s="4"/>
      <c r="N45" s="247" t="n">
        <f aca="false">TblMili[[#This Row],[Smithies]]</f>
        <v>0</v>
      </c>
      <c r="O45" s="247" t="n">
        <f aca="false">TblPop[[#This Row],[Employment]]</f>
        <v>1</v>
      </c>
      <c r="P45" s="247" t="n">
        <f aca="false">TblImps[[#This Row],[Population]]</f>
        <v>0.911135693215339</v>
      </c>
      <c r="Q45" s="181" t="n">
        <f aca="false">TblExplore[[#This Row],[Land]]</f>
        <v>510</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-98</v>
      </c>
      <c r="AC45" s="69" t="n">
        <f aca="false">TblProd[[#This Row],[Platinum]]</f>
        <v>47794</v>
      </c>
      <c r="AD45" s="245"/>
      <c r="AE45" s="151" t="n">
        <f aca="false">TblExplore[[#This Row],[Land]]-TblExplore[[#This Row],[Land Bonus]]*20</f>
        <v>510</v>
      </c>
      <c r="AF45" s="69" t="n">
        <f aca="false">ROUND(MAX(0.6*TblExplore[[#This Row],[Land-DB]]^1.299,850)*(1+ tech_2_6*Techs!AC45 + tech_2_9*Techs!AF45 + tech_3_7*Techs!AN45 + Overview!$I$32),0)</f>
        <v>1974</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23688</v>
      </c>
      <c r="AI45" s="69" t="n">
        <f aca="false">SUM(TblExplore[[#This Row],[Plains Explore]:[Water Explore]])*TblExplore[[#This Row],[Draftees/acre]]</f>
        <v>72</v>
      </c>
      <c r="AJ45" s="151" t="n">
        <f aca="false">_xlfn.FLOOR.MATH(MIN(TblExplore[[#This Row],[Platinum]]/TblExplore[[#This Row],[Plat/acre]],TblExplore[[#This Row],[Draftees]]/TblExplore[[#This Row],[Draftees/acre]]))</f>
        <v>-17</v>
      </c>
    </row>
    <row r="46" customFormat="false" ht="12.75" hidden="false" customHeight="false" outlineLevel="0" collapsed="false">
      <c r="A46" s="170" t="n">
        <f aca="false">TblRezone[[#This Row],[Hour]]</f>
        <v>43</v>
      </c>
      <c r="B46" s="181" t="n">
        <f aca="false">TblConstr[[#This Row],[Land]]</f>
        <v>520</v>
      </c>
      <c r="C46" s="245"/>
      <c r="D46" s="246" t="n">
        <f aca="false">TblConstr[[#This Row],[Plain]]</f>
        <v>0</v>
      </c>
      <c r="E46" s="193" t="n">
        <f aca="false">TblConstr[[#This Row],[Forest]]</f>
        <v>0</v>
      </c>
      <c r="F46" s="200" t="n">
        <f aca="false">TblConstr[[#This Row],[Mountain]]</f>
        <v>0</v>
      </c>
      <c r="G46" s="201" t="n">
        <f aca="false">TblConstr[[#This Row],[Hill]]</f>
        <v>0</v>
      </c>
      <c r="H46" s="202" t="n">
        <f aca="false">TblConstr[[#This Row],[Swamp]]</f>
        <v>0</v>
      </c>
      <c r="I46" s="197" t="n">
        <f aca="false">TblConstr[[#This Row],[Cavern]]</f>
        <v>0</v>
      </c>
      <c r="J46" s="198" t="n">
        <f aca="false">TblConstr[[#This Row],[Water]]</f>
        <v>0</v>
      </c>
      <c r="K46" s="4"/>
      <c r="L46" s="4"/>
      <c r="M46" s="4"/>
      <c r="N46" s="247" t="n">
        <f aca="false">TblMili[[#This Row],[Smithies]]</f>
        <v>0</v>
      </c>
      <c r="O46" s="247" t="n">
        <f aca="false">TblPop[[#This Row],[Employment]]</f>
        <v>1</v>
      </c>
      <c r="P46" s="247" t="n">
        <f aca="false">TblImps[[#This Row],[Population]]</f>
        <v>0.943767346446241</v>
      </c>
      <c r="Q46" s="181" t="n">
        <f aca="false">TblExplore[[#This Row],[Land]]</f>
        <v>520</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-71</v>
      </c>
      <c r="AC46" s="69" t="n">
        <f aca="false">TblProd[[#This Row],[Platinum]]</f>
        <v>62940</v>
      </c>
      <c r="AD46" s="245"/>
      <c r="AE46" s="151" t="n">
        <f aca="false">TblExplore[[#This Row],[Land]]-TblExplore[[#This Row],[Land Bonus]]*20</f>
        <v>520</v>
      </c>
      <c r="AF46" s="69" t="n">
        <f aca="false">ROUND(MAX(0.6*TblExplore[[#This Row],[Land-DB]]^1.299,850)*(1+ tech_2_6*Techs!AC46 + tech_2_9*Techs!AF46 + tech_3_7*Techs!AN46 + Overview!$I$32),0)</f>
        <v>2024</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16192</v>
      </c>
      <c r="AI46" s="69" t="n">
        <f aca="false">SUM(TblExplore[[#This Row],[Plains Explore]:[Water Explore]])*TblExplore[[#This Row],[Draftees/acre]]</f>
        <v>48</v>
      </c>
      <c r="AJ46" s="151" t="n">
        <f aca="false">_xlfn.FLOOR.MATH(MIN(TblExplore[[#This Row],[Platinum]]/TblExplore[[#This Row],[Plat/acre]],TblExplore[[#This Row],[Draftees]]/TblExplore[[#This Row],[Draftees/acre]]))</f>
        <v>-12</v>
      </c>
    </row>
    <row r="47" customFormat="false" ht="12.75" hidden="false" customHeight="false" outlineLevel="0" collapsed="false">
      <c r="A47" s="170" t="n">
        <f aca="false">TblRezone[[#This Row],[Hour]]</f>
        <v>44</v>
      </c>
      <c r="B47" s="181" t="n">
        <f aca="false">TblConstr[[#This Row],[Land]]</f>
        <v>530</v>
      </c>
      <c r="C47" s="245"/>
      <c r="D47" s="246" t="n">
        <f aca="false">TblConstr[[#This Row],[Plain]]</f>
        <v>0</v>
      </c>
      <c r="E47" s="193" t="n">
        <f aca="false">TblConstr[[#This Row],[Forest]]</f>
        <v>0</v>
      </c>
      <c r="F47" s="200" t="n">
        <f aca="false">TblConstr[[#This Row],[Mountain]]</f>
        <v>0</v>
      </c>
      <c r="G47" s="201" t="n">
        <f aca="false">TblConstr[[#This Row],[Hill]]</f>
        <v>0</v>
      </c>
      <c r="H47" s="202" t="n">
        <f aca="false">TblConstr[[#This Row],[Swamp]]</f>
        <v>0</v>
      </c>
      <c r="I47" s="197" t="n">
        <f aca="false">TblConstr[[#This Row],[Cavern]]</f>
        <v>0</v>
      </c>
      <c r="J47" s="198" t="n">
        <f aca="false">TblConstr[[#This Row],[Water]]</f>
        <v>0</v>
      </c>
      <c r="K47" s="4"/>
      <c r="L47" s="4"/>
      <c r="M47" s="4"/>
      <c r="N47" s="247" t="n">
        <f aca="false">TblMili[[#This Row],[Smithies]]</f>
        <v>0</v>
      </c>
      <c r="O47" s="247" t="n">
        <f aca="false">TblPop[[#This Row],[Employment]]</f>
        <v>1</v>
      </c>
      <c r="P47" s="247" t="n">
        <f aca="false">TblImps[[#This Row],[Population]]</f>
        <v>0.982009705290567</v>
      </c>
      <c r="Q47" s="181" t="n">
        <f aca="false">TblExplore[[#This Row],[Land]]</f>
        <v>530</v>
      </c>
      <c r="R47" s="170" t="n">
        <f aca="false">TblExplore[[#This Row],[Hour]]</f>
        <v>44</v>
      </c>
      <c r="S47" s="248"/>
      <c r="T47" s="182"/>
      <c r="U47" s="182"/>
      <c r="V47" s="182"/>
      <c r="W47" s="182"/>
      <c r="X47" s="182"/>
      <c r="Y47" s="182"/>
      <c r="Z47" s="182"/>
      <c r="AA47" s="153" t="n">
        <f aca="false">TblImps[[#This Row],[Real time]]</f>
        <v>45431.5416666667</v>
      </c>
      <c r="AB47" s="69" t="n">
        <f aca="false">TblMili[[#This Row],[Draftees]]</f>
        <v>8</v>
      </c>
      <c r="AC47" s="69" t="n">
        <f aca="false">TblProd[[#This Row],[Platinum]]</f>
        <v>95998</v>
      </c>
      <c r="AD47" s="245"/>
      <c r="AE47" s="151" t="n">
        <f aca="false">TblExplore[[#This Row],[Land]]-TblExplore[[#This Row],[Land Bonus]]*20</f>
        <v>530</v>
      </c>
      <c r="AF47" s="69" t="n">
        <f aca="false">ROUND(MAX(0.6*TblExplore[[#This Row],[Land-DB]]^1.299,850)*(1+ tech_2_6*Techs!AC47 + tech_2_9*Techs!AF47 + tech_3_7*Techs!AN47 + Overview!$I$32),0)</f>
        <v>2075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1</v>
      </c>
    </row>
    <row r="48" customFormat="false" ht="12.75" hidden="false" customHeight="false" outlineLevel="0" collapsed="false">
      <c r="A48" s="170" t="n">
        <f aca="false">TblRezone[[#This Row],[Hour]]</f>
        <v>45</v>
      </c>
      <c r="B48" s="181" t="n">
        <f aca="false">TblConstr[[#This Row],[Land]]</f>
        <v>540</v>
      </c>
      <c r="C48" s="245"/>
      <c r="D48" s="246" t="n">
        <f aca="false">TblConstr[[#This Row],[Plain]]</f>
        <v>0</v>
      </c>
      <c r="E48" s="193" t="n">
        <f aca="false">TblConstr[[#This Row],[Forest]]</f>
        <v>0</v>
      </c>
      <c r="F48" s="200" t="n">
        <f aca="false">TblConstr[[#This Row],[Mountain]]</f>
        <v>0</v>
      </c>
      <c r="G48" s="201" t="n">
        <f aca="false">TblConstr[[#This Row],[Hill]]</f>
        <v>0</v>
      </c>
      <c r="H48" s="202" t="n">
        <f aca="false">TblConstr[[#This Row],[Swamp]]</f>
        <v>0</v>
      </c>
      <c r="I48" s="197" t="n">
        <f aca="false">TblConstr[[#This Row],[Cavern]]</f>
        <v>0</v>
      </c>
      <c r="J48" s="198" t="n">
        <f aca="false">TblConstr[[#This Row],[Water]]</f>
        <v>0</v>
      </c>
      <c r="K48" s="4"/>
      <c r="L48" s="4"/>
      <c r="M48" s="4"/>
      <c r="N48" s="247" t="n">
        <f aca="false">TblMili[[#This Row],[Smithies]]</f>
        <v>0</v>
      </c>
      <c r="O48" s="247" t="n">
        <f aca="false">TblPop[[#This Row],[Employment]]</f>
        <v>0.988378917713347</v>
      </c>
      <c r="P48" s="247" t="n">
        <f aca="false">TblImps[[#This Row],[Population]]</f>
        <v>1</v>
      </c>
      <c r="Q48" s="181" t="n">
        <f aca="false">TblExplore[[#This Row],[Land]]</f>
        <v>540</v>
      </c>
      <c r="R48" s="170" t="n">
        <f aca="false">TblExplore[[#This Row],[Hour]]</f>
        <v>45</v>
      </c>
      <c r="S48" s="248"/>
      <c r="T48" s="182"/>
      <c r="U48" s="182"/>
      <c r="V48" s="182"/>
      <c r="W48" s="182"/>
      <c r="X48" s="182"/>
      <c r="Y48" s="182"/>
      <c r="Z48" s="182"/>
      <c r="AA48" s="153" t="n">
        <f aca="false">TblImps[[#This Row],[Real time]]</f>
        <v>45431.5833333333</v>
      </c>
      <c r="AB48" s="69" t="n">
        <f aca="false">TblMili[[#This Row],[Draftees]]</f>
        <v>91</v>
      </c>
      <c r="AC48" s="69" t="n">
        <f aca="false">TblProd[[#This Row],[Platinum]]</f>
        <v>130185</v>
      </c>
      <c r="AD48" s="245"/>
      <c r="AE48" s="151" t="n">
        <f aca="false">TblExplore[[#This Row],[Land]]-TblExplore[[#This Row],[Land Bonus]]*20</f>
        <v>540</v>
      </c>
      <c r="AF48" s="69" t="n">
        <f aca="false">ROUND(MAX(0.6*TblExplore[[#This Row],[Land-DB]]^1.299,850)*(1+ tech_2_6*Techs!AC48 + tech_2_9*Techs!AF48 + tech_3_7*Techs!AN48 + Overview!$I$32),0)</f>
        <v>2126</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15</v>
      </c>
    </row>
    <row r="49" customFormat="false" ht="12.75" hidden="false" customHeight="false" outlineLevel="0" collapsed="false">
      <c r="A49" s="170" t="n">
        <f aca="false">TblRezone[[#This Row],[Hour]]</f>
        <v>46</v>
      </c>
      <c r="B49" s="181" t="n">
        <f aca="false">TblConstr[[#This Row],[Land]]</f>
        <v>551</v>
      </c>
      <c r="C49" s="245"/>
      <c r="D49" s="246" t="n">
        <f aca="false">TblConstr[[#This Row],[Plain]]</f>
        <v>0</v>
      </c>
      <c r="E49" s="193" t="n">
        <f aca="false">TblConstr[[#This Row],[Forest]]</f>
        <v>0</v>
      </c>
      <c r="F49" s="200" t="n">
        <f aca="false">TblConstr[[#This Row],[Mountain]]</f>
        <v>0</v>
      </c>
      <c r="G49" s="201" t="n">
        <f aca="false">TblConstr[[#This Row],[Hill]]</f>
        <v>0</v>
      </c>
      <c r="H49" s="202" t="n">
        <f aca="false">TblConstr[[#This Row],[Swamp]]</f>
        <v>0</v>
      </c>
      <c r="I49" s="197" t="n">
        <f aca="false">TblConstr[[#This Row],[Cavern]]</f>
        <v>0</v>
      </c>
      <c r="J49" s="198" t="n">
        <f aca="false">TblConstr[[#This Row],[Water]]</f>
        <v>0</v>
      </c>
      <c r="K49" s="4"/>
      <c r="L49" s="4"/>
      <c r="M49" s="4"/>
      <c r="N49" s="247" t="n">
        <f aca="false">TblMili[[#This Row],[Smithies]]</f>
        <v>0</v>
      </c>
      <c r="O49" s="247" t="n">
        <f aca="false">TblPop[[#This Row],[Employment]]</f>
        <v>0.984187885129636</v>
      </c>
      <c r="P49" s="247" t="n">
        <f aca="false">TblImps[[#This Row],[Population]]</f>
        <v>1</v>
      </c>
      <c r="Q49" s="181" t="n">
        <f aca="false">TblExplore[[#This Row],[Land]]</f>
        <v>551</v>
      </c>
      <c r="R49" s="170" t="n">
        <f aca="false">TblExplore[[#This Row],[Hour]]</f>
        <v>46</v>
      </c>
      <c r="S49" s="248"/>
      <c r="T49" s="182"/>
      <c r="U49" s="182"/>
      <c r="V49" s="182"/>
      <c r="W49" s="182"/>
      <c r="X49" s="182"/>
      <c r="Y49" s="182"/>
      <c r="Z49" s="182"/>
      <c r="AA49" s="153" t="n">
        <f aca="false">TblImps[[#This Row],[Real time]]</f>
        <v>45431.625</v>
      </c>
      <c r="AB49" s="69" t="n">
        <f aca="false">TblMili[[#This Row],[Draftees]]</f>
        <v>176</v>
      </c>
      <c r="AC49" s="69" t="n">
        <f aca="false">TblProd[[#This Row],[Platinum]]</f>
        <v>164221</v>
      </c>
      <c r="AD49" s="245"/>
      <c r="AE49" s="151" t="n">
        <f aca="false">TblExplore[[#This Row],[Land]]-TblExplore[[#This Row],[Land Bonus]]*20</f>
        <v>551</v>
      </c>
      <c r="AF49" s="69" t="n">
        <f aca="false">ROUND(MAX(0.6*TblExplore[[#This Row],[Land-DB]]^1.299,850)*(1+ tech_2_6*Techs!AC49 + tech_2_9*Techs!AF49 + tech_3_7*Techs!AN49 + Overview!$I$32),0)</f>
        <v>2182</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29</v>
      </c>
    </row>
    <row r="50" customFormat="false" ht="12.75" hidden="false" customHeight="false" outlineLevel="0" collapsed="false">
      <c r="A50" s="170" t="n">
        <f aca="false">TblRezone[[#This Row],[Hour]]</f>
        <v>47</v>
      </c>
      <c r="B50" s="181" t="n">
        <f aca="false">TblConstr[[#This Row],[Land]]</f>
        <v>563</v>
      </c>
      <c r="C50" s="245"/>
      <c r="D50" s="246" t="n">
        <f aca="false">TblConstr[[#This Row],[Plain]]</f>
        <v>0</v>
      </c>
      <c r="E50" s="193" t="n">
        <f aca="false">TblConstr[[#This Row],[Forest]]</f>
        <v>0</v>
      </c>
      <c r="F50" s="200" t="n">
        <f aca="false">TblConstr[[#This Row],[Mountain]]</f>
        <v>0</v>
      </c>
      <c r="G50" s="201" t="n">
        <f aca="false">TblConstr[[#This Row],[Hill]]</f>
        <v>0</v>
      </c>
      <c r="H50" s="202" t="n">
        <f aca="false">TblConstr[[#This Row],[Swamp]]</f>
        <v>0</v>
      </c>
      <c r="I50" s="197" t="n">
        <f aca="false">TblConstr[[#This Row],[Cavern]]</f>
        <v>0</v>
      </c>
      <c r="J50" s="198" t="n">
        <f aca="false">TblConstr[[#This Row],[Water]]</f>
        <v>0</v>
      </c>
      <c r="K50" s="4"/>
      <c r="L50" s="4"/>
      <c r="M50" s="4"/>
      <c r="N50" s="247" t="n">
        <f aca="false">TblMili[[#This Row],[Smithies]]</f>
        <v>0</v>
      </c>
      <c r="O50" s="247" t="n">
        <f aca="false">TblPop[[#This Row],[Employment]]</f>
        <v>1</v>
      </c>
      <c r="P50" s="247" t="n">
        <f aca="false">TblImps[[#This Row],[Population]]</f>
        <v>1</v>
      </c>
      <c r="Q50" s="181" t="n">
        <f aca="false">TblExplore[[#This Row],[Land]]</f>
        <v>563</v>
      </c>
      <c r="R50" s="170" t="n">
        <f aca="false">TblExplore[[#This Row],[Hour]]</f>
        <v>47</v>
      </c>
      <c r="S50" s="248"/>
      <c r="T50" s="182"/>
      <c r="U50" s="182"/>
      <c r="V50" s="182"/>
      <c r="W50" s="182"/>
      <c r="X50" s="182"/>
      <c r="Y50" s="182"/>
      <c r="Z50" s="182"/>
      <c r="AA50" s="153" t="n">
        <f aca="false">TblImps[[#This Row],[Real time]]</f>
        <v>45431.6666666667</v>
      </c>
      <c r="AB50" s="69" t="n">
        <f aca="false">TblMili[[#This Row],[Draftees]]</f>
        <v>262</v>
      </c>
      <c r="AC50" s="69" t="n">
        <f aca="false">TblProd[[#This Row],[Platinum]]</f>
        <v>197828</v>
      </c>
      <c r="AD50" s="245"/>
      <c r="AE50" s="151" t="n">
        <f aca="false">TblExplore[[#This Row],[Land]]-TblExplore[[#This Row],[Land Bonus]]*20</f>
        <v>563</v>
      </c>
      <c r="AF50" s="69" t="n">
        <f aca="false">ROUND(MAX(0.6*TblExplore[[#This Row],[Land-DB]]^1.299,850)*(1+ tech_2_6*Techs!AC50 + tech_2_9*Techs!AF50 + tech_3_7*Techs!AN50 + Overview!$I$32),0)</f>
        <v>2244</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43</v>
      </c>
    </row>
    <row r="51" customFormat="false" ht="12.75" hidden="false" customHeight="false" outlineLevel="0" collapsed="false">
      <c r="A51" s="170" t="n">
        <f aca="false">TblRezone[[#This Row],[Hour]]</f>
        <v>48</v>
      </c>
      <c r="B51" s="181" t="n">
        <f aca="false">TblConstr[[#This Row],[Land]]</f>
        <v>596</v>
      </c>
      <c r="C51" s="245"/>
      <c r="D51" s="246" t="n">
        <f aca="false">TblConstr[[#This Row],[Plain]]</f>
        <v>0</v>
      </c>
      <c r="E51" s="193" t="n">
        <f aca="false">TblConstr[[#This Row],[Forest]]</f>
        <v>0</v>
      </c>
      <c r="F51" s="200" t="n">
        <f aca="false">TblConstr[[#This Row],[Mountain]]</f>
        <v>0</v>
      </c>
      <c r="G51" s="201" t="n">
        <f aca="false">TblConstr[[#This Row],[Hill]]</f>
        <v>0</v>
      </c>
      <c r="H51" s="202" t="n">
        <f aca="false">TblConstr[[#This Row],[Swamp]]</f>
        <v>0</v>
      </c>
      <c r="I51" s="197" t="n">
        <f aca="false">TblConstr[[#This Row],[Cavern]]</f>
        <v>0</v>
      </c>
      <c r="J51" s="198" t="n">
        <f aca="false">TblConstr[[#This Row],[Water]]</f>
        <v>0</v>
      </c>
      <c r="K51" s="4"/>
      <c r="L51" s="4"/>
      <c r="M51" s="4"/>
      <c r="N51" s="247" t="n">
        <f aca="false">TblMili[[#This Row],[Smithies]]</f>
        <v>0</v>
      </c>
      <c r="O51" s="247" t="n">
        <f aca="false">TblPop[[#This Row],[Employment]]</f>
        <v>0.989216799091941</v>
      </c>
      <c r="P51" s="247" t="n">
        <f aca="false">TblImps[[#This Row],[Population]]</f>
        <v>1</v>
      </c>
      <c r="Q51" s="181" t="n">
        <f aca="false">TblExplore[[#This Row],[Land]]</f>
        <v>596</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349</v>
      </c>
      <c r="AC51" s="69" t="n">
        <f aca="false">TblProd[[#This Row],[Platinum]]</f>
        <v>256520</v>
      </c>
      <c r="AD51" s="245"/>
      <c r="AE51" s="151" t="n">
        <f aca="false">TblExplore[[#This Row],[Land]]-TblExplore[[#This Row],[Land Bonus]]*20</f>
        <v>576</v>
      </c>
      <c r="AF51" s="69" t="n">
        <f aca="false">ROUND(MAX(0.6*TblExplore[[#This Row],[Land-DB]]^1.299,850)*(1+ tech_2_6*Techs!AC51 + tech_2_9*Techs!AF51 + tech_3_7*Techs!AN51 + Overview!$I$32),0)</f>
        <v>2312</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58</v>
      </c>
    </row>
    <row r="52" customFormat="false" ht="12.75" hidden="false" customHeight="false" outlineLevel="0" collapsed="false">
      <c r="A52" s="170" t="n">
        <f aca="false">TblRezone[[#This Row],[Hour]]</f>
        <v>49</v>
      </c>
      <c r="B52" s="181" t="n">
        <f aca="false">TblConstr[[#This Row],[Land]]</f>
        <v>629</v>
      </c>
      <c r="C52" s="245"/>
      <c r="D52" s="246" t="n">
        <f aca="false">TblConstr[[#This Row],[Plain]]</f>
        <v>0</v>
      </c>
      <c r="E52" s="193" t="n">
        <f aca="false">TblConstr[[#This Row],[Forest]]</f>
        <v>0</v>
      </c>
      <c r="F52" s="200" t="n">
        <f aca="false">TblConstr[[#This Row],[Mountain]]</f>
        <v>0</v>
      </c>
      <c r="G52" s="201" t="n">
        <f aca="false">TblConstr[[#This Row],[Hill]]</f>
        <v>0</v>
      </c>
      <c r="H52" s="202" t="n">
        <f aca="false">TblConstr[[#This Row],[Swamp]]</f>
        <v>0</v>
      </c>
      <c r="I52" s="197" t="n">
        <f aca="false">TblConstr[[#This Row],[Cavern]]</f>
        <v>0</v>
      </c>
      <c r="J52" s="198" t="n">
        <f aca="false">TblConstr[[#This Row],[Water]]</f>
        <v>0</v>
      </c>
      <c r="K52" s="4"/>
      <c r="L52" s="257"/>
      <c r="M52" s="258"/>
      <c r="N52" s="247" t="n">
        <f aca="false">TblMili[[#This Row],[Smithies]]</f>
        <v>0</v>
      </c>
      <c r="O52" s="247" t="n">
        <f aca="false">TblPop[[#This Row],[Employment]]</f>
        <v>0.943590298830663</v>
      </c>
      <c r="P52" s="247" t="n">
        <f aca="false">TblImps[[#This Row],[Population]]</f>
        <v>0.998039620305407</v>
      </c>
      <c r="Q52" s="181" t="n">
        <f aca="false">TblExplore[[#This Row],[Land]]</f>
        <v>629</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437</v>
      </c>
      <c r="AC52" s="69" t="n">
        <f aca="false">TblProd[[#This Row],[Platinum]]</f>
        <v>279495</v>
      </c>
      <c r="AD52" s="245"/>
      <c r="AE52" s="151" t="n">
        <f aca="false">TblExplore[[#This Row],[Land]]-TblExplore[[#This Row],[Land Bonus]]*20</f>
        <v>609</v>
      </c>
      <c r="AF52" s="69" t="n">
        <f aca="false">ROUND(MAX(0.6*TblExplore[[#This Row],[Land-DB]]^1.299,850)*(1+ tech_2_6*Techs!AC52 + tech_2_9*Techs!AF52 + tech_3_7*Techs!AN52 + Overview!$I$32),0)</f>
        <v>2485</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72</v>
      </c>
    </row>
    <row r="53" customFormat="false" ht="12.75" hidden="false" customHeight="false" outlineLevel="0" collapsed="false">
      <c r="A53" s="170" t="n">
        <f aca="false">TblRezone[[#This Row],[Hour]]</f>
        <v>50</v>
      </c>
      <c r="B53" s="181" t="n">
        <f aca="false">TblConstr[[#This Row],[Land]]</f>
        <v>642</v>
      </c>
      <c r="C53" s="245"/>
      <c r="D53" s="246" t="n">
        <f aca="false">TblConstr[[#This Row],[Plain]]</f>
        <v>0</v>
      </c>
      <c r="E53" s="193" t="n">
        <f aca="false">TblConstr[[#This Row],[Forest]]</f>
        <v>0</v>
      </c>
      <c r="F53" s="200" t="n">
        <f aca="false">TblConstr[[#This Row],[Mountain]]</f>
        <v>0</v>
      </c>
      <c r="G53" s="201" t="n">
        <f aca="false">TblConstr[[#This Row],[Hill]]</f>
        <v>0</v>
      </c>
      <c r="H53" s="202" t="n">
        <f aca="false">TblConstr[[#This Row],[Swamp]]</f>
        <v>0</v>
      </c>
      <c r="I53" s="197" t="n">
        <f aca="false">TblConstr[[#This Row],[Cavern]]</f>
        <v>0</v>
      </c>
      <c r="J53" s="198" t="n">
        <f aca="false">TblConstr[[#This Row],[Water]]</f>
        <v>0</v>
      </c>
      <c r="K53" s="4"/>
      <c r="L53" s="259"/>
      <c r="M53" s="258"/>
      <c r="N53" s="247" t="n">
        <f aca="false">TblMili[[#This Row],[Smithies]]</f>
        <v>0</v>
      </c>
      <c r="O53" s="247" t="n">
        <f aca="false">TblPop[[#This Row],[Employment]]</f>
        <v>0.900682100041339</v>
      </c>
      <c r="P53" s="247" t="n">
        <f aca="false">TblImps[[#This Row],[Population]]</f>
        <v>0.998141627543036</v>
      </c>
      <c r="Q53" s="181" t="n">
        <f aca="false">TblExplore[[#This Row],[Land]]</f>
        <v>642</v>
      </c>
      <c r="R53" s="170" t="n">
        <f aca="false">TblExplore[[#This Row],[Hour]]</f>
        <v>50</v>
      </c>
      <c r="S53" s="248"/>
      <c r="T53" s="182"/>
      <c r="U53" s="182"/>
      <c r="V53" s="182"/>
      <c r="W53" s="182"/>
      <c r="X53" s="182"/>
      <c r="Y53" s="182"/>
      <c r="Z53" s="182"/>
      <c r="AA53" s="153" t="n">
        <f aca="false">TblImps[[#This Row],[Real time]]</f>
        <v>45431.7916666667</v>
      </c>
      <c r="AB53" s="69" t="n">
        <f aca="false">TblMili[[#This Row],[Draftees]]</f>
        <v>529</v>
      </c>
      <c r="AC53" s="69" t="n">
        <f aca="false">TblProd[[#This Row],[Platinum]]</f>
        <v>312829</v>
      </c>
      <c r="AD53" s="245"/>
      <c r="AE53" s="151" t="n">
        <f aca="false">TblExplore[[#This Row],[Land]]-TblExplore[[#This Row],[Land Bonus]]*20</f>
        <v>642</v>
      </c>
      <c r="AF53" s="69" t="n">
        <f aca="false">ROUND(MAX(0.6*TblExplore[[#This Row],[Land-DB]]^1.299,850)*(1+ tech_2_6*Techs!AC53 + tech_2_9*Techs!AF53 + tech_3_7*Techs!AN53 + Overview!$I$32),0)</f>
        <v>2662</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75</v>
      </c>
    </row>
    <row r="54" customFormat="false" ht="12.75" hidden="false" customHeight="false" outlineLevel="0" collapsed="false">
      <c r="A54" s="170" t="n">
        <f aca="false">TblRezone[[#This Row],[Hour]]</f>
        <v>51</v>
      </c>
      <c r="B54" s="181" t="n">
        <f aca="false">TblConstr[[#This Row],[Land]]</f>
        <v>656</v>
      </c>
      <c r="C54" s="245"/>
      <c r="D54" s="246" t="n">
        <f aca="false">TblConstr[[#This Row],[Plain]]</f>
        <v>0</v>
      </c>
      <c r="E54" s="193" t="n">
        <f aca="false">TblConstr[[#This Row],[Forest]]</f>
        <v>0</v>
      </c>
      <c r="F54" s="200" t="n">
        <f aca="false">TblConstr[[#This Row],[Mountain]]</f>
        <v>0</v>
      </c>
      <c r="G54" s="201" t="n">
        <f aca="false">TblConstr[[#This Row],[Hill]]</f>
        <v>0</v>
      </c>
      <c r="H54" s="202" t="n">
        <f aca="false">TblConstr[[#This Row],[Swamp]]</f>
        <v>0</v>
      </c>
      <c r="I54" s="197" t="n">
        <f aca="false">TblConstr[[#This Row],[Cavern]]</f>
        <v>0</v>
      </c>
      <c r="J54" s="198" t="n">
        <f aca="false">TblConstr[[#This Row],[Water]]</f>
        <v>0</v>
      </c>
      <c r="K54" s="4"/>
      <c r="L54" s="260" t="s">
        <v>368</v>
      </c>
      <c r="M54" s="261" t="s">
        <v>369</v>
      </c>
      <c r="N54" s="247" t="n">
        <f aca="false">TblMili[[#This Row],[Smithies]]</f>
        <v>0</v>
      </c>
      <c r="O54" s="247" t="n">
        <f aca="false">TblPop[[#This Row],[Employment]]</f>
        <v>0.888017118402283</v>
      </c>
      <c r="P54" s="247" t="n">
        <f aca="false">TblImps[[#This Row],[Population]]</f>
        <v>1</v>
      </c>
      <c r="Q54" s="181" t="n">
        <f aca="false">TblExplore[[#This Row],[Land]]</f>
        <v>656</v>
      </c>
      <c r="R54" s="170" t="n">
        <f aca="false">TblExplore[[#This Row],[Hour]]</f>
        <v>51</v>
      </c>
      <c r="S54" s="248"/>
      <c r="T54" s="182"/>
      <c r="U54" s="182"/>
      <c r="V54" s="182"/>
      <c r="W54" s="182"/>
      <c r="X54" s="182"/>
      <c r="Y54" s="182"/>
      <c r="Z54" s="182"/>
      <c r="AA54" s="153" t="n">
        <f aca="false">TblImps[[#This Row],[Real time]]</f>
        <v>45431.8333333333</v>
      </c>
      <c r="AB54" s="69" t="n">
        <f aca="false">TblMili[[#This Row],[Draftees]]</f>
        <v>626</v>
      </c>
      <c r="AC54" s="69" t="n">
        <f aca="false">TblProd[[#This Row],[Platinum]]</f>
        <v>345529</v>
      </c>
      <c r="AD54" s="245"/>
      <c r="AE54" s="151" t="n">
        <f aca="false">TblExplore[[#This Row],[Land]]-TblExplore[[#This Row],[Land Bonus]]*20</f>
        <v>656</v>
      </c>
      <c r="AF54" s="69" t="n">
        <f aca="false">ROUND(MAX(0.6*TblExplore[[#This Row],[Land-DB]]^1.299,850)*(1+ tech_2_6*Techs!AC54 + tech_2_9*Techs!AF54 + tech_3_7*Techs!AN54 + Overview!$I$32),0)</f>
        <v>2737</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89</v>
      </c>
    </row>
    <row r="55" customFormat="false" ht="12.75" hidden="false" customHeight="false" outlineLevel="0" collapsed="false">
      <c r="A55" s="170" t="n">
        <f aca="false">TblRezone[[#This Row],[Hour]]</f>
        <v>52</v>
      </c>
      <c r="B55" s="181" t="n">
        <f aca="false">TblConstr[[#This Row],[Land]]</f>
        <v>669</v>
      </c>
      <c r="C55" s="245"/>
      <c r="D55" s="246" t="n">
        <f aca="false">TblConstr[[#This Row],[Plain]]</f>
        <v>0</v>
      </c>
      <c r="E55" s="193" t="n">
        <f aca="false">TblConstr[[#This Row],[Forest]]</f>
        <v>0</v>
      </c>
      <c r="F55" s="200" t="n">
        <f aca="false">TblConstr[[#This Row],[Mountain]]</f>
        <v>0</v>
      </c>
      <c r="G55" s="201" t="n">
        <f aca="false">TblConstr[[#This Row],[Hill]]</f>
        <v>0</v>
      </c>
      <c r="H55" s="202" t="n">
        <f aca="false">TblConstr[[#This Row],[Swamp]]</f>
        <v>0</v>
      </c>
      <c r="I55" s="197" t="n">
        <f aca="false">TblConstr[[#This Row],[Cavern]]</f>
        <v>0</v>
      </c>
      <c r="J55" s="198" t="n">
        <f aca="false">TblConstr[[#This Row],[Water]]</f>
        <v>0</v>
      </c>
      <c r="K55" s="4"/>
      <c r="L55" s="15" t="n">
        <v>4</v>
      </c>
      <c r="M55" s="17" t="n">
        <v>299</v>
      </c>
      <c r="N55" s="247" t="n">
        <f aca="false">TblMili[[#This Row],[Smithies]]</f>
        <v>0</v>
      </c>
      <c r="O55" s="247" t="n">
        <f aca="false">TblPop[[#This Row],[Employment]]</f>
        <v>1</v>
      </c>
      <c r="P55" s="247" t="n">
        <f aca="false">TblImps[[#This Row],[Population]]</f>
        <v>1</v>
      </c>
      <c r="Q55" s="181" t="n">
        <f aca="false">TblExplore[[#This Row],[Land]]</f>
        <v>669</v>
      </c>
      <c r="R55" s="170" t="n">
        <f aca="false">TblExplore[[#This Row],[Hour]]</f>
        <v>52</v>
      </c>
      <c r="S55" s="248"/>
      <c r="T55" s="182"/>
      <c r="U55" s="182"/>
      <c r="V55" s="182"/>
      <c r="W55" s="182"/>
      <c r="X55" s="182"/>
      <c r="Y55" s="182"/>
      <c r="Z55" s="182"/>
      <c r="AA55" s="153" t="n">
        <f aca="false">TblImps[[#This Row],[Real time]]</f>
        <v>45431.875</v>
      </c>
      <c r="AB55" s="69" t="n">
        <f aca="false">TblMili[[#This Row],[Draftees]]</f>
        <v>724</v>
      </c>
      <c r="AC55" s="69" t="n">
        <f aca="false">TblProd[[#This Row],[Platinum]]</f>
        <v>378694</v>
      </c>
      <c r="AD55" s="245"/>
      <c r="AE55" s="151" t="n">
        <f aca="false">TblExplore[[#This Row],[Land]]-TblExplore[[#This Row],[Land Bonus]]*20</f>
        <v>669</v>
      </c>
      <c r="AF55" s="69" t="n">
        <f aca="false">ROUND(MAX(0.6*TblExplore[[#This Row],[Land-DB]]^1.299,850)*(1+ tech_2_6*Techs!AC55 + tech_2_9*Techs!AF55 + tech_3_7*Techs!AN55 + Overview!$I$32),0)</f>
        <v>2808</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103</v>
      </c>
    </row>
    <row r="56" customFormat="false" ht="12.75" hidden="false" customHeight="false" outlineLevel="0" collapsed="false">
      <c r="A56" s="170" t="n">
        <f aca="false">TblRezone[[#This Row],[Hour]]</f>
        <v>53</v>
      </c>
      <c r="B56" s="181" t="n">
        <f aca="false">TblConstr[[#This Row],[Land]]</f>
        <v>680</v>
      </c>
      <c r="C56" s="245"/>
      <c r="D56" s="246" t="n">
        <f aca="false">TblConstr[[#This Row],[Plain]]</f>
        <v>0</v>
      </c>
      <c r="E56" s="193" t="n">
        <f aca="false">TblConstr[[#This Row],[Forest]]</f>
        <v>0</v>
      </c>
      <c r="F56" s="200" t="n">
        <f aca="false">TblConstr[[#This Row],[Mountain]]</f>
        <v>0</v>
      </c>
      <c r="G56" s="201" t="n">
        <f aca="false">TblConstr[[#This Row],[Hill]]</f>
        <v>0</v>
      </c>
      <c r="H56" s="202" t="n">
        <f aca="false">TblConstr[[#This Row],[Swamp]]</f>
        <v>0</v>
      </c>
      <c r="I56" s="197" t="n">
        <f aca="false">TblConstr[[#This Row],[Cavern]]</f>
        <v>0</v>
      </c>
      <c r="J56" s="198" t="n">
        <f aca="false">TblConstr[[#This Row],[Water]]</f>
        <v>0</v>
      </c>
      <c r="K56" s="4"/>
      <c r="L56" s="15" t="n">
        <v>5</v>
      </c>
      <c r="M56" s="17" t="n">
        <f aca="false">ROUNDDOWN(227.945*(L56+0.5 - 5)^0.934579 + 300,0)</f>
        <v>419</v>
      </c>
      <c r="N56" s="247" t="n">
        <f aca="false">TblMili[[#This Row],[Smithies]]</f>
        <v>0.0691176470588235</v>
      </c>
      <c r="O56" s="247" t="n">
        <f aca="false">TblPop[[#This Row],[Employment]]</f>
        <v>1</v>
      </c>
      <c r="P56" s="247" t="n">
        <f aca="false">TblImps[[#This Row],[Population]]</f>
        <v>1</v>
      </c>
      <c r="Q56" s="181" t="n">
        <f aca="false">TblExplore[[#This Row],[Land]]</f>
        <v>680</v>
      </c>
      <c r="R56" s="170" t="n">
        <f aca="false">TblExplore[[#This Row],[Hour]]</f>
        <v>53</v>
      </c>
      <c r="S56" s="248"/>
      <c r="T56" s="182"/>
      <c r="U56" s="182"/>
      <c r="V56" s="182"/>
      <c r="W56" s="182"/>
      <c r="X56" s="182"/>
      <c r="Y56" s="182"/>
      <c r="Z56" s="182"/>
      <c r="AA56" s="153" t="n">
        <f aca="false">TblImps[[#This Row],[Real time]]</f>
        <v>45431.9166666667</v>
      </c>
      <c r="AB56" s="69" t="n">
        <f aca="false">TblMili[[#This Row],[Draftees]]</f>
        <v>823</v>
      </c>
      <c r="AC56" s="69" t="n">
        <f aca="false">TblProd[[#This Row],[Platinum]]</f>
        <v>418640</v>
      </c>
      <c r="AD56" s="245"/>
      <c r="AE56" s="151" t="n">
        <f aca="false">TblExplore[[#This Row],[Land]]-TblExplore[[#This Row],[Land Bonus]]*20</f>
        <v>680</v>
      </c>
      <c r="AF56" s="69" t="n">
        <f aca="false">ROUND(MAX(0.6*TblExplore[[#This Row],[Land-DB]]^1.299,850)*(1+ tech_2_6*Techs!AC56 + tech_2_9*Techs!AF56 + tech_3_7*Techs!AN56 + Overview!$I$32),0)</f>
        <v>2868</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117</v>
      </c>
    </row>
    <row r="57" customFormat="false" ht="12.75" hidden="false" customHeight="false" outlineLevel="0" collapsed="false">
      <c r="A57" s="170" t="n">
        <f aca="false">TblRezone[[#This Row],[Hour]]</f>
        <v>54</v>
      </c>
      <c r="B57" s="181" t="n">
        <f aca="false">TblConstr[[#This Row],[Land]]</f>
        <v>692</v>
      </c>
      <c r="C57" s="245"/>
      <c r="D57" s="246" t="n">
        <f aca="false">TblConstr[[#This Row],[Plain]]</f>
        <v>0</v>
      </c>
      <c r="E57" s="193" t="n">
        <f aca="false">TblConstr[[#This Row],[Forest]]</f>
        <v>0</v>
      </c>
      <c r="F57" s="200" t="n">
        <f aca="false">TblConstr[[#This Row],[Mountain]]</f>
        <v>0</v>
      </c>
      <c r="G57" s="201" t="n">
        <f aca="false">TblConstr[[#This Row],[Hill]]</f>
        <v>0</v>
      </c>
      <c r="H57" s="202" t="n">
        <f aca="false">TblConstr[[#This Row],[Swamp]]</f>
        <v>0</v>
      </c>
      <c r="I57" s="197" t="n">
        <f aca="false">TblConstr[[#This Row],[Cavern]]</f>
        <v>0</v>
      </c>
      <c r="J57" s="198" t="n">
        <f aca="false">TblConstr[[#This Row],[Water]]</f>
        <v>0</v>
      </c>
      <c r="K57" s="4"/>
      <c r="L57" s="15" t="n">
        <v>6</v>
      </c>
      <c r="M57" s="17" t="n">
        <f aca="false">ROUNDDOWN(227.945*(L57+0.5 - 5)^0.934579 + 300,0)</f>
        <v>632</v>
      </c>
      <c r="N57" s="247" t="n">
        <f aca="false">TblMili[[#This Row],[Smithies]]</f>
        <v>0.0794797687861272</v>
      </c>
      <c r="O57" s="247" t="n">
        <f aca="false">TblPop[[#This Row],[Employment]]</f>
        <v>1</v>
      </c>
      <c r="P57" s="247" t="n">
        <f aca="false">TblImps[[#This Row],[Population]]</f>
        <v>1</v>
      </c>
      <c r="Q57" s="181" t="n">
        <f aca="false">TblExplore[[#This Row],[Land]]</f>
        <v>692</v>
      </c>
      <c r="R57" s="170" t="n">
        <f aca="false">TblExplore[[#This Row],[Hour]]</f>
        <v>54</v>
      </c>
      <c r="S57" s="248"/>
      <c r="T57" s="182"/>
      <c r="U57" s="182"/>
      <c r="V57" s="182"/>
      <c r="W57" s="182"/>
      <c r="X57" s="182"/>
      <c r="Y57" s="182"/>
      <c r="Z57" s="182"/>
      <c r="AA57" s="153" t="n">
        <f aca="false">TblImps[[#This Row],[Real time]]</f>
        <v>45431.9583333333</v>
      </c>
      <c r="AB57" s="69" t="n">
        <f aca="false">TblMili[[#This Row],[Draftees]]</f>
        <v>923</v>
      </c>
      <c r="AC57" s="69" t="n">
        <f aca="false">TblProd[[#This Row],[Platinum]]</f>
        <v>458166</v>
      </c>
      <c r="AD57" s="245"/>
      <c r="AE57" s="151" t="n">
        <f aca="false">TblExplore[[#This Row],[Land]]-TblExplore[[#This Row],[Land Bonus]]*20</f>
        <v>692</v>
      </c>
      <c r="AF57" s="69" t="n">
        <f aca="false">ROUND(MAX(0.6*TblExplore[[#This Row],[Land-DB]]^1.299,850)*(1+ tech_2_6*Techs!AC57 + tech_2_9*Techs!AF57 + tech_3_7*Techs!AN57 + Overview!$I$32),0)</f>
        <v>2934</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131</v>
      </c>
    </row>
    <row r="58" customFormat="false" ht="12.75" hidden="false" customHeight="false" outlineLevel="0" collapsed="false">
      <c r="A58" s="170" t="n">
        <f aca="false">TblRezone[[#This Row],[Hour]]</f>
        <v>55</v>
      </c>
      <c r="B58" s="181" t="n">
        <f aca="false">TblConstr[[#This Row],[Land]]</f>
        <v>700</v>
      </c>
      <c r="C58" s="245"/>
      <c r="D58" s="246" t="n">
        <f aca="false">TblConstr[[#This Row],[Plain]]</f>
        <v>0</v>
      </c>
      <c r="E58" s="193" t="n">
        <f aca="false">TblConstr[[#This Row],[Forest]]</f>
        <v>0</v>
      </c>
      <c r="F58" s="200" t="n">
        <f aca="false">TblConstr[[#This Row],[Mountain]]</f>
        <v>0</v>
      </c>
      <c r="G58" s="201" t="n">
        <f aca="false">TblConstr[[#This Row],[Hill]]</f>
        <v>0</v>
      </c>
      <c r="H58" s="202" t="n">
        <f aca="false">TblConstr[[#This Row],[Swamp]]</f>
        <v>0</v>
      </c>
      <c r="I58" s="197" t="n">
        <f aca="false">TblConstr[[#This Row],[Cavern]]</f>
        <v>0</v>
      </c>
      <c r="J58" s="198" t="n">
        <f aca="false">TblConstr[[#This Row],[Water]]</f>
        <v>0</v>
      </c>
      <c r="K58" s="4"/>
      <c r="L58" s="15" t="n">
        <v>7</v>
      </c>
      <c r="M58" s="17" t="n">
        <f aca="false">ROUNDDOWN(227.945*(L58+0.5 - 5)^0.934579 + 300,0)</f>
        <v>836</v>
      </c>
      <c r="N58" s="247" t="n">
        <f aca="false">TblMili[[#This Row],[Smithies]]</f>
        <v>0.0914285714285714</v>
      </c>
      <c r="O58" s="247" t="n">
        <f aca="false">TblPop[[#This Row],[Employment]]</f>
        <v>1</v>
      </c>
      <c r="P58" s="247" t="n">
        <f aca="false">TblImps[[#This Row],[Population]]</f>
        <v>1</v>
      </c>
      <c r="Q58" s="181" t="n">
        <f aca="false">TblExplore[[#This Row],[Land]]</f>
        <v>700</v>
      </c>
      <c r="R58" s="170" t="n">
        <f aca="false">TblExplore[[#This Row],[Hour]]</f>
        <v>55</v>
      </c>
      <c r="S58" s="248"/>
      <c r="T58" s="182"/>
      <c r="U58" s="182"/>
      <c r="V58" s="182"/>
      <c r="W58" s="182"/>
      <c r="X58" s="182"/>
      <c r="Y58" s="182"/>
      <c r="Z58" s="182"/>
      <c r="AA58" s="153" t="n">
        <f aca="false">TblImps[[#This Row],[Real time]]</f>
        <v>45432</v>
      </c>
      <c r="AB58" s="69" t="n">
        <f aca="false">TblMili[[#This Row],[Draftees]]</f>
        <v>1024</v>
      </c>
      <c r="AC58" s="69" t="n">
        <f aca="false">TblProd[[#This Row],[Platinum]]</f>
        <v>500238</v>
      </c>
      <c r="AD58" s="245"/>
      <c r="AE58" s="151" t="n">
        <f aca="false">TblExplore[[#This Row],[Land]]-TblExplore[[#This Row],[Land Bonus]]*20</f>
        <v>700</v>
      </c>
      <c r="AF58" s="69" t="n">
        <f aca="false">ROUND(MAX(0.6*TblExplore[[#This Row],[Land-DB]]^1.299,850)*(1+ tech_2_6*Techs!AC58 + tech_2_9*Techs!AF58 + tech_3_7*Techs!AN58 + Overview!$I$32),0)</f>
        <v>2978</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146</v>
      </c>
    </row>
    <row r="59" customFormat="false" ht="12.75" hidden="false" customHeight="false" outlineLevel="0" collapsed="false">
      <c r="A59" s="170" t="n">
        <f aca="false">TblRezone[[#This Row],[Hour]]</f>
        <v>56</v>
      </c>
      <c r="B59" s="181" t="n">
        <f aca="false">TblConstr[[#This Row],[Land]]</f>
        <v>700</v>
      </c>
      <c r="C59" s="245"/>
      <c r="D59" s="246" t="n">
        <f aca="false">TblConstr[[#This Row],[Plain]]</f>
        <v>0</v>
      </c>
      <c r="E59" s="193" t="n">
        <f aca="false">TblConstr[[#This Row],[Forest]]</f>
        <v>0</v>
      </c>
      <c r="F59" s="200" t="n">
        <f aca="false">TblConstr[[#This Row],[Mountain]]</f>
        <v>0</v>
      </c>
      <c r="G59" s="201" t="n">
        <f aca="false">TblConstr[[#This Row],[Hill]]</f>
        <v>0</v>
      </c>
      <c r="H59" s="202" t="n">
        <f aca="false">TblConstr[[#This Row],[Swamp]]</f>
        <v>0</v>
      </c>
      <c r="I59" s="197" t="n">
        <f aca="false">TblConstr[[#This Row],[Cavern]]</f>
        <v>0</v>
      </c>
      <c r="J59" s="198" t="n">
        <f aca="false">TblConstr[[#This Row],[Water]]</f>
        <v>0</v>
      </c>
      <c r="K59" s="4"/>
      <c r="L59" s="15" t="n">
        <v>8</v>
      </c>
      <c r="M59" s="17" t="n">
        <f aca="false">ROUNDDOWN(227.945*(L59+0.5 - 5)^0.934579 + 300,0)</f>
        <v>1035</v>
      </c>
      <c r="N59" s="247" t="n">
        <f aca="false">TblMili[[#This Row],[Smithies]]</f>
        <v>0.104285714285714</v>
      </c>
      <c r="O59" s="247" t="n">
        <f aca="false">TblPop[[#This Row],[Employment]]</f>
        <v>1</v>
      </c>
      <c r="P59" s="247" t="n">
        <f aca="false">TblImps[[#This Row],[Population]]</f>
        <v>1</v>
      </c>
      <c r="Q59" s="181" t="n">
        <f aca="false">TblExplore[[#This Row],[Land]]</f>
        <v>700</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1126</v>
      </c>
      <c r="AC59" s="69" t="n">
        <f aca="false">TblProd[[#This Row],[Platinum]]</f>
        <v>546753</v>
      </c>
      <c r="AD59" s="245"/>
      <c r="AE59" s="151" t="n">
        <f aca="false">TblExplore[[#This Row],[Land]]-TblExplore[[#This Row],[Land Bonus]]*20</f>
        <v>700</v>
      </c>
      <c r="AF59" s="69" t="n">
        <f aca="false">ROUND(MAX(0.6*TblExplore[[#This Row],[Land-DB]]^1.299,850)*(1+ tech_2_6*Techs!AC59 + tech_2_9*Techs!AF59 + tech_3_7*Techs!AN59 + Overview!$I$32),0)</f>
        <v>2978</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160</v>
      </c>
    </row>
    <row r="60" customFormat="false" ht="12.75" hidden="false" customHeight="false" outlineLevel="0" collapsed="false">
      <c r="A60" s="170" t="n">
        <f aca="false">TblRezone[[#This Row],[Hour]]</f>
        <v>57</v>
      </c>
      <c r="B60" s="181" t="n">
        <f aca="false">TblConstr[[#This Row],[Land]]</f>
        <v>700</v>
      </c>
      <c r="C60" s="245"/>
      <c r="D60" s="246" t="n">
        <f aca="false">TblConstr[[#This Row],[Plain]]</f>
        <v>0</v>
      </c>
      <c r="E60" s="193" t="n">
        <f aca="false">TblConstr[[#This Row],[Forest]]</f>
        <v>0</v>
      </c>
      <c r="F60" s="200" t="n">
        <f aca="false">TblConstr[[#This Row],[Mountain]]</f>
        <v>0</v>
      </c>
      <c r="G60" s="201" t="n">
        <f aca="false">TblConstr[[#This Row],[Hill]]</f>
        <v>0</v>
      </c>
      <c r="H60" s="202" t="n">
        <f aca="false">TblConstr[[#This Row],[Swamp]]</f>
        <v>0</v>
      </c>
      <c r="I60" s="197" t="n">
        <f aca="false">TblConstr[[#This Row],[Cavern]]</f>
        <v>0</v>
      </c>
      <c r="J60" s="198" t="n">
        <f aca="false">TblConstr[[#This Row],[Water]]</f>
        <v>0</v>
      </c>
      <c r="K60" s="4"/>
      <c r="L60" s="15" t="n">
        <v>9</v>
      </c>
      <c r="M60" s="17" t="n">
        <f aca="false">ROUNDDOWN(227.945*(L60+0.5 - 5)^0.934579 + 300,0)</f>
        <v>1229</v>
      </c>
      <c r="N60" s="247" t="n">
        <f aca="false">TblMili[[#This Row],[Smithies]]</f>
        <v>0.117142857142857</v>
      </c>
      <c r="O60" s="247" t="n">
        <f aca="false">TblPop[[#This Row],[Employment]]</f>
        <v>1</v>
      </c>
      <c r="P60" s="247" t="n">
        <f aca="false">TblImps[[#This Row],[Population]]</f>
        <v>1</v>
      </c>
      <c r="Q60" s="181" t="n">
        <f aca="false">TblExplore[[#This Row],[Land]]</f>
        <v>700</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1228</v>
      </c>
      <c r="AC60" s="69" t="n">
        <f aca="false">TblProd[[#This Row],[Platinum]]</f>
        <v>593274</v>
      </c>
      <c r="AD60" s="245"/>
      <c r="AE60" s="151" t="n">
        <f aca="false">TblExplore[[#This Row],[Land]]-TblExplore[[#This Row],[Land Bonus]]*20</f>
        <v>700</v>
      </c>
      <c r="AF60" s="69" t="n">
        <f aca="false">ROUND(MAX(0.6*TblExplore[[#This Row],[Land-DB]]^1.299,850)*(1+ tech_2_6*Techs!AC60 + tech_2_9*Techs!AF60 + tech_3_7*Techs!AN60 + Overview!$I$32),0)</f>
        <v>2978</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175</v>
      </c>
    </row>
    <row r="61" customFormat="false" ht="12.75" hidden="false" customHeight="false" outlineLevel="0" collapsed="false">
      <c r="A61" s="170" t="n">
        <f aca="false">TblRezone[[#This Row],[Hour]]</f>
        <v>58</v>
      </c>
      <c r="B61" s="181" t="n">
        <f aca="false">TblConstr[[#This Row],[Land]]</f>
        <v>700</v>
      </c>
      <c r="C61" s="245"/>
      <c r="D61" s="246" t="n">
        <f aca="false">TblConstr[[#This Row],[Plain]]</f>
        <v>0</v>
      </c>
      <c r="E61" s="193" t="n">
        <f aca="false">TblConstr[[#This Row],[Forest]]</f>
        <v>0</v>
      </c>
      <c r="F61" s="200" t="n">
        <f aca="false">TblConstr[[#This Row],[Mountain]]</f>
        <v>0</v>
      </c>
      <c r="G61" s="201" t="n">
        <f aca="false">TblConstr[[#This Row],[Hill]]</f>
        <v>0</v>
      </c>
      <c r="H61" s="202" t="n">
        <f aca="false">TblConstr[[#This Row],[Swamp]]</f>
        <v>0</v>
      </c>
      <c r="I61" s="197" t="n">
        <f aca="false">TblConstr[[#This Row],[Cavern]]</f>
        <v>0</v>
      </c>
      <c r="J61" s="198" t="n">
        <f aca="false">TblConstr[[#This Row],[Water]]</f>
        <v>0</v>
      </c>
      <c r="K61" s="4"/>
      <c r="L61" s="15" t="n">
        <v>10</v>
      </c>
      <c r="M61" s="17" t="n">
        <f aca="false">ROUNDDOWN(227.945*(L61+0.5 - 5)^0.934579 + 300,0)</f>
        <v>1421</v>
      </c>
      <c r="N61" s="247" t="n">
        <f aca="false">TblMili[[#This Row],[Smithies]]</f>
        <v>0.131428571428571</v>
      </c>
      <c r="O61" s="247" t="n">
        <f aca="false">TblPop[[#This Row],[Employment]]</f>
        <v>1</v>
      </c>
      <c r="P61" s="247" t="n">
        <f aca="false">TblImps[[#This Row],[Population]]</f>
        <v>1</v>
      </c>
      <c r="Q61" s="181" t="n">
        <f aca="false">TblExplore[[#This Row],[Land]]</f>
        <v>700</v>
      </c>
      <c r="R61" s="170" t="n">
        <f aca="false">TblExplore[[#This Row],[Hour]]</f>
        <v>58</v>
      </c>
      <c r="S61" s="248"/>
      <c r="T61" s="182"/>
      <c r="U61" s="182"/>
      <c r="V61" s="182"/>
      <c r="W61" s="182"/>
      <c r="X61" s="182"/>
      <c r="Y61" s="182"/>
      <c r="Z61" s="182"/>
      <c r="AA61" s="153" t="n">
        <f aca="false">TblImps[[#This Row],[Real time]]</f>
        <v>45432.125</v>
      </c>
      <c r="AB61" s="69" t="n">
        <f aca="false">TblMili[[#This Row],[Draftees]]</f>
        <v>1329</v>
      </c>
      <c r="AC61" s="69" t="n">
        <f aca="false">TblProd[[#This Row],[Platinum]]</f>
        <v>639546</v>
      </c>
      <c r="AD61" s="245"/>
      <c r="AE61" s="151" t="n">
        <f aca="false">TblExplore[[#This Row],[Land]]-TblExplore[[#This Row],[Land Bonus]]*20</f>
        <v>700</v>
      </c>
      <c r="AF61" s="69" t="n">
        <f aca="false">ROUND(MAX(0.6*TblExplore[[#This Row],[Land-DB]]^1.299,850)*(1+ tech_2_6*Techs!AC61 + tech_2_9*Techs!AF61 + tech_3_7*Techs!AN61 + Overview!$I$32),0)</f>
        <v>2978</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189</v>
      </c>
    </row>
    <row r="62" customFormat="false" ht="12.75" hidden="false" customHeight="false" outlineLevel="0" collapsed="false">
      <c r="A62" s="170" t="n">
        <f aca="false">TblRezone[[#This Row],[Hour]]</f>
        <v>59</v>
      </c>
      <c r="B62" s="181" t="n">
        <f aca="false">TblConstr[[#This Row],[Land]]</f>
        <v>700</v>
      </c>
      <c r="C62" s="245"/>
      <c r="D62" s="246" t="n">
        <f aca="false">TblConstr[[#This Row],[Plain]]</f>
        <v>0</v>
      </c>
      <c r="E62" s="193" t="n">
        <f aca="false">TblConstr[[#This Row],[Forest]]</f>
        <v>0</v>
      </c>
      <c r="F62" s="200" t="n">
        <f aca="false">TblConstr[[#This Row],[Mountain]]</f>
        <v>0</v>
      </c>
      <c r="G62" s="201" t="n">
        <f aca="false">TblConstr[[#This Row],[Hill]]</f>
        <v>0</v>
      </c>
      <c r="H62" s="202" t="n">
        <f aca="false">TblConstr[[#This Row],[Swamp]]</f>
        <v>0</v>
      </c>
      <c r="I62" s="197" t="n">
        <f aca="false">TblConstr[[#This Row],[Cavern]]</f>
        <v>0</v>
      </c>
      <c r="J62" s="198" t="n">
        <f aca="false">TblConstr[[#This Row],[Water]]</f>
        <v>0</v>
      </c>
      <c r="K62" s="4"/>
      <c r="L62" s="15" t="n">
        <v>11</v>
      </c>
      <c r="M62" s="17" t="n">
        <f aca="false">ROUNDDOWN(227.945*(L62+0.5 - 5)^0.934579 + 300,0)</f>
        <v>1610</v>
      </c>
      <c r="N62" s="247" t="n">
        <f aca="false">TblMili[[#This Row],[Smithies]]</f>
        <v>0.145714285714286</v>
      </c>
      <c r="O62" s="247" t="n">
        <f aca="false">TblPop[[#This Row],[Employment]]</f>
        <v>1</v>
      </c>
      <c r="P62" s="247" t="n">
        <f aca="false">TblImps[[#This Row],[Population]]</f>
        <v>1</v>
      </c>
      <c r="Q62" s="181" t="n">
        <f aca="false">TblExplore[[#This Row],[Land]]</f>
        <v>700</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1429</v>
      </c>
      <c r="AC62" s="69" t="n">
        <f aca="false">TblProd[[#This Row],[Platinum]]</f>
        <v>685636</v>
      </c>
      <c r="AD62" s="245"/>
      <c r="AE62" s="151" t="n">
        <f aca="false">TblExplore[[#This Row],[Land]]-TblExplore[[#This Row],[Land Bonus]]*20</f>
        <v>700</v>
      </c>
      <c r="AF62" s="69" t="n">
        <f aca="false">ROUND(MAX(0.6*TblExplore[[#This Row],[Land-DB]]^1.299,850)*(1+ tech_2_6*Techs!AC62 + tech_2_9*Techs!AF62 + tech_3_7*Techs!AN62 + Overview!$I$32),0)</f>
        <v>2978</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204</v>
      </c>
    </row>
    <row r="63" customFormat="false" ht="12.75" hidden="false" customHeight="false" outlineLevel="0" collapsed="false">
      <c r="A63" s="170" t="n">
        <f aca="false">TblRezone[[#This Row],[Hour]]</f>
        <v>60</v>
      </c>
      <c r="B63" s="181" t="n">
        <f aca="false">TblConstr[[#This Row],[Land]]</f>
        <v>700</v>
      </c>
      <c r="C63" s="245"/>
      <c r="D63" s="246" t="n">
        <f aca="false">TblConstr[[#This Row],[Plain]]</f>
        <v>0</v>
      </c>
      <c r="E63" s="193" t="n">
        <f aca="false">TblConstr[[#This Row],[Forest]]</f>
        <v>0</v>
      </c>
      <c r="F63" s="200" t="n">
        <f aca="false">TblConstr[[#This Row],[Mountain]]</f>
        <v>0</v>
      </c>
      <c r="G63" s="201" t="n">
        <f aca="false">TblConstr[[#This Row],[Hill]]</f>
        <v>0</v>
      </c>
      <c r="H63" s="202" t="n">
        <f aca="false">TblConstr[[#This Row],[Swamp]]</f>
        <v>0</v>
      </c>
      <c r="I63" s="197" t="n">
        <f aca="false">TblConstr[[#This Row],[Cavern]]</f>
        <v>0</v>
      </c>
      <c r="J63" s="198" t="n">
        <f aca="false">TblConstr[[#This Row],[Water]]</f>
        <v>0</v>
      </c>
      <c r="K63" s="4"/>
      <c r="L63" s="15" t="n">
        <v>12</v>
      </c>
      <c r="M63" s="17" t="n">
        <f aca="false">ROUNDDOWN(227.945*(L63+0.5 - 5)^0.934579 + 300,0)</f>
        <v>1798</v>
      </c>
      <c r="N63" s="247" t="n">
        <f aca="false">TblMili[[#This Row],[Smithies]]</f>
        <v>0.162857142857143</v>
      </c>
      <c r="O63" s="247" t="n">
        <f aca="false">TblPop[[#This Row],[Employment]]</f>
        <v>1</v>
      </c>
      <c r="P63" s="247" t="n">
        <f aca="false">TblImps[[#This Row],[Population]]</f>
        <v>1</v>
      </c>
      <c r="Q63" s="181" t="n">
        <f aca="false">TblExplore[[#This Row],[Land]]</f>
        <v>700</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1528</v>
      </c>
      <c r="AC63" s="69" t="n">
        <f aca="false">TblProd[[#This Row],[Platinum]]</f>
        <v>731483</v>
      </c>
      <c r="AD63" s="245"/>
      <c r="AE63" s="151" t="n">
        <f aca="false">TblExplore[[#This Row],[Land]]-TblExplore[[#This Row],[Land Bonus]]*20</f>
        <v>700</v>
      </c>
      <c r="AF63" s="69" t="n">
        <f aca="false">ROUND(MAX(0.6*TblExplore[[#This Row],[Land-DB]]^1.299,850)*(1+ tech_2_6*Techs!AC63 + tech_2_9*Techs!AF63 + tech_3_7*Techs!AN63 + Overview!$I$32),0)</f>
        <v>2978</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218</v>
      </c>
    </row>
    <row r="64" customFormat="false" ht="12.75" hidden="false" customHeight="false" outlineLevel="0" collapsed="false">
      <c r="A64" s="170" t="n">
        <f aca="false">TblRezone[[#This Row],[Hour]]</f>
        <v>61</v>
      </c>
      <c r="B64" s="181" t="n">
        <f aca="false">TblConstr[[#This Row],[Land]]</f>
        <v>700</v>
      </c>
      <c r="C64" s="245"/>
      <c r="D64" s="246" t="n">
        <f aca="false">TblConstr[[#This Row],[Plain]]</f>
        <v>0</v>
      </c>
      <c r="E64" s="193" t="n">
        <f aca="false">TblConstr[[#This Row],[Forest]]</f>
        <v>0</v>
      </c>
      <c r="F64" s="200" t="n">
        <f aca="false">TblConstr[[#This Row],[Mountain]]</f>
        <v>0</v>
      </c>
      <c r="G64" s="201" t="n">
        <f aca="false">TblConstr[[#This Row],[Hill]]</f>
        <v>0</v>
      </c>
      <c r="H64" s="202" t="n">
        <f aca="false">TblConstr[[#This Row],[Swamp]]</f>
        <v>0</v>
      </c>
      <c r="I64" s="197" t="n">
        <f aca="false">TblConstr[[#This Row],[Cavern]]</f>
        <v>0</v>
      </c>
      <c r="J64" s="198" t="n">
        <f aca="false">TblConstr[[#This Row],[Water]]</f>
        <v>0</v>
      </c>
      <c r="K64" s="4"/>
      <c r="L64" s="15" t="n">
        <v>13</v>
      </c>
      <c r="M64" s="17" t="n">
        <f aca="false">ROUNDDOWN(227.945*(L64+0.5 - 5)^0.934579 + 300,0)</f>
        <v>1984</v>
      </c>
      <c r="N64" s="247" t="n">
        <f aca="false">TblMili[[#This Row],[Smithies]]</f>
        <v>0.18</v>
      </c>
      <c r="O64" s="247" t="n">
        <f aca="false">TblPop[[#This Row],[Employment]]</f>
        <v>1</v>
      </c>
      <c r="P64" s="247" t="n">
        <f aca="false">TblImps[[#This Row],[Population]]</f>
        <v>1</v>
      </c>
      <c r="Q64" s="181" t="n">
        <f aca="false">TblExplore[[#This Row],[Land]]</f>
        <v>700</v>
      </c>
      <c r="R64" s="170" t="n">
        <f aca="false">TblExplore[[#This Row],[Hour]]</f>
        <v>61</v>
      </c>
      <c r="S64" s="248"/>
      <c r="T64" s="182"/>
      <c r="U64" s="182"/>
      <c r="V64" s="182"/>
      <c r="W64" s="182"/>
      <c r="X64" s="182"/>
      <c r="Y64" s="182"/>
      <c r="Z64" s="182"/>
      <c r="AA64" s="153" t="n">
        <f aca="false">TblImps[[#This Row],[Real time]]</f>
        <v>45432.25</v>
      </c>
      <c r="AB64" s="69" t="n">
        <f aca="false">TblMili[[#This Row],[Draftees]]</f>
        <v>316</v>
      </c>
      <c r="AC64" s="69" t="n">
        <f aca="false">TblProd[[#This Row],[Platinum]]</f>
        <v>4808</v>
      </c>
      <c r="AD64" s="245"/>
      <c r="AE64" s="151" t="n">
        <f aca="false">TblExplore[[#This Row],[Land]]-TblExplore[[#This Row],[Land Bonus]]*20</f>
        <v>700</v>
      </c>
      <c r="AF64" s="69" t="n">
        <f aca="false">ROUND(MAX(0.6*TblExplore[[#This Row],[Land-DB]]^1.299,850)*(1+ tech_2_6*Techs!AC64 + tech_2_9*Techs!AF64 + tech_3_7*Techs!AN64 + Overview!$I$32),0)</f>
        <v>2978</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1</v>
      </c>
    </row>
    <row r="65" customFormat="false" ht="12.75" hidden="false" customHeight="false" outlineLevel="0" collapsed="false">
      <c r="A65" s="170" t="n">
        <f aca="false">TblRezone[[#This Row],[Hour]]</f>
        <v>62</v>
      </c>
      <c r="B65" s="181" t="n">
        <f aca="false">TblConstr[[#This Row],[Land]]</f>
        <v>700</v>
      </c>
      <c r="C65" s="245"/>
      <c r="D65" s="246" t="n">
        <f aca="false">TblConstr[[#This Row],[Plain]]</f>
        <v>0</v>
      </c>
      <c r="E65" s="193" t="n">
        <f aca="false">TblConstr[[#This Row],[Forest]]</f>
        <v>0</v>
      </c>
      <c r="F65" s="200" t="n">
        <f aca="false">TblConstr[[#This Row],[Mountain]]</f>
        <v>0</v>
      </c>
      <c r="G65" s="201" t="n">
        <f aca="false">TblConstr[[#This Row],[Hill]]</f>
        <v>0</v>
      </c>
      <c r="H65" s="202" t="n">
        <f aca="false">TblConstr[[#This Row],[Swamp]]</f>
        <v>0</v>
      </c>
      <c r="I65" s="197" t="n">
        <f aca="false">TblConstr[[#This Row],[Cavern]]</f>
        <v>0</v>
      </c>
      <c r="J65" s="198" t="n">
        <f aca="false">TblConstr[[#This Row],[Water]]</f>
        <v>0</v>
      </c>
      <c r="K65" s="4"/>
      <c r="L65" s="15" t="n">
        <v>14</v>
      </c>
      <c r="M65" s="17" t="n">
        <f aca="false">ROUNDDOWN(227.945*(L65+0.5 - 5)^0.934579 + 300,0)</f>
        <v>2168</v>
      </c>
      <c r="N65" s="247" t="n">
        <f aca="false">TblMili[[#This Row],[Smithies]]</f>
        <v>0.18</v>
      </c>
      <c r="O65" s="247" t="n">
        <f aca="false">TblPop[[#This Row],[Employment]]</f>
        <v>1</v>
      </c>
      <c r="P65" s="247" t="n">
        <f aca="false">TblImps[[#This Row],[Population]]</f>
        <v>1</v>
      </c>
      <c r="Q65" s="181" t="n">
        <f aca="false">TblExplore[[#This Row],[Land]]</f>
        <v>700</v>
      </c>
      <c r="R65" s="170" t="n">
        <f aca="false">TblExplore[[#This Row],[Hour]]</f>
        <v>62</v>
      </c>
      <c r="S65" s="248"/>
      <c r="T65" s="182"/>
      <c r="U65" s="182"/>
      <c r="V65" s="182"/>
      <c r="W65" s="182"/>
      <c r="X65" s="182"/>
      <c r="Y65" s="182"/>
      <c r="Z65" s="182"/>
      <c r="AA65" s="153" t="n">
        <f aca="false">TblImps[[#This Row],[Real time]]</f>
        <v>45432.2916666667</v>
      </c>
      <c r="AB65" s="69" t="n">
        <f aca="false">TblMili[[#This Row],[Draftees]]</f>
        <v>419</v>
      </c>
      <c r="AC65" s="69" t="n">
        <f aca="false">TblProd[[#This Row],[Platinum]]</f>
        <v>47244</v>
      </c>
      <c r="AD65" s="245"/>
      <c r="AE65" s="151" t="n">
        <f aca="false">TblExplore[[#This Row],[Land]]-TblExplore[[#This Row],[Land Bonus]]*20</f>
        <v>700</v>
      </c>
      <c r="AF65" s="69" t="n">
        <f aca="false">ROUND(MAX(0.6*TblExplore[[#This Row],[Land-DB]]^1.299,850)*(1+ tech_2_6*Techs!AC65 + tech_2_9*Techs!AF65 + tech_3_7*Techs!AN65 + Overview!$I$32),0)</f>
        <v>2978</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15</v>
      </c>
    </row>
    <row r="66" customFormat="false" ht="12.75" hidden="false" customHeight="false" outlineLevel="0" collapsed="false">
      <c r="A66" s="170" t="n">
        <f aca="false">TblRezone[[#This Row],[Hour]]</f>
        <v>63</v>
      </c>
      <c r="B66" s="181" t="n">
        <f aca="false">TblConstr[[#This Row],[Land]]</f>
        <v>700</v>
      </c>
      <c r="C66" s="245"/>
      <c r="D66" s="246" t="n">
        <f aca="false">TblConstr[[#This Row],[Plain]]</f>
        <v>0</v>
      </c>
      <c r="E66" s="193" t="n">
        <f aca="false">TblConstr[[#This Row],[Forest]]</f>
        <v>0</v>
      </c>
      <c r="F66" s="200" t="n">
        <f aca="false">TblConstr[[#This Row],[Mountain]]</f>
        <v>0</v>
      </c>
      <c r="G66" s="201" t="n">
        <f aca="false">TblConstr[[#This Row],[Hill]]</f>
        <v>0</v>
      </c>
      <c r="H66" s="202" t="n">
        <f aca="false">TblConstr[[#This Row],[Swamp]]</f>
        <v>0</v>
      </c>
      <c r="I66" s="197" t="n">
        <f aca="false">TblConstr[[#This Row],[Cavern]]</f>
        <v>0</v>
      </c>
      <c r="J66" s="198" t="n">
        <f aca="false">TblConstr[[#This Row],[Water]]</f>
        <v>0</v>
      </c>
      <c r="K66" s="4"/>
      <c r="L66" s="15" t="n">
        <v>15</v>
      </c>
      <c r="M66" s="17" t="n">
        <f aca="false">ROUNDDOWN(227.945*(L66+0.5 - 5)^0.934579 + 300,0)</f>
        <v>2352</v>
      </c>
      <c r="N66" s="247" t="n">
        <f aca="false">TblMili[[#This Row],[Smithies]]</f>
        <v>0.18</v>
      </c>
      <c r="O66" s="247" t="n">
        <f aca="false">TblPop[[#This Row],[Employment]]</f>
        <v>1</v>
      </c>
      <c r="P66" s="247" t="n">
        <f aca="false">TblImps[[#This Row],[Population]]</f>
        <v>1</v>
      </c>
      <c r="Q66" s="181" t="n">
        <f aca="false">TblExplore[[#This Row],[Land]]</f>
        <v>700</v>
      </c>
      <c r="R66" s="170" t="n">
        <f aca="false">TblExplore[[#This Row],[Hour]]</f>
        <v>63</v>
      </c>
      <c r="S66" s="248"/>
      <c r="T66" s="182"/>
      <c r="U66" s="182"/>
      <c r="V66" s="182"/>
      <c r="W66" s="182"/>
      <c r="X66" s="182"/>
      <c r="Y66" s="182"/>
      <c r="Z66" s="182"/>
      <c r="AA66" s="153" t="n">
        <f aca="false">TblImps[[#This Row],[Real time]]</f>
        <v>45432.3333333333</v>
      </c>
      <c r="AB66" s="69" t="n">
        <f aca="false">TblMili[[#This Row],[Draftees]]</f>
        <v>521</v>
      </c>
      <c r="AC66" s="69" t="n">
        <f aca="false">TblProd[[#This Row],[Platinum]]</f>
        <v>89119</v>
      </c>
      <c r="AD66" s="245"/>
      <c r="AE66" s="151" t="n">
        <f aca="false">TblExplore[[#This Row],[Land]]-TblExplore[[#This Row],[Land Bonus]]*20</f>
        <v>700</v>
      </c>
      <c r="AF66" s="69" t="n">
        <f aca="false">ROUND(MAX(0.6*TblExplore[[#This Row],[Land-DB]]^1.299,850)*(1+ tech_2_6*Techs!AC66 + tech_2_9*Techs!AF66 + tech_3_7*Techs!AN66 + Overview!$I$32),0)</f>
        <v>2978</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29</v>
      </c>
    </row>
    <row r="67" customFormat="false" ht="12.75" hidden="false" customHeight="false" outlineLevel="0" collapsed="false">
      <c r="A67" s="170" t="n">
        <f aca="false">TblRezone[[#This Row],[Hour]]</f>
        <v>64</v>
      </c>
      <c r="B67" s="181" t="n">
        <f aca="false">TblConstr[[#This Row],[Land]]</f>
        <v>700</v>
      </c>
      <c r="C67" s="245"/>
      <c r="D67" s="246" t="n">
        <f aca="false">TblConstr[[#This Row],[Plain]]</f>
        <v>0</v>
      </c>
      <c r="E67" s="193" t="n">
        <f aca="false">TblConstr[[#This Row],[Forest]]</f>
        <v>0</v>
      </c>
      <c r="F67" s="200" t="n">
        <f aca="false">TblConstr[[#This Row],[Mountain]]</f>
        <v>0</v>
      </c>
      <c r="G67" s="201" t="n">
        <f aca="false">TblConstr[[#This Row],[Hill]]</f>
        <v>0</v>
      </c>
      <c r="H67" s="202" t="n">
        <f aca="false">TblConstr[[#This Row],[Swamp]]</f>
        <v>0</v>
      </c>
      <c r="I67" s="197" t="n">
        <f aca="false">TblConstr[[#This Row],[Cavern]]</f>
        <v>0</v>
      </c>
      <c r="J67" s="198" t="n">
        <f aca="false">TblConstr[[#This Row],[Water]]</f>
        <v>0</v>
      </c>
      <c r="K67" s="4"/>
      <c r="L67" s="15" t="n">
        <v>16</v>
      </c>
      <c r="M67" s="17" t="n">
        <f aca="false">ROUNDDOWN(227.945*(L67+0.5 - 5)^0.934579 + 300,0)</f>
        <v>2534</v>
      </c>
      <c r="N67" s="247" t="n">
        <f aca="false">TblMili[[#This Row],[Smithies]]</f>
        <v>0.18</v>
      </c>
      <c r="O67" s="247" t="n">
        <f aca="false">TblPop[[#This Row],[Employment]]</f>
        <v>1</v>
      </c>
      <c r="P67" s="247" t="n">
        <f aca="false">TblImps[[#This Row],[Population]]</f>
        <v>1</v>
      </c>
      <c r="Q67" s="181" t="n">
        <f aca="false">TblExplore[[#This Row],[Land]]</f>
        <v>700</v>
      </c>
      <c r="R67" s="170" t="n">
        <f aca="false">TblExplore[[#This Row],[Hour]]</f>
        <v>64</v>
      </c>
      <c r="S67" s="248"/>
      <c r="T67" s="182"/>
      <c r="U67" s="182"/>
      <c r="V67" s="182"/>
      <c r="W67" s="182"/>
      <c r="X67" s="182"/>
      <c r="Y67" s="182"/>
      <c r="Z67" s="182"/>
      <c r="AA67" s="153" t="n">
        <f aca="false">TblImps[[#This Row],[Real time]]</f>
        <v>45432.375</v>
      </c>
      <c r="AB67" s="69" t="n">
        <f aca="false">TblMili[[#This Row],[Draftees]]</f>
        <v>-77</v>
      </c>
      <c r="AC67" s="69" t="n">
        <f aca="false">TblProd[[#This Row],[Platinum]]</f>
        <v>-14</v>
      </c>
      <c r="AD67" s="245"/>
      <c r="AE67" s="151" t="n">
        <f aca="false">TblExplore[[#This Row],[Land]]-TblExplore[[#This Row],[Land Bonus]]*20</f>
        <v>700</v>
      </c>
      <c r="AF67" s="69" t="n">
        <f aca="false">ROUND(MAX(0.6*TblExplore[[#This Row],[Land-DB]]^1.299,850)*(1+ tech_2_6*Techs!AC67 + tech_2_9*Techs!AF67 + tech_3_7*Techs!AN67 + Overview!$I$32),0)</f>
        <v>2978</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-11</v>
      </c>
    </row>
    <row r="68" customFormat="false" ht="12.75" hidden="false" customHeight="false" outlineLevel="0" collapsed="false">
      <c r="A68" s="170" t="n">
        <f aca="false">TblRezone[[#This Row],[Hour]]</f>
        <v>65</v>
      </c>
      <c r="B68" s="181" t="n">
        <f aca="false">TblConstr[[#This Row],[Land]]</f>
        <v>700</v>
      </c>
      <c r="C68" s="245"/>
      <c r="D68" s="246" t="n">
        <f aca="false">TblConstr[[#This Row],[Plain]]</f>
        <v>0</v>
      </c>
      <c r="E68" s="193" t="n">
        <f aca="false">TblConstr[[#This Row],[Forest]]</f>
        <v>0</v>
      </c>
      <c r="F68" s="200" t="n">
        <f aca="false">TblConstr[[#This Row],[Mountain]]</f>
        <v>0</v>
      </c>
      <c r="G68" s="201" t="n">
        <f aca="false">TblConstr[[#This Row],[Hill]]</f>
        <v>0</v>
      </c>
      <c r="H68" s="202" t="n">
        <f aca="false">TblConstr[[#This Row],[Swamp]]</f>
        <v>0</v>
      </c>
      <c r="I68" s="197" t="n">
        <f aca="false">TblConstr[[#This Row],[Cavern]]</f>
        <v>0</v>
      </c>
      <c r="J68" s="198" t="n">
        <f aca="false">TblConstr[[#This Row],[Water]]</f>
        <v>0</v>
      </c>
      <c r="K68" s="4"/>
      <c r="L68" s="15" t="n">
        <v>17</v>
      </c>
      <c r="M68" s="17" t="n">
        <f aca="false">ROUNDDOWN(227.945*(L68+0.5 - 5)^0.934579 + 300,0)</f>
        <v>2715</v>
      </c>
      <c r="N68" s="247" t="n">
        <f aca="false">TblMili[[#This Row],[Smithies]]</f>
        <v>0.18</v>
      </c>
      <c r="O68" s="247" t="n">
        <f aca="false">TblPop[[#This Row],[Employment]]</f>
        <v>1</v>
      </c>
      <c r="P68" s="247" t="n">
        <f aca="false">TblImps[[#This Row],[Population]]</f>
        <v>1</v>
      </c>
      <c r="Q68" s="181" t="n">
        <f aca="false">TblExplore[[#This Row],[Land]]</f>
        <v>700</v>
      </c>
      <c r="R68" s="170" t="n">
        <f aca="false">TblExplore[[#This Row],[Hour]]</f>
        <v>65</v>
      </c>
      <c r="S68" s="248"/>
      <c r="T68" s="182"/>
      <c r="U68" s="182"/>
      <c r="V68" s="182"/>
      <c r="W68" s="182"/>
      <c r="X68" s="182"/>
      <c r="Y68" s="182"/>
      <c r="Z68" s="182"/>
      <c r="AA68" s="153" t="n">
        <f aca="false">TblImps[[#This Row],[Real time]]</f>
        <v>45432.4166666667</v>
      </c>
      <c r="AB68" s="69" t="n">
        <f aca="false">TblMili[[#This Row],[Draftees]]</f>
        <v>-74</v>
      </c>
      <c r="AC68" s="69" t="n">
        <f aca="false">TblProd[[#This Row],[Platinum]]</f>
        <v>28906</v>
      </c>
      <c r="AD68" s="245"/>
      <c r="AE68" s="151" t="n">
        <f aca="false">TblExplore[[#This Row],[Land]]-TblExplore[[#This Row],[Land Bonus]]*20</f>
        <v>700</v>
      </c>
      <c r="AF68" s="69" t="n">
        <f aca="false">ROUND(MAX(0.6*TblExplore[[#This Row],[Land-DB]]^1.299,850)*(1+ tech_2_6*Techs!AC68 + tech_2_9*Techs!AF68 + tech_3_7*Techs!AN68 + Overview!$I$32),0)</f>
        <v>2978</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-11</v>
      </c>
    </row>
    <row r="69" customFormat="false" ht="12.75" hidden="false" customHeight="false" outlineLevel="0" collapsed="false">
      <c r="A69" s="170" t="n">
        <f aca="false">TblRezone[[#This Row],[Hour]]</f>
        <v>66</v>
      </c>
      <c r="B69" s="181" t="n">
        <f aca="false">TblConstr[[#This Row],[Land]]</f>
        <v>700</v>
      </c>
      <c r="C69" s="245"/>
      <c r="D69" s="246" t="n">
        <f aca="false">TblConstr[[#This Row],[Plain]]</f>
        <v>0</v>
      </c>
      <c r="E69" s="193" t="n">
        <f aca="false">TblConstr[[#This Row],[Forest]]</f>
        <v>0</v>
      </c>
      <c r="F69" s="200" t="n">
        <f aca="false">TblConstr[[#This Row],[Mountain]]</f>
        <v>0</v>
      </c>
      <c r="G69" s="201" t="n">
        <f aca="false">TblConstr[[#This Row],[Hill]]</f>
        <v>0</v>
      </c>
      <c r="H69" s="202" t="n">
        <f aca="false">TblConstr[[#This Row],[Swamp]]</f>
        <v>0</v>
      </c>
      <c r="I69" s="197" t="n">
        <f aca="false">TblConstr[[#This Row],[Cavern]]</f>
        <v>0</v>
      </c>
      <c r="J69" s="198" t="n">
        <f aca="false">TblConstr[[#This Row],[Water]]</f>
        <v>0</v>
      </c>
      <c r="K69" s="4"/>
      <c r="L69" s="262" t="n">
        <v>18</v>
      </c>
      <c r="M69" s="263" t="n">
        <f aca="false">ROUNDDOWN(227.945*(L69+0.5 - 5)^0.934579 + 300,0)</f>
        <v>2895</v>
      </c>
      <c r="N69" s="247" t="n">
        <f aca="false">TblMili[[#This Row],[Smithies]]</f>
        <v>0.18</v>
      </c>
      <c r="O69" s="247" t="n">
        <f aca="false">TblPop[[#This Row],[Employment]]</f>
        <v>1</v>
      </c>
      <c r="P69" s="247" t="n">
        <f aca="false">TblImps[[#This Row],[Population]]</f>
        <v>1</v>
      </c>
      <c r="Q69" s="181" t="n">
        <f aca="false">TblExplore[[#This Row],[Land]]</f>
        <v>700</v>
      </c>
      <c r="R69" s="170" t="n">
        <f aca="false">TblExplore[[#This Row],[Hour]]</f>
        <v>66</v>
      </c>
      <c r="S69" s="248"/>
      <c r="T69" s="182"/>
      <c r="U69" s="182"/>
      <c r="V69" s="182"/>
      <c r="W69" s="182"/>
      <c r="X69" s="182"/>
      <c r="Y69" s="182"/>
      <c r="Z69" s="182"/>
      <c r="AA69" s="153" t="n">
        <f aca="false">TblImps[[#This Row],[Real time]]</f>
        <v>45432.4583333333</v>
      </c>
      <c r="AB69" s="69" t="n">
        <f aca="false">TblMili[[#This Row],[Draftees]]</f>
        <v>-71</v>
      </c>
      <c r="AC69" s="69" t="n">
        <f aca="false">TblProd[[#This Row],[Platinum]]</f>
        <v>57978</v>
      </c>
      <c r="AD69" s="245"/>
      <c r="AE69" s="151" t="n">
        <f aca="false">TblExplore[[#This Row],[Land]]-TblExplore[[#This Row],[Land Bonus]]*20</f>
        <v>700</v>
      </c>
      <c r="AF69" s="69" t="n">
        <f aca="false">ROUND(MAX(0.6*TblExplore[[#This Row],[Land-DB]]^1.299,850)*(1+ tech_2_6*Techs!AC69 + tech_2_9*Techs!AF69 + tech_3_7*Techs!AN69 + Overview!$I$32),0)</f>
        <v>2978</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-11</v>
      </c>
    </row>
    <row r="70" customFormat="false" ht="12.75" hidden="false" customHeight="false" outlineLevel="0" collapsed="false">
      <c r="A70" s="170" t="n">
        <f aca="false">TblRezone[[#This Row],[Hour]]</f>
        <v>67</v>
      </c>
      <c r="B70" s="181" t="n">
        <f aca="false">TblConstr[[#This Row],[Land]]</f>
        <v>700</v>
      </c>
      <c r="C70" s="245"/>
      <c r="D70" s="246" t="n">
        <f aca="false">TblConstr[[#This Row],[Plain]]</f>
        <v>0</v>
      </c>
      <c r="E70" s="193" t="n">
        <f aca="false">TblConstr[[#This Row],[Forest]]</f>
        <v>0</v>
      </c>
      <c r="F70" s="200" t="n">
        <f aca="false">TblConstr[[#This Row],[Mountain]]</f>
        <v>0</v>
      </c>
      <c r="G70" s="201" t="n">
        <f aca="false">TblConstr[[#This Row],[Hill]]</f>
        <v>0</v>
      </c>
      <c r="H70" s="202" t="n">
        <f aca="false">TblConstr[[#This Row],[Swamp]]</f>
        <v>0</v>
      </c>
      <c r="I70" s="197" t="n">
        <f aca="false">TblConstr[[#This Row],[Cavern]]</f>
        <v>0</v>
      </c>
      <c r="J70" s="198" t="n">
        <f aca="false">TblConstr[[#This Row],[Water]]</f>
        <v>0</v>
      </c>
      <c r="K70" s="4"/>
      <c r="L70" s="4"/>
      <c r="M70" s="4"/>
      <c r="N70" s="247" t="n">
        <f aca="false">TblMili[[#This Row],[Smithies]]</f>
        <v>0.18</v>
      </c>
      <c r="O70" s="247" t="n">
        <f aca="false">TblPop[[#This Row],[Employment]]</f>
        <v>1</v>
      </c>
      <c r="P70" s="247" t="n">
        <f aca="false">TblImps[[#This Row],[Population]]</f>
        <v>1</v>
      </c>
      <c r="Q70" s="181" t="n">
        <f aca="false">TblExplore[[#This Row],[Land]]</f>
        <v>700</v>
      </c>
      <c r="R70" s="170" t="n">
        <f aca="false">TblExplore[[#This Row],[Hour]]</f>
        <v>67</v>
      </c>
      <c r="S70" s="248"/>
      <c r="T70" s="182"/>
      <c r="U70" s="182"/>
      <c r="V70" s="182"/>
      <c r="W70" s="182"/>
      <c r="X70" s="182"/>
      <c r="Y70" s="182"/>
      <c r="Z70" s="182"/>
      <c r="AA70" s="153" t="n">
        <f aca="false">TblImps[[#This Row],[Real time]]</f>
        <v>45432.5</v>
      </c>
      <c r="AB70" s="69" t="n">
        <f aca="false">TblMili[[#This Row],[Draftees]]</f>
        <v>-76</v>
      </c>
      <c r="AC70" s="69" t="n">
        <f aca="false">TblProd[[#This Row],[Platinum]]</f>
        <v>61403</v>
      </c>
      <c r="AD70" s="245"/>
      <c r="AE70" s="151" t="n">
        <f aca="false">TblExplore[[#This Row],[Land]]-TblExplore[[#This Row],[Land Bonus]]*20</f>
        <v>700</v>
      </c>
      <c r="AF70" s="69" t="n">
        <f aca="false">ROUND(MAX(0.6*TblExplore[[#This Row],[Land-DB]]^1.299,850)*(1+ tech_2_6*Techs!AC70 + tech_2_9*Techs!AF70 + tech_3_7*Techs!AN70 + Overview!$I$32),0)</f>
        <v>2978</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-11</v>
      </c>
    </row>
    <row r="71" customFormat="false" ht="12.75" hidden="false" customHeight="false" outlineLevel="0" collapsed="false">
      <c r="A71" s="170" t="n">
        <f aca="false">TblRezone[[#This Row],[Hour]]</f>
        <v>68</v>
      </c>
      <c r="B71" s="181" t="n">
        <f aca="false">TblConstr[[#This Row],[Land]]</f>
        <v>700</v>
      </c>
      <c r="C71" s="245"/>
      <c r="D71" s="246" t="n">
        <f aca="false">TblConstr[[#This Row],[Plain]]</f>
        <v>0</v>
      </c>
      <c r="E71" s="193" t="n">
        <f aca="false">TblConstr[[#This Row],[Forest]]</f>
        <v>0</v>
      </c>
      <c r="F71" s="200" t="n">
        <f aca="false">TblConstr[[#This Row],[Mountain]]</f>
        <v>0</v>
      </c>
      <c r="G71" s="201" t="n">
        <f aca="false">TblConstr[[#This Row],[Hill]]</f>
        <v>0</v>
      </c>
      <c r="H71" s="202" t="n">
        <f aca="false">TblConstr[[#This Row],[Swamp]]</f>
        <v>0</v>
      </c>
      <c r="I71" s="197" t="n">
        <f aca="false">TblConstr[[#This Row],[Cavern]]</f>
        <v>0</v>
      </c>
      <c r="J71" s="198" t="n">
        <f aca="false">TblConstr[[#This Row],[Water]]</f>
        <v>0</v>
      </c>
      <c r="K71" s="4"/>
      <c r="L71" s="4"/>
      <c r="M71" s="4"/>
      <c r="N71" s="247" t="n">
        <f aca="false">TblMili[[#This Row],[Smithies]]</f>
        <v>0.18</v>
      </c>
      <c r="O71" s="247" t="n">
        <f aca="false">TblPop[[#This Row],[Employment]]</f>
        <v>1</v>
      </c>
      <c r="P71" s="247" t="n">
        <f aca="false">TblImps[[#This Row],[Population]]</f>
        <v>1</v>
      </c>
      <c r="Q71" s="181" t="n">
        <f aca="false">TblExplore[[#This Row],[Land]]</f>
        <v>700</v>
      </c>
      <c r="R71" s="170" t="n">
        <f aca="false">TblExplore[[#This Row],[Hour]]</f>
        <v>68</v>
      </c>
      <c r="S71" s="248"/>
      <c r="T71" s="182"/>
      <c r="U71" s="182"/>
      <c r="V71" s="182"/>
      <c r="W71" s="182"/>
      <c r="X71" s="182"/>
      <c r="Y71" s="182"/>
      <c r="Z71" s="182"/>
      <c r="AA71" s="153" t="n">
        <f aca="false">TblImps[[#This Row],[Real time]]</f>
        <v>45432.5416666667</v>
      </c>
      <c r="AB71" s="69" t="n">
        <f aca="false">TblMili[[#This Row],[Draftees]]</f>
        <v>-75</v>
      </c>
      <c r="AC71" s="69" t="n">
        <f aca="false">TblProd[[#This Row],[Platinum]]</f>
        <v>68402</v>
      </c>
      <c r="AD71" s="245"/>
      <c r="AE71" s="151" t="n">
        <f aca="false">TblExplore[[#This Row],[Land]]-TblExplore[[#This Row],[Land Bonus]]*20</f>
        <v>700</v>
      </c>
      <c r="AF71" s="69" t="n">
        <f aca="false">ROUND(MAX(0.6*TblExplore[[#This Row],[Land-DB]]^1.299,850)*(1+ tech_2_6*Techs!AC71 + tech_2_9*Techs!AF71 + tech_3_7*Techs!AN71 + Overview!$I$32),0)</f>
        <v>2978</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-11</v>
      </c>
    </row>
    <row r="72" customFormat="false" ht="12.75" hidden="false" customHeight="false" outlineLevel="0" collapsed="false">
      <c r="A72" s="170" t="n">
        <f aca="false">TblRezone[[#This Row],[Hour]]</f>
        <v>69</v>
      </c>
      <c r="B72" s="181" t="n">
        <f aca="false">TblConstr[[#This Row],[Land]]</f>
        <v>700</v>
      </c>
      <c r="C72" s="245"/>
      <c r="D72" s="246" t="n">
        <f aca="false">TblConstr[[#This Row],[Plain]]</f>
        <v>0</v>
      </c>
      <c r="E72" s="193" t="n">
        <f aca="false">TblConstr[[#This Row],[Forest]]</f>
        <v>0</v>
      </c>
      <c r="F72" s="200" t="n">
        <f aca="false">TblConstr[[#This Row],[Mountain]]</f>
        <v>0</v>
      </c>
      <c r="G72" s="201" t="n">
        <f aca="false">TblConstr[[#This Row],[Hill]]</f>
        <v>0</v>
      </c>
      <c r="H72" s="202" t="n">
        <f aca="false">TblConstr[[#This Row],[Swamp]]</f>
        <v>0</v>
      </c>
      <c r="I72" s="197" t="n">
        <f aca="false">TblConstr[[#This Row],[Cavern]]</f>
        <v>0</v>
      </c>
      <c r="J72" s="198" t="n">
        <f aca="false">TblConstr[[#This Row],[Water]]</f>
        <v>0</v>
      </c>
      <c r="K72" s="4"/>
      <c r="L72" s="4"/>
      <c r="M72" s="4"/>
      <c r="N72" s="247" t="n">
        <f aca="false">TblMili[[#This Row],[Smithies]]</f>
        <v>0.18</v>
      </c>
      <c r="O72" s="247" t="n">
        <f aca="false">TblPop[[#This Row],[Employment]]</f>
        <v>1</v>
      </c>
      <c r="P72" s="247" t="n">
        <f aca="false">TblImps[[#This Row],[Population]]</f>
        <v>1</v>
      </c>
      <c r="Q72" s="181" t="n">
        <f aca="false">TblExplore[[#This Row],[Land]]</f>
        <v>700</v>
      </c>
      <c r="R72" s="170" t="n">
        <f aca="false">TblExplore[[#This Row],[Hour]]</f>
        <v>69</v>
      </c>
      <c r="S72" s="248"/>
      <c r="T72" s="182"/>
      <c r="U72" s="182"/>
      <c r="V72" s="182"/>
      <c r="W72" s="182"/>
      <c r="X72" s="182"/>
      <c r="Y72" s="182"/>
      <c r="Z72" s="182"/>
      <c r="AA72" s="153" t="n">
        <f aca="false">TblImps[[#This Row],[Real time]]</f>
        <v>45432.5833333333</v>
      </c>
      <c r="AB72" s="69" t="n">
        <f aca="false">TblMili[[#This Row],[Draftees]]</f>
        <v>-74</v>
      </c>
      <c r="AC72" s="69" t="n">
        <f aca="false">TblProd[[#This Row],[Platinum]]</f>
        <v>54065</v>
      </c>
      <c r="AD72" s="245"/>
      <c r="AE72" s="151" t="n">
        <f aca="false">TblExplore[[#This Row],[Land]]-TblExplore[[#This Row],[Land Bonus]]*20</f>
        <v>700</v>
      </c>
      <c r="AF72" s="69" t="n">
        <f aca="false">ROUND(MAX(0.6*TblExplore[[#This Row],[Land-DB]]^1.299,850)*(1+ tech_2_6*Techs!AC72 + tech_2_9*Techs!AF72 + tech_3_7*Techs!AN72 + Overview!$I$32),0)</f>
        <v>2978</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-11</v>
      </c>
    </row>
    <row r="73" customFormat="false" ht="12.75" hidden="false" customHeight="false" outlineLevel="0" collapsed="false">
      <c r="A73" s="170" t="n">
        <f aca="false">TblRezone[[#This Row],[Hour]]</f>
        <v>70</v>
      </c>
      <c r="B73" s="181" t="n">
        <f aca="false">TblConstr[[#This Row],[Land]]</f>
        <v>700</v>
      </c>
      <c r="C73" s="245"/>
      <c r="D73" s="246" t="n">
        <f aca="false">TblConstr[[#This Row],[Plain]]</f>
        <v>0</v>
      </c>
      <c r="E73" s="193" t="n">
        <f aca="false">TblConstr[[#This Row],[Forest]]</f>
        <v>0</v>
      </c>
      <c r="F73" s="200" t="n">
        <f aca="false">TblConstr[[#This Row],[Mountain]]</f>
        <v>0</v>
      </c>
      <c r="G73" s="201" t="n">
        <f aca="false">TblConstr[[#This Row],[Hill]]</f>
        <v>0</v>
      </c>
      <c r="H73" s="202" t="n">
        <f aca="false">TblConstr[[#This Row],[Swamp]]</f>
        <v>0</v>
      </c>
      <c r="I73" s="197" t="n">
        <f aca="false">TblConstr[[#This Row],[Cavern]]</f>
        <v>0</v>
      </c>
      <c r="J73" s="198" t="n">
        <f aca="false">TblConstr[[#This Row],[Water]]</f>
        <v>0</v>
      </c>
      <c r="K73" s="4"/>
      <c r="L73" s="4"/>
      <c r="M73" s="4"/>
      <c r="N73" s="247" t="n">
        <f aca="false">TblMili[[#This Row],[Smithies]]</f>
        <v>0.18</v>
      </c>
      <c r="O73" s="247" t="n">
        <f aca="false">TblPop[[#This Row],[Employment]]</f>
        <v>1</v>
      </c>
      <c r="P73" s="247" t="n">
        <f aca="false">TblImps[[#This Row],[Population]]</f>
        <v>1</v>
      </c>
      <c r="Q73" s="181" t="n">
        <f aca="false">TblExplore[[#This Row],[Land]]</f>
        <v>700</v>
      </c>
      <c r="R73" s="170" t="n">
        <f aca="false">TblExplore[[#This Row],[Hour]]</f>
        <v>70</v>
      </c>
      <c r="S73" s="248"/>
      <c r="T73" s="182"/>
      <c r="U73" s="182"/>
      <c r="V73" s="182"/>
      <c r="W73" s="182"/>
      <c r="X73" s="182"/>
      <c r="Y73" s="182"/>
      <c r="Z73" s="182"/>
      <c r="AA73" s="153" t="n">
        <f aca="false">TblImps[[#This Row],[Real time]]</f>
        <v>45432.625</v>
      </c>
      <c r="AB73" s="69" t="n">
        <f aca="false">TblMili[[#This Row],[Draftees]]</f>
        <v>-74</v>
      </c>
      <c r="AC73" s="69" t="n">
        <f aca="false">TblProd[[#This Row],[Platinum]]</f>
        <v>40027</v>
      </c>
      <c r="AD73" s="245"/>
      <c r="AE73" s="151" t="n">
        <f aca="false">TblExplore[[#This Row],[Land]]-TblExplore[[#This Row],[Land Bonus]]*20</f>
        <v>700</v>
      </c>
      <c r="AF73" s="69" t="n">
        <f aca="false">ROUND(MAX(0.6*TblExplore[[#This Row],[Land-DB]]^1.299,850)*(1+ tech_2_6*Techs!AC73 + tech_2_9*Techs!AF73 + tech_3_7*Techs!AN73 + Overview!$I$32),0)</f>
        <v>2978</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-11</v>
      </c>
    </row>
    <row r="74" customFormat="false" ht="12.75" hidden="false" customHeight="false" outlineLevel="0" collapsed="false">
      <c r="A74" s="170" t="n">
        <f aca="false">TblRezone[[#This Row],[Hour]]</f>
        <v>71</v>
      </c>
      <c r="B74" s="181" t="n">
        <f aca="false">TblConstr[[#This Row],[Land]]</f>
        <v>700</v>
      </c>
      <c r="C74" s="245"/>
      <c r="D74" s="246" t="n">
        <f aca="false">TblConstr[[#This Row],[Plain]]</f>
        <v>0</v>
      </c>
      <c r="E74" s="193" t="n">
        <f aca="false">TblConstr[[#This Row],[Forest]]</f>
        <v>0</v>
      </c>
      <c r="F74" s="200" t="n">
        <f aca="false">TblConstr[[#This Row],[Mountain]]</f>
        <v>0</v>
      </c>
      <c r="G74" s="201" t="n">
        <f aca="false">TblConstr[[#This Row],[Hill]]</f>
        <v>0</v>
      </c>
      <c r="H74" s="202" t="n">
        <f aca="false">TblConstr[[#This Row],[Swamp]]</f>
        <v>0</v>
      </c>
      <c r="I74" s="197" t="n">
        <f aca="false">TblConstr[[#This Row],[Cavern]]</f>
        <v>0</v>
      </c>
      <c r="J74" s="198" t="n">
        <f aca="false">TblConstr[[#This Row],[Water]]</f>
        <v>0</v>
      </c>
      <c r="K74" s="4"/>
      <c r="L74" s="4"/>
      <c r="M74" s="4"/>
      <c r="N74" s="247" t="n">
        <f aca="false">TblMili[[#This Row],[Smithies]]</f>
        <v>0.18</v>
      </c>
      <c r="O74" s="247" t="n">
        <f aca="false">TblPop[[#This Row],[Employment]]</f>
        <v>1</v>
      </c>
      <c r="P74" s="247" t="n">
        <f aca="false">TblImps[[#This Row],[Population]]</f>
        <v>1</v>
      </c>
      <c r="Q74" s="181" t="n">
        <f aca="false">TblExplore[[#This Row],[Land]]</f>
        <v>700</v>
      </c>
      <c r="R74" s="170" t="n">
        <f aca="false">TblExplore[[#This Row],[Hour]]</f>
        <v>71</v>
      </c>
      <c r="S74" s="248"/>
      <c r="T74" s="182"/>
      <c r="U74" s="182"/>
      <c r="V74" s="182"/>
      <c r="W74" s="182"/>
      <c r="X74" s="182"/>
      <c r="Y74" s="182"/>
      <c r="Z74" s="182"/>
      <c r="AA74" s="153" t="n">
        <f aca="false">TblImps[[#This Row],[Real time]]</f>
        <v>45432.6666666667</v>
      </c>
      <c r="AB74" s="69" t="n">
        <f aca="false">TblMili[[#This Row],[Draftees]]</f>
        <v>-74</v>
      </c>
      <c r="AC74" s="69" t="n">
        <f aca="false">TblProd[[#This Row],[Platinum]]</f>
        <v>26294</v>
      </c>
      <c r="AD74" s="245"/>
      <c r="AE74" s="151" t="n">
        <f aca="false">TblExplore[[#This Row],[Land]]-TblExplore[[#This Row],[Land Bonus]]*20</f>
        <v>700</v>
      </c>
      <c r="AF74" s="69" t="n">
        <f aca="false">ROUND(MAX(0.6*TblExplore[[#This Row],[Land-DB]]^1.299,850)*(1+ tech_2_6*Techs!AC74 + tech_2_9*Techs!AF74 + tech_3_7*Techs!AN74 + Overview!$I$32),0)</f>
        <v>2978</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-11</v>
      </c>
    </row>
    <row r="75" customFormat="false" ht="12.75" hidden="false" customHeight="false" outlineLevel="0" collapsed="false">
      <c r="A75" s="170" t="n">
        <f aca="false">TblRezone[[#This Row],[Hour]]</f>
        <v>72</v>
      </c>
      <c r="B75" s="181" t="n">
        <f aca="false">TblConstr[[#This Row],[Land]]</f>
        <v>700</v>
      </c>
      <c r="C75" s="245"/>
      <c r="D75" s="246" t="n">
        <f aca="false">TblConstr[[#This Row],[Plain]]</f>
        <v>0</v>
      </c>
      <c r="E75" s="193" t="n">
        <f aca="false">TblConstr[[#This Row],[Forest]]</f>
        <v>0</v>
      </c>
      <c r="F75" s="200" t="n">
        <f aca="false">TblConstr[[#This Row],[Mountain]]</f>
        <v>0</v>
      </c>
      <c r="G75" s="201" t="n">
        <f aca="false">TblConstr[[#This Row],[Hill]]</f>
        <v>0</v>
      </c>
      <c r="H75" s="202" t="n">
        <f aca="false">TblConstr[[#This Row],[Swamp]]</f>
        <v>0</v>
      </c>
      <c r="I75" s="197" t="n">
        <f aca="false">TblConstr[[#This Row],[Cavern]]</f>
        <v>0</v>
      </c>
      <c r="J75" s="198" t="n">
        <f aca="false">TblConstr[[#This Row],[Water]]</f>
        <v>0</v>
      </c>
      <c r="K75" s="4"/>
      <c r="L75" s="4"/>
      <c r="M75" s="4"/>
      <c r="N75" s="247" t="n">
        <f aca="false">TblMili[[#This Row],[Smithies]]</f>
        <v>0.18</v>
      </c>
      <c r="O75" s="247" t="n">
        <f aca="false">TblPop[[#This Row],[Employment]]</f>
        <v>1</v>
      </c>
      <c r="P75" s="247" t="n">
        <f aca="false">TblImps[[#This Row],[Population]]</f>
        <v>1</v>
      </c>
      <c r="Q75" s="181" t="n">
        <f aca="false">TblExplore[[#This Row],[Land]]</f>
        <v>700</v>
      </c>
      <c r="R75" s="170" t="n">
        <f aca="false">TblExplore[[#This Row],[Hour]]</f>
        <v>72</v>
      </c>
      <c r="S75" s="248"/>
      <c r="T75" s="182"/>
      <c r="U75" s="182"/>
      <c r="V75" s="182"/>
      <c r="W75" s="182"/>
      <c r="X75" s="182"/>
      <c r="Y75" s="182"/>
      <c r="Z75" s="182"/>
      <c r="AA75" s="153" t="n">
        <f aca="false">TblImps[[#This Row],[Real time]]</f>
        <v>45432.7083333333</v>
      </c>
      <c r="AB75" s="69" t="n">
        <f aca="false">TblMili[[#This Row],[Draftees]]</f>
        <v>-74</v>
      </c>
      <c r="AC75" s="69" t="n">
        <f aca="false">TblProd[[#This Row],[Platinum]]</f>
        <v>12869</v>
      </c>
      <c r="AD75" s="245"/>
      <c r="AE75" s="151" t="n">
        <f aca="false">TblExplore[[#This Row],[Land]]-TblExplore[[#This Row],[Land Bonus]]*20</f>
        <v>700</v>
      </c>
      <c r="AF75" s="69" t="n">
        <f aca="false">ROUND(MAX(0.6*TblExplore[[#This Row],[Land-DB]]^1.299,850)*(1+ tech_2_6*Techs!AC75 + tech_2_9*Techs!AF75 + tech_3_7*Techs!AN75 + Overview!$I$32),0)</f>
        <v>2978</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-11</v>
      </c>
    </row>
    <row r="76" s="268" customFormat="true" ht="12.75" hidden="false" customHeight="false" outlineLevel="0" collapsed="false">
      <c r="A76" s="210" t="n">
        <f aca="false">TblRezone[[#This Row],[Hour]]</f>
        <v>73</v>
      </c>
      <c r="B76" s="222" t="n">
        <f aca="false">TblConstr[[#This Row],[Land]]</f>
        <v>700</v>
      </c>
      <c r="C76" s="264"/>
      <c r="D76" s="265" t="n">
        <f aca="false">TblConstr[[#This Row],[Plain]]</f>
        <v>0</v>
      </c>
      <c r="E76" s="216" t="n">
        <f aca="false">TblConstr[[#This Row],[Forest]]</f>
        <v>0</v>
      </c>
      <c r="F76" s="217" t="n">
        <f aca="false">TblConstr[[#This Row],[Mountain]]</f>
        <v>0</v>
      </c>
      <c r="G76" s="218" t="n">
        <f aca="false">TblConstr[[#This Row],[Hill]]</f>
        <v>0</v>
      </c>
      <c r="H76" s="219" t="n">
        <f aca="false">TblConstr[[#This Row],[Swamp]]</f>
        <v>0</v>
      </c>
      <c r="I76" s="220" t="n">
        <f aca="false">TblConstr[[#This Row],[Cavern]]</f>
        <v>0</v>
      </c>
      <c r="J76" s="221" t="n">
        <f aca="false">TblConstr[[#This Row],[Water]]</f>
        <v>0</v>
      </c>
      <c r="K76" s="16"/>
      <c r="L76" s="16"/>
      <c r="M76" s="16"/>
      <c r="N76" s="266" t="n">
        <f aca="false">TblMili[[#This Row],[Smithies]]</f>
        <v>0.18</v>
      </c>
      <c r="O76" s="266" t="n">
        <f aca="false">TblPop[[#This Row],[Employment]]</f>
        <v>1</v>
      </c>
      <c r="P76" s="266" t="n">
        <f aca="false">TblImps[[#This Row],[Population]]</f>
        <v>1</v>
      </c>
      <c r="Q76" s="222" t="n">
        <f aca="false">TblExplore[[#This Row],[Land]]</f>
        <v>700</v>
      </c>
      <c r="R76" s="170" t="n">
        <f aca="false">TblExplore[[#This Row],[Hour]]</f>
        <v>73</v>
      </c>
      <c r="S76" s="267"/>
      <c r="T76" s="223"/>
      <c r="U76" s="223"/>
      <c r="V76" s="223"/>
      <c r="W76" s="223"/>
      <c r="X76" s="223"/>
      <c r="Y76" s="223"/>
      <c r="Z76" s="223"/>
      <c r="AA76" s="235" t="n">
        <f aca="false">TblImps[[#This Row],[Real time]]</f>
        <v>45432.75</v>
      </c>
      <c r="AB76" s="226" t="n">
        <f aca="false">TblMili[[#This Row],[Draftees]]</f>
        <v>-74</v>
      </c>
      <c r="AC76" s="226" t="n">
        <f aca="false">TblProd[[#This Row],[Platinum]]</f>
        <v>155</v>
      </c>
      <c r="AD76" s="264"/>
      <c r="AE76" s="239" t="n">
        <f aca="false">TblExplore[[#This Row],[Land]]-TblExplore[[#This Row],[Land Bonus]]*20</f>
        <v>700</v>
      </c>
      <c r="AF76" s="226" t="n">
        <f aca="false">ROUND(MAX(0.6*TblExplore[[#This Row],[Land-DB]]^1.299,850)*(1+ tech_2_6*Techs!AC76 + tech_2_9*Techs!AF76 + tech_3_7*Techs!AN76 + Overview!$I$32),0)</f>
        <v>2978</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-11</v>
      </c>
    </row>
    <row r="77" customFormat="false" ht="12.75" hidden="false" customHeight="false" outlineLevel="0" collapsed="false">
      <c r="A77" s="170" t="n">
        <f aca="false">TblRezone[[#This Row],[Hour]]</f>
        <v>74</v>
      </c>
      <c r="B77" s="181" t="n">
        <f aca="false">TblConstr[[#This Row],[Land]]</f>
        <v>700</v>
      </c>
      <c r="C77" s="245"/>
      <c r="D77" s="246" t="n">
        <f aca="false">TblConstr[[#This Row],[Plain]]</f>
        <v>0</v>
      </c>
      <c r="E77" s="193" t="n">
        <f aca="false">TblConstr[[#This Row],[Forest]]</f>
        <v>0</v>
      </c>
      <c r="F77" s="200" t="n">
        <f aca="false">TblConstr[[#This Row],[Mountain]]</f>
        <v>0</v>
      </c>
      <c r="G77" s="201" t="n">
        <f aca="false">TblConstr[[#This Row],[Hill]]</f>
        <v>0</v>
      </c>
      <c r="H77" s="202" t="n">
        <f aca="false">TblConstr[[#This Row],[Swamp]]</f>
        <v>0</v>
      </c>
      <c r="I77" s="197" t="n">
        <f aca="false">TblConstr[[#This Row],[Cavern]]</f>
        <v>0</v>
      </c>
      <c r="J77" s="198" t="n">
        <f aca="false">TblConstr[[#This Row],[Water]]</f>
        <v>0</v>
      </c>
      <c r="K77" s="4"/>
      <c r="L77" s="4"/>
      <c r="M77" s="4"/>
      <c r="N77" s="247" t="n">
        <f aca="false">TblMili[[#This Row],[Smithies]]</f>
        <v>0.18</v>
      </c>
      <c r="O77" s="247" t="n">
        <f aca="false">TblPop[[#This Row],[Employment]]</f>
        <v>1</v>
      </c>
      <c r="P77" s="247" t="n">
        <f aca="false">TblImps[[#This Row],[Population]]</f>
        <v>1</v>
      </c>
      <c r="Q77" s="181" t="n">
        <f aca="false">TblExplore[[#This Row],[Land]]</f>
        <v>700</v>
      </c>
      <c r="R77" s="170" t="n">
        <f aca="false">TblExplore[[#This Row],[Hour]]</f>
        <v>74</v>
      </c>
      <c r="S77" s="248"/>
      <c r="T77" s="182"/>
      <c r="U77" s="182"/>
      <c r="V77" s="182"/>
      <c r="W77" s="182"/>
      <c r="X77" s="182"/>
      <c r="Y77" s="182"/>
      <c r="Z77" s="182"/>
      <c r="AA77" s="153" t="n">
        <f aca="false">TblImps[[#This Row],[Real time]]</f>
        <v>45432.7916666667</v>
      </c>
      <c r="AB77" s="69" t="n">
        <f aca="false">TblMili[[#This Row],[Draftees]]</f>
        <v>-74</v>
      </c>
      <c r="AC77" s="69" t="n">
        <f aca="false">TblProd[[#This Row],[Platinum]]</f>
        <v>8123</v>
      </c>
      <c r="AD77" s="245"/>
      <c r="AE77" s="151" t="n">
        <f aca="false">TblExplore[[#This Row],[Land]]-TblExplore[[#This Row],[Land Bonus]]*20</f>
        <v>700</v>
      </c>
      <c r="AF77" s="69" t="n">
        <f aca="false">ROUND(MAX(0.6*TblExplore[[#This Row],[Land-DB]]^1.299,850)*(1+ tech_2_6*Techs!AC77 + tech_2_9*Techs!AF77 + tech_3_7*Techs!AN77 + Overview!$I$32),0)</f>
        <v>2978</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-11</v>
      </c>
    </row>
    <row r="78" customFormat="false" ht="12.75" hidden="false" customHeight="false" outlineLevel="0" collapsed="false">
      <c r="A78" s="170" t="n">
        <f aca="false">TblRezone[[#This Row],[Hour]]</f>
        <v>75</v>
      </c>
      <c r="B78" s="181" t="n">
        <f aca="false">TblConstr[[#This Row],[Land]]</f>
        <v>700</v>
      </c>
      <c r="C78" s="245"/>
      <c r="D78" s="246" t="n">
        <f aca="false">TblConstr[[#This Row],[Plain]]</f>
        <v>0</v>
      </c>
      <c r="E78" s="193" t="n">
        <f aca="false">TblConstr[[#This Row],[Forest]]</f>
        <v>0</v>
      </c>
      <c r="F78" s="200" t="n">
        <f aca="false">TblConstr[[#This Row],[Mountain]]</f>
        <v>0</v>
      </c>
      <c r="G78" s="201" t="n">
        <f aca="false">TblConstr[[#This Row],[Hill]]</f>
        <v>0</v>
      </c>
      <c r="H78" s="202" t="n">
        <f aca="false">TblConstr[[#This Row],[Swamp]]</f>
        <v>0</v>
      </c>
      <c r="I78" s="197" t="n">
        <f aca="false">TblConstr[[#This Row],[Cavern]]</f>
        <v>0</v>
      </c>
      <c r="J78" s="198" t="n">
        <f aca="false">TblConstr[[#This Row],[Water]]</f>
        <v>0</v>
      </c>
      <c r="K78" s="4"/>
      <c r="L78" s="4"/>
      <c r="M78" s="4"/>
      <c r="N78" s="247" t="n">
        <f aca="false">TblMili[[#This Row],[Smithies]]</f>
        <v>0.18</v>
      </c>
      <c r="O78" s="247" t="n">
        <f aca="false">TblPop[[#This Row],[Employment]]</f>
        <v>1</v>
      </c>
      <c r="P78" s="247" t="n">
        <f aca="false">TblImps[[#This Row],[Population]]</f>
        <v>1</v>
      </c>
      <c r="Q78" s="181" t="n">
        <f aca="false">TblExplore[[#This Row],[Land]]</f>
        <v>700</v>
      </c>
      <c r="R78" s="170" t="n">
        <f aca="false">TblExplore[[#This Row],[Hour]]</f>
        <v>75</v>
      </c>
      <c r="S78" s="248"/>
      <c r="T78" s="182"/>
      <c r="U78" s="182"/>
      <c r="V78" s="182"/>
      <c r="W78" s="182"/>
      <c r="X78" s="182"/>
      <c r="Y78" s="182"/>
      <c r="Z78" s="182"/>
      <c r="AA78" s="153" t="n">
        <f aca="false">TblImps[[#This Row],[Real time]]</f>
        <v>45432.8333333333</v>
      </c>
      <c r="AB78" s="69" t="n">
        <f aca="false">TblMili[[#This Row],[Draftees]]</f>
        <v>-74</v>
      </c>
      <c r="AC78" s="69" t="n">
        <f aca="false">TblProd[[#This Row],[Platinum]]</f>
        <v>36094</v>
      </c>
      <c r="AD78" s="245"/>
      <c r="AE78" s="151" t="n">
        <f aca="false">TblExplore[[#This Row],[Land]]-TblExplore[[#This Row],[Land Bonus]]*20</f>
        <v>700</v>
      </c>
      <c r="AF78" s="69" t="n">
        <f aca="false">ROUND(MAX(0.6*TblExplore[[#This Row],[Land-DB]]^1.299,850)*(1+ tech_2_6*Techs!AC78 + tech_2_9*Techs!AF78 + tech_3_7*Techs!AN78 + Overview!$I$32),0)</f>
        <v>2978</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-11</v>
      </c>
    </row>
    <row r="79" customFormat="false" ht="12.75" hidden="false" customHeight="false" outlineLevel="0" collapsed="false">
      <c r="A79" s="170" t="n">
        <f aca="false">TblRezone[[#This Row],[Hour]]</f>
        <v>76</v>
      </c>
      <c r="B79" s="181" t="n">
        <f aca="false">TblConstr[[#This Row],[Land]]</f>
        <v>700</v>
      </c>
      <c r="C79" s="245"/>
      <c r="D79" s="246" t="n">
        <f aca="false">TblConstr[[#This Row],[Plain]]</f>
        <v>0</v>
      </c>
      <c r="E79" s="193" t="n">
        <f aca="false">TblConstr[[#This Row],[Forest]]</f>
        <v>0</v>
      </c>
      <c r="F79" s="200" t="n">
        <f aca="false">TblConstr[[#This Row],[Mountain]]</f>
        <v>0</v>
      </c>
      <c r="G79" s="201" t="n">
        <f aca="false">TblConstr[[#This Row],[Hill]]</f>
        <v>0</v>
      </c>
      <c r="H79" s="202" t="n">
        <f aca="false">TblConstr[[#This Row],[Swamp]]</f>
        <v>0</v>
      </c>
      <c r="I79" s="197" t="n">
        <f aca="false">TblConstr[[#This Row],[Cavern]]</f>
        <v>0</v>
      </c>
      <c r="J79" s="198" t="n">
        <f aca="false">TblConstr[[#This Row],[Water]]</f>
        <v>0</v>
      </c>
      <c r="K79" s="4"/>
      <c r="L79" s="4"/>
      <c r="M79" s="4"/>
      <c r="N79" s="247" t="n">
        <f aca="false">TblMili[[#This Row],[Smithies]]</f>
        <v>0.18</v>
      </c>
      <c r="O79" s="247" t="n">
        <f aca="false">TblPop[[#This Row],[Employment]]</f>
        <v>1</v>
      </c>
      <c r="P79" s="247" t="n">
        <f aca="false">TblImps[[#This Row],[Population]]</f>
        <v>1</v>
      </c>
      <c r="Q79" s="181" t="n">
        <f aca="false">TblExplore[[#This Row],[Land]]</f>
        <v>700</v>
      </c>
      <c r="R79" s="170" t="n">
        <f aca="false">TblExplore[[#This Row],[Hour]]</f>
        <v>76</v>
      </c>
      <c r="S79" s="248"/>
      <c r="T79" s="152"/>
      <c r="U79" s="182"/>
      <c r="V79" s="182"/>
      <c r="W79" s="182"/>
      <c r="X79" s="182"/>
      <c r="Y79" s="182"/>
      <c r="Z79" s="182"/>
      <c r="AA79" s="153" t="n">
        <f aca="false">TblImps[[#This Row],[Real time]]</f>
        <v>45432.875</v>
      </c>
      <c r="AB79" s="69" t="n">
        <f aca="false">TblMili[[#This Row],[Draftees]]</f>
        <v>-74</v>
      </c>
      <c r="AC79" s="69" t="n">
        <f aca="false">TblProd[[#This Row],[Platinum]]</f>
        <v>64068</v>
      </c>
      <c r="AD79" s="245"/>
      <c r="AE79" s="151" t="n">
        <f aca="false">TblExplore[[#This Row],[Land]]-TblExplore[[#This Row],[Land Bonus]]*20</f>
        <v>700</v>
      </c>
      <c r="AF79" s="69" t="n">
        <f aca="false">ROUND(MAX(0.6*TblExplore[[#This Row],[Land-DB]]^1.299,850)*(1+ tech_2_6*Techs!AC79 + tech_2_9*Techs!AF79 + tech_3_7*Techs!AN79 + Overview!$I$32),0)</f>
        <v>2978</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-11</v>
      </c>
    </row>
    <row r="80" customFormat="false" ht="12.75" hidden="false" customHeight="false" outlineLevel="0" collapsed="false">
      <c r="A80" s="170" t="n">
        <f aca="false">TblRezone[[#This Row],[Hour]]</f>
        <v>77</v>
      </c>
      <c r="B80" s="181" t="n">
        <f aca="false">TblConstr[[#This Row],[Land]]</f>
        <v>700</v>
      </c>
      <c r="C80" s="245"/>
      <c r="D80" s="246" t="n">
        <f aca="false">TblConstr[[#This Row],[Plain]]</f>
        <v>0</v>
      </c>
      <c r="E80" s="193" t="n">
        <f aca="false">TblConstr[[#This Row],[Forest]]</f>
        <v>0</v>
      </c>
      <c r="F80" s="200" t="n">
        <f aca="false">TblConstr[[#This Row],[Mountain]]</f>
        <v>0</v>
      </c>
      <c r="G80" s="201" t="n">
        <f aca="false">TblConstr[[#This Row],[Hill]]</f>
        <v>0</v>
      </c>
      <c r="H80" s="202" t="n">
        <f aca="false">TblConstr[[#This Row],[Swamp]]</f>
        <v>0</v>
      </c>
      <c r="I80" s="197" t="n">
        <f aca="false">TblConstr[[#This Row],[Cavern]]</f>
        <v>0</v>
      </c>
      <c r="J80" s="198" t="n">
        <f aca="false">TblConstr[[#This Row],[Water]]</f>
        <v>0</v>
      </c>
      <c r="K80" s="4"/>
      <c r="L80" s="4"/>
      <c r="M80" s="4"/>
      <c r="N80" s="247" t="n">
        <f aca="false">TblMili[[#This Row],[Smithies]]</f>
        <v>0.18</v>
      </c>
      <c r="O80" s="247" t="n">
        <f aca="false">TblPop[[#This Row],[Employment]]</f>
        <v>1</v>
      </c>
      <c r="P80" s="247" t="n">
        <f aca="false">TblImps[[#This Row],[Population]]</f>
        <v>1</v>
      </c>
      <c r="Q80" s="181" t="n">
        <f aca="false">TblExplore[[#This Row],[Land]]</f>
        <v>700</v>
      </c>
      <c r="R80" s="170" t="n">
        <f aca="false">TblExplore[[#This Row],[Hour]]</f>
        <v>77</v>
      </c>
      <c r="S80" s="248"/>
      <c r="T80" s="152"/>
      <c r="U80" s="182"/>
      <c r="V80" s="182"/>
      <c r="W80" s="182"/>
      <c r="X80" s="182"/>
      <c r="Y80" s="182"/>
      <c r="Z80" s="182"/>
      <c r="AA80" s="153" t="n">
        <f aca="false">TblImps[[#This Row],[Real time]]</f>
        <v>45432.9166666667</v>
      </c>
      <c r="AB80" s="69" t="n">
        <f aca="false">TblMili[[#This Row],[Draftees]]</f>
        <v>24</v>
      </c>
      <c r="AC80" s="69" t="n">
        <f aca="false">TblProd[[#This Row],[Platinum]]</f>
        <v>149450</v>
      </c>
      <c r="AD80" s="245"/>
      <c r="AE80" s="151" t="n">
        <f aca="false">TblExplore[[#This Row],[Land]]-TblExplore[[#This Row],[Land Bonus]]*20</f>
        <v>700</v>
      </c>
      <c r="AF80" s="69" t="n">
        <f aca="false">ROUND(MAX(0.6*TblExplore[[#This Row],[Land-DB]]^1.299,850)*(1+ tech_2_6*Techs!AC80 + tech_2_9*Techs!AF80 + tech_3_7*Techs!AN80 + Overview!$I$32),0)</f>
        <v>2978</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3</v>
      </c>
    </row>
    <row r="81" customFormat="false" ht="12.75" hidden="false" customHeight="false" outlineLevel="0" collapsed="false">
      <c r="A81" s="170" t="n">
        <f aca="false">TblRezone[[#This Row],[Hour]]</f>
        <v>78</v>
      </c>
      <c r="B81" s="181" t="n">
        <f aca="false">TblConstr[[#This Row],[Land]]</f>
        <v>700</v>
      </c>
      <c r="C81" s="245"/>
      <c r="D81" s="246" t="n">
        <f aca="false">TblConstr[[#This Row],[Plain]]</f>
        <v>0</v>
      </c>
      <c r="E81" s="193" t="n">
        <f aca="false">TblConstr[[#This Row],[Forest]]</f>
        <v>0</v>
      </c>
      <c r="F81" s="200" t="n">
        <f aca="false">TblConstr[[#This Row],[Mountain]]</f>
        <v>0</v>
      </c>
      <c r="G81" s="201" t="n">
        <f aca="false">TblConstr[[#This Row],[Hill]]</f>
        <v>0</v>
      </c>
      <c r="H81" s="202" t="n">
        <f aca="false">TblConstr[[#This Row],[Swamp]]</f>
        <v>0</v>
      </c>
      <c r="I81" s="197" t="n">
        <f aca="false">TblConstr[[#This Row],[Cavern]]</f>
        <v>0</v>
      </c>
      <c r="J81" s="198" t="n">
        <f aca="false">TblConstr[[#This Row],[Water]]</f>
        <v>0</v>
      </c>
      <c r="K81" s="4"/>
      <c r="L81" s="4"/>
      <c r="M81" s="4"/>
      <c r="N81" s="247" t="n">
        <f aca="false">TblMili[[#This Row],[Smithies]]</f>
        <v>0.18</v>
      </c>
      <c r="O81" s="247" t="n">
        <f aca="false">TblPop[[#This Row],[Employment]]</f>
        <v>1</v>
      </c>
      <c r="P81" s="247" t="n">
        <f aca="false">TblImps[[#This Row],[Population]]</f>
        <v>1</v>
      </c>
      <c r="Q81" s="181" t="n">
        <f aca="false">TblExplore[[#This Row],[Land]]</f>
        <v>700</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121</v>
      </c>
      <c r="AC81" s="69" t="n">
        <f aca="false">TblProd[[#This Row],[Platinum]]</f>
        <v>195777</v>
      </c>
      <c r="AD81" s="245"/>
      <c r="AE81" s="151" t="n">
        <f aca="false">TblExplore[[#This Row],[Land]]-TblExplore[[#This Row],[Land Bonus]]*20</f>
        <v>700</v>
      </c>
      <c r="AF81" s="69" t="n">
        <f aca="false">ROUND(MAX(0.6*TblExplore[[#This Row],[Land-DB]]^1.299,850)*(1+ tech_2_6*Techs!AC81 + tech_2_9*Techs!AF81 + tech_3_7*Techs!AN81 + Overview!$I$32),0)</f>
        <v>2978</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17</v>
      </c>
    </row>
    <row r="82" customFormat="false" ht="12.75" hidden="false" customHeight="false" outlineLevel="0" collapsed="false">
      <c r="A82" s="170" t="n">
        <f aca="false">TblRezone[[#This Row],[Hour]]</f>
        <v>79</v>
      </c>
      <c r="B82" s="181" t="n">
        <f aca="false">TblConstr[[#This Row],[Land]]</f>
        <v>700</v>
      </c>
      <c r="C82" s="245"/>
      <c r="D82" s="246" t="n">
        <f aca="false">TblConstr[[#This Row],[Plain]]</f>
        <v>0</v>
      </c>
      <c r="E82" s="193" t="n">
        <f aca="false">TblConstr[[#This Row],[Forest]]</f>
        <v>0</v>
      </c>
      <c r="F82" s="200" t="n">
        <f aca="false">TblConstr[[#This Row],[Mountain]]</f>
        <v>0</v>
      </c>
      <c r="G82" s="201" t="n">
        <f aca="false">TblConstr[[#This Row],[Hill]]</f>
        <v>0</v>
      </c>
      <c r="H82" s="202" t="n">
        <f aca="false">TblConstr[[#This Row],[Swamp]]</f>
        <v>0</v>
      </c>
      <c r="I82" s="197" t="n">
        <f aca="false">TblConstr[[#This Row],[Cavern]]</f>
        <v>0</v>
      </c>
      <c r="J82" s="198" t="n">
        <f aca="false">TblConstr[[#This Row],[Water]]</f>
        <v>0</v>
      </c>
      <c r="K82" s="4"/>
      <c r="L82" s="4"/>
      <c r="M82" s="4"/>
      <c r="N82" s="247" t="n">
        <f aca="false">TblMili[[#This Row],[Smithies]]</f>
        <v>0.18</v>
      </c>
      <c r="O82" s="247" t="n">
        <f aca="false">TblPop[[#This Row],[Employment]]</f>
        <v>1</v>
      </c>
      <c r="P82" s="247" t="n">
        <f aca="false">TblImps[[#This Row],[Population]]</f>
        <v>1</v>
      </c>
      <c r="Q82" s="181" t="n">
        <f aca="false">TblExplore[[#This Row],[Land]]</f>
        <v>700</v>
      </c>
      <c r="R82" s="170" t="n">
        <f aca="false">TblExplore[[#This Row],[Hour]]</f>
        <v>79</v>
      </c>
      <c r="S82" s="248"/>
      <c r="T82" s="182"/>
      <c r="U82" s="182"/>
      <c r="V82" s="182"/>
      <c r="W82" s="182"/>
      <c r="X82" s="182"/>
      <c r="Y82" s="182"/>
      <c r="Z82" s="182"/>
      <c r="AA82" s="153" t="n">
        <f aca="false">TblImps[[#This Row],[Real time]]</f>
        <v>45433</v>
      </c>
      <c r="AB82" s="69" t="n">
        <f aca="false">TblMili[[#This Row],[Draftees]]</f>
        <v>217</v>
      </c>
      <c r="AC82" s="69" t="n">
        <f aca="false">TblProd[[#This Row],[Platinum]]</f>
        <v>241816</v>
      </c>
      <c r="AD82" s="245"/>
      <c r="AE82" s="151" t="n">
        <f aca="false">TblExplore[[#This Row],[Land]]-TblExplore[[#This Row],[Land Bonus]]*20</f>
        <v>700</v>
      </c>
      <c r="AF82" s="69" t="n">
        <f aca="false">ROUND(MAX(0.6*TblExplore[[#This Row],[Land-DB]]^1.299,850)*(1+ tech_2_6*Techs!AC82 + tech_2_9*Techs!AF82 + tech_3_7*Techs!AN82 + Overview!$I$32),0)</f>
        <v>2978</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31</v>
      </c>
    </row>
    <row r="83" customFormat="false" ht="12.75" hidden="false" customHeight="false" outlineLevel="0" collapsed="false">
      <c r="A83" s="170" t="n">
        <f aca="false">TblRezone[[#This Row],[Hour]]</f>
        <v>80</v>
      </c>
      <c r="B83" s="181" t="n">
        <f aca="false">TblConstr[[#This Row],[Land]]</f>
        <v>700</v>
      </c>
      <c r="C83" s="245"/>
      <c r="D83" s="246" t="n">
        <f aca="false">TblConstr[[#This Row],[Plain]]</f>
        <v>0</v>
      </c>
      <c r="E83" s="193" t="n">
        <f aca="false">TblConstr[[#This Row],[Forest]]</f>
        <v>0</v>
      </c>
      <c r="F83" s="200" t="n">
        <f aca="false">TblConstr[[#This Row],[Mountain]]</f>
        <v>0</v>
      </c>
      <c r="G83" s="201" t="n">
        <f aca="false">TblConstr[[#This Row],[Hill]]</f>
        <v>0</v>
      </c>
      <c r="H83" s="202" t="n">
        <f aca="false">TblConstr[[#This Row],[Swamp]]</f>
        <v>0</v>
      </c>
      <c r="I83" s="197" t="n">
        <f aca="false">TblConstr[[#This Row],[Cavern]]</f>
        <v>0</v>
      </c>
      <c r="J83" s="198" t="n">
        <f aca="false">TblConstr[[#This Row],[Water]]</f>
        <v>0</v>
      </c>
      <c r="K83" s="4"/>
      <c r="L83" s="4"/>
      <c r="M83" s="4"/>
      <c r="N83" s="247" t="n">
        <f aca="false">TblMili[[#This Row],[Smithies]]</f>
        <v>0.18</v>
      </c>
      <c r="O83" s="247" t="n">
        <f aca="false">TblPop[[#This Row],[Employment]]</f>
        <v>1</v>
      </c>
      <c r="P83" s="247" t="n">
        <f aca="false">TblImps[[#This Row],[Population]]</f>
        <v>1</v>
      </c>
      <c r="Q83" s="181" t="n">
        <f aca="false">TblExplore[[#This Row],[Land]]</f>
        <v>700</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312</v>
      </c>
      <c r="AC83" s="69" t="n">
        <f aca="false">TblProd[[#This Row],[Platinum]]</f>
        <v>287570</v>
      </c>
      <c r="AD83" s="245"/>
      <c r="AE83" s="151" t="n">
        <f aca="false">TblExplore[[#This Row],[Land]]-TblExplore[[#This Row],[Land Bonus]]*20</f>
        <v>700</v>
      </c>
      <c r="AF83" s="69" t="n">
        <f aca="false">ROUND(MAX(0.6*TblExplore[[#This Row],[Land-DB]]^1.299,850)*(1+ tech_2_6*Techs!AC83 + tech_2_9*Techs!AF83 + tech_3_7*Techs!AN83 + Overview!$I$32),0)</f>
        <v>2978</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44</v>
      </c>
    </row>
    <row r="84" customFormat="false" ht="12.75" hidden="false" customHeight="false" outlineLevel="0" collapsed="false">
      <c r="A84" s="170" t="n">
        <f aca="false">TblRezone[[#This Row],[Hour]]</f>
        <v>81</v>
      </c>
      <c r="B84" s="181" t="n">
        <f aca="false">TblConstr[[#This Row],[Land]]</f>
        <v>700</v>
      </c>
      <c r="C84" s="245"/>
      <c r="D84" s="246" t="n">
        <f aca="false">TblConstr[[#This Row],[Plain]]</f>
        <v>0</v>
      </c>
      <c r="E84" s="193" t="n">
        <f aca="false">TblConstr[[#This Row],[Forest]]</f>
        <v>0</v>
      </c>
      <c r="F84" s="200" t="n">
        <f aca="false">TblConstr[[#This Row],[Mountain]]</f>
        <v>0</v>
      </c>
      <c r="G84" s="201" t="n">
        <f aca="false">TblConstr[[#This Row],[Hill]]</f>
        <v>0</v>
      </c>
      <c r="H84" s="202" t="n">
        <f aca="false">TblConstr[[#This Row],[Swamp]]</f>
        <v>0</v>
      </c>
      <c r="I84" s="197" t="n">
        <f aca="false">TblConstr[[#This Row],[Cavern]]</f>
        <v>0</v>
      </c>
      <c r="J84" s="198" t="n">
        <f aca="false">TblConstr[[#This Row],[Water]]</f>
        <v>0</v>
      </c>
      <c r="K84" s="4"/>
      <c r="L84" s="4"/>
      <c r="M84" s="4"/>
      <c r="N84" s="247" t="n">
        <f aca="false">TblMili[[#This Row],[Smithies]]</f>
        <v>0.18</v>
      </c>
      <c r="O84" s="247" t="n">
        <f aca="false">TblPop[[#This Row],[Employment]]</f>
        <v>1</v>
      </c>
      <c r="P84" s="247" t="n">
        <f aca="false">TblImps[[#This Row],[Population]]</f>
        <v>1</v>
      </c>
      <c r="Q84" s="181" t="n">
        <f aca="false">TblExplore[[#This Row],[Land]]</f>
        <v>700</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406</v>
      </c>
      <c r="AC84" s="69" t="n">
        <f aca="false">TblProd[[#This Row],[Platinum]]</f>
        <v>333041</v>
      </c>
      <c r="AD84" s="245"/>
      <c r="AE84" s="151" t="n">
        <f aca="false">TblExplore[[#This Row],[Land]]-TblExplore[[#This Row],[Land Bonus]]*20</f>
        <v>700</v>
      </c>
      <c r="AF84" s="69" t="n">
        <f aca="false">ROUND(MAX(0.6*TblExplore[[#This Row],[Land-DB]]^1.299,850)*(1+ tech_2_6*Techs!AC84 + tech_2_9*Techs!AF84 + tech_3_7*Techs!AN84 + Overview!$I$32),0)</f>
        <v>2978</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58</v>
      </c>
    </row>
    <row r="85" customFormat="false" ht="12.75" hidden="false" customHeight="false" outlineLevel="0" collapsed="false">
      <c r="A85" s="170" t="n">
        <f aca="false">TblRezone[[#This Row],[Hour]]</f>
        <v>82</v>
      </c>
      <c r="B85" s="181" t="n">
        <f aca="false">TblConstr[[#This Row],[Land]]</f>
        <v>700</v>
      </c>
      <c r="C85" s="245"/>
      <c r="D85" s="246" t="n">
        <f aca="false">TblConstr[[#This Row],[Plain]]</f>
        <v>0</v>
      </c>
      <c r="E85" s="193" t="n">
        <f aca="false">TblConstr[[#This Row],[Forest]]</f>
        <v>0</v>
      </c>
      <c r="F85" s="200" t="n">
        <f aca="false">TblConstr[[#This Row],[Mountain]]</f>
        <v>0</v>
      </c>
      <c r="G85" s="201" t="n">
        <f aca="false">TblConstr[[#This Row],[Hill]]</f>
        <v>0</v>
      </c>
      <c r="H85" s="202" t="n">
        <f aca="false">TblConstr[[#This Row],[Swamp]]</f>
        <v>0</v>
      </c>
      <c r="I85" s="197" t="n">
        <f aca="false">TblConstr[[#This Row],[Cavern]]</f>
        <v>0</v>
      </c>
      <c r="J85" s="198" t="n">
        <f aca="false">TblConstr[[#This Row],[Water]]</f>
        <v>0</v>
      </c>
      <c r="K85" s="4"/>
      <c r="L85" s="4"/>
      <c r="M85" s="4"/>
      <c r="N85" s="247" t="n">
        <f aca="false">TblMili[[#This Row],[Smithies]]</f>
        <v>0.18</v>
      </c>
      <c r="O85" s="247" t="n">
        <f aca="false">TblPop[[#This Row],[Employment]]</f>
        <v>1</v>
      </c>
      <c r="P85" s="247" t="n">
        <f aca="false">TblImps[[#This Row],[Population]]</f>
        <v>1</v>
      </c>
      <c r="Q85" s="181" t="n">
        <f aca="false">TblExplore[[#This Row],[Land]]</f>
        <v>700</v>
      </c>
      <c r="R85" s="170" t="n">
        <f aca="false">TblExplore[[#This Row],[Hour]]</f>
        <v>82</v>
      </c>
      <c r="S85" s="248"/>
      <c r="T85" s="182"/>
      <c r="U85" s="182"/>
      <c r="V85" s="182"/>
      <c r="W85" s="182"/>
      <c r="X85" s="182"/>
      <c r="Y85" s="182"/>
      <c r="Z85" s="182"/>
      <c r="AA85" s="153" t="n">
        <f aca="false">TblImps[[#This Row],[Real time]]</f>
        <v>45433.125</v>
      </c>
      <c r="AB85" s="69" t="n">
        <f aca="false">TblMili[[#This Row],[Draftees]]</f>
        <v>499</v>
      </c>
      <c r="AC85" s="69" t="n">
        <f aca="false">TblProd[[#This Row],[Platinum]]</f>
        <v>378233</v>
      </c>
      <c r="AD85" s="245"/>
      <c r="AE85" s="151" t="n">
        <f aca="false">TblExplore[[#This Row],[Land]]-TblExplore[[#This Row],[Land Bonus]]*20</f>
        <v>700</v>
      </c>
      <c r="AF85" s="69" t="n">
        <f aca="false">ROUND(MAX(0.6*TblExplore[[#This Row],[Land-DB]]^1.299,850)*(1+ tech_2_6*Techs!AC85 + tech_2_9*Techs!AF85 + tech_3_7*Techs!AN85 + Overview!$I$32),0)</f>
        <v>2978</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71</v>
      </c>
    </row>
    <row r="86" customFormat="false" ht="12.75" hidden="false" customHeight="false" outlineLevel="0" collapsed="false">
      <c r="A86" s="170" t="n">
        <f aca="false">TblRezone[[#This Row],[Hour]]</f>
        <v>83</v>
      </c>
      <c r="B86" s="181" t="n">
        <f aca="false">TblConstr[[#This Row],[Land]]</f>
        <v>700</v>
      </c>
      <c r="C86" s="245"/>
      <c r="D86" s="246" t="n">
        <f aca="false">TblConstr[[#This Row],[Plain]]</f>
        <v>0</v>
      </c>
      <c r="E86" s="193" t="n">
        <f aca="false">TblConstr[[#This Row],[Forest]]</f>
        <v>0</v>
      </c>
      <c r="F86" s="200" t="n">
        <f aca="false">TblConstr[[#This Row],[Mountain]]</f>
        <v>0</v>
      </c>
      <c r="G86" s="201" t="n">
        <f aca="false">TblConstr[[#This Row],[Hill]]</f>
        <v>0</v>
      </c>
      <c r="H86" s="202" t="n">
        <f aca="false">TblConstr[[#This Row],[Swamp]]</f>
        <v>0</v>
      </c>
      <c r="I86" s="197" t="n">
        <f aca="false">TblConstr[[#This Row],[Cavern]]</f>
        <v>0</v>
      </c>
      <c r="J86" s="198" t="n">
        <f aca="false">TblConstr[[#This Row],[Water]]</f>
        <v>0</v>
      </c>
      <c r="K86" s="4"/>
      <c r="L86" s="4"/>
      <c r="M86" s="4"/>
      <c r="N86" s="247" t="n">
        <f aca="false">TblMili[[#This Row],[Smithies]]</f>
        <v>0.18</v>
      </c>
      <c r="O86" s="247" t="n">
        <f aca="false">TblPop[[#This Row],[Employment]]</f>
        <v>1</v>
      </c>
      <c r="P86" s="247" t="n">
        <f aca="false">TblImps[[#This Row],[Population]]</f>
        <v>1</v>
      </c>
      <c r="Q86" s="181" t="n">
        <f aca="false">TblExplore[[#This Row],[Land]]</f>
        <v>700</v>
      </c>
      <c r="R86" s="170" t="n">
        <f aca="false">TblExplore[[#This Row],[Hour]]</f>
        <v>83</v>
      </c>
      <c r="S86" s="248"/>
      <c r="T86" s="182"/>
      <c r="U86" s="182"/>
      <c r="V86" s="182"/>
      <c r="W86" s="182"/>
      <c r="X86" s="182"/>
      <c r="Y86" s="182"/>
      <c r="Z86" s="182"/>
      <c r="AA86" s="153" t="n">
        <f aca="false">TblImps[[#This Row],[Real time]]</f>
        <v>45433.1666666667</v>
      </c>
      <c r="AB86" s="69" t="n">
        <f aca="false">TblMili[[#This Row],[Draftees]]</f>
        <v>591</v>
      </c>
      <c r="AC86" s="69" t="n">
        <f aca="false">TblProd[[#This Row],[Platinum]]</f>
        <v>423149</v>
      </c>
      <c r="AD86" s="245"/>
      <c r="AE86" s="151" t="n">
        <f aca="false">TblExplore[[#This Row],[Land]]-TblExplore[[#This Row],[Land Bonus]]*20</f>
        <v>700</v>
      </c>
      <c r="AF86" s="69" t="n">
        <f aca="false">ROUND(MAX(0.6*TblExplore[[#This Row],[Land-DB]]^1.299,850)*(1+ tech_2_6*Techs!AC86 + tech_2_9*Techs!AF86 + tech_3_7*Techs!AN86 + Overview!$I$32),0)</f>
        <v>2978</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84</v>
      </c>
    </row>
    <row r="87" customFormat="false" ht="12.75" hidden="false" customHeight="false" outlineLevel="0" collapsed="false">
      <c r="A87" s="170" t="n">
        <f aca="false">TblRezone[[#This Row],[Hour]]</f>
        <v>84</v>
      </c>
      <c r="B87" s="181" t="n">
        <f aca="false">TblConstr[[#This Row],[Land]]</f>
        <v>700</v>
      </c>
      <c r="C87" s="245"/>
      <c r="D87" s="246" t="n">
        <f aca="false">TblConstr[[#This Row],[Plain]]</f>
        <v>0</v>
      </c>
      <c r="E87" s="193" t="n">
        <f aca="false">TblConstr[[#This Row],[Forest]]</f>
        <v>0</v>
      </c>
      <c r="F87" s="200" t="n">
        <f aca="false">TblConstr[[#This Row],[Mountain]]</f>
        <v>0</v>
      </c>
      <c r="G87" s="201" t="n">
        <f aca="false">TblConstr[[#This Row],[Hill]]</f>
        <v>0</v>
      </c>
      <c r="H87" s="202" t="n">
        <f aca="false">TblConstr[[#This Row],[Swamp]]</f>
        <v>0</v>
      </c>
      <c r="I87" s="197" t="n">
        <f aca="false">TblConstr[[#This Row],[Cavern]]</f>
        <v>0</v>
      </c>
      <c r="J87" s="198" t="n">
        <f aca="false">TblConstr[[#This Row],[Water]]</f>
        <v>0</v>
      </c>
      <c r="K87" s="4"/>
      <c r="L87" s="4"/>
      <c r="M87" s="249"/>
      <c r="N87" s="247" t="n">
        <f aca="false">TblMili[[#This Row],[Smithies]]</f>
        <v>0.18</v>
      </c>
      <c r="O87" s="247" t="n">
        <f aca="false">TblPop[[#This Row],[Employment]]</f>
        <v>1</v>
      </c>
      <c r="P87" s="247" t="n">
        <f aca="false">TblImps[[#This Row],[Population]]</f>
        <v>1</v>
      </c>
      <c r="Q87" s="181" t="n">
        <f aca="false">TblExplore[[#This Row],[Land]]</f>
        <v>700</v>
      </c>
      <c r="R87" s="170" t="n">
        <f aca="false">TblExplore[[#This Row],[Hour]]</f>
        <v>84</v>
      </c>
      <c r="S87" s="248"/>
      <c r="T87" s="152"/>
      <c r="U87" s="182"/>
      <c r="V87" s="182"/>
      <c r="W87" s="182"/>
      <c r="X87" s="182"/>
      <c r="Y87" s="182"/>
      <c r="Z87" s="182"/>
      <c r="AA87" s="153" t="n">
        <f aca="false">TblImps[[#This Row],[Real time]]</f>
        <v>45433.2083333333</v>
      </c>
      <c r="AB87" s="69" t="n">
        <f aca="false">TblMili[[#This Row],[Draftees]]</f>
        <v>682</v>
      </c>
      <c r="AC87" s="69" t="n">
        <f aca="false">TblProd[[#This Row],[Platinum]]</f>
        <v>467792</v>
      </c>
      <c r="AD87" s="245"/>
      <c r="AE87" s="151" t="n">
        <f aca="false">TblExplore[[#This Row],[Land]]-TblExplore[[#This Row],[Land Bonus]]*20</f>
        <v>700</v>
      </c>
      <c r="AF87" s="69" t="n">
        <f aca="false">ROUND(MAX(0.6*TblExplore[[#This Row],[Land-DB]]^1.299,850)*(1+ tech_2_6*Techs!AC87 + tech_2_9*Techs!AF87 + tech_3_7*Techs!AN87 + Overview!$I$32),0)</f>
        <v>2978</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97</v>
      </c>
    </row>
    <row r="88" customFormat="false" ht="12.75" hidden="false" customHeight="false" outlineLevel="0" collapsed="false">
      <c r="A88" s="170" t="n">
        <f aca="false">TblRezone[[#This Row],[Hour]]</f>
        <v>85</v>
      </c>
      <c r="B88" s="181" t="n">
        <f aca="false">TblConstr[[#This Row],[Land]]</f>
        <v>700</v>
      </c>
      <c r="C88" s="245"/>
      <c r="D88" s="246" t="n">
        <f aca="false">TblConstr[[#This Row],[Plain]]</f>
        <v>0</v>
      </c>
      <c r="E88" s="193" t="n">
        <f aca="false">TblConstr[[#This Row],[Forest]]</f>
        <v>0</v>
      </c>
      <c r="F88" s="200" t="n">
        <f aca="false">TblConstr[[#This Row],[Mountain]]</f>
        <v>0</v>
      </c>
      <c r="G88" s="201" t="n">
        <f aca="false">TblConstr[[#This Row],[Hill]]</f>
        <v>0</v>
      </c>
      <c r="H88" s="202" t="n">
        <f aca="false">TblConstr[[#This Row],[Swamp]]</f>
        <v>0</v>
      </c>
      <c r="I88" s="197" t="n">
        <f aca="false">TblConstr[[#This Row],[Cavern]]</f>
        <v>0</v>
      </c>
      <c r="J88" s="198" t="n">
        <f aca="false">TblConstr[[#This Row],[Water]]</f>
        <v>0</v>
      </c>
      <c r="K88" s="4"/>
      <c r="L88" s="4"/>
      <c r="M88" s="4"/>
      <c r="N88" s="247" t="n">
        <f aca="false">TblMili[[#This Row],[Smithies]]</f>
        <v>0.18</v>
      </c>
      <c r="O88" s="247" t="n">
        <f aca="false">TblPop[[#This Row],[Employment]]</f>
        <v>1</v>
      </c>
      <c r="P88" s="247" t="n">
        <f aca="false">TblImps[[#This Row],[Population]]</f>
        <v>1</v>
      </c>
      <c r="Q88" s="181" t="n">
        <f aca="false">TblExplore[[#This Row],[Land]]</f>
        <v>700</v>
      </c>
      <c r="R88" s="170" t="n">
        <f aca="false">TblExplore[[#This Row],[Hour]]</f>
        <v>85</v>
      </c>
      <c r="S88" s="248"/>
      <c r="T88" s="182"/>
      <c r="U88" s="182"/>
      <c r="V88" s="182"/>
      <c r="W88" s="182"/>
      <c r="X88" s="182"/>
      <c r="Y88" s="182"/>
      <c r="Z88" s="182"/>
      <c r="AA88" s="153" t="n">
        <f aca="false">TblImps[[#This Row],[Real time]]</f>
        <v>45433.25</v>
      </c>
      <c r="AB88" s="69" t="n">
        <f aca="false">TblMili[[#This Row],[Draftees]]</f>
        <v>772</v>
      </c>
      <c r="AC88" s="69" t="n">
        <f aca="false">TblProd[[#This Row],[Platinum]]</f>
        <v>512165</v>
      </c>
      <c r="AD88" s="245"/>
      <c r="AE88" s="151" t="n">
        <f aca="false">TblExplore[[#This Row],[Land]]-TblExplore[[#This Row],[Land Bonus]]*20</f>
        <v>700</v>
      </c>
      <c r="AF88" s="69" t="n">
        <f aca="false">ROUND(MAX(0.6*TblExplore[[#This Row],[Land-DB]]^1.299,850)*(1+ tech_2_6*Techs!AC88 + tech_2_9*Techs!AF88 + tech_3_7*Techs!AN88 + Overview!$I$32),0)</f>
        <v>2978</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110</v>
      </c>
    </row>
    <row r="89" customFormat="false" ht="12.75" hidden="false" customHeight="false" outlineLevel="0" collapsed="false">
      <c r="A89" s="170" t="n">
        <f aca="false">TblRezone[[#This Row],[Hour]]</f>
        <v>86</v>
      </c>
      <c r="B89" s="181" t="n">
        <f aca="false">TblConstr[[#This Row],[Land]]</f>
        <v>700</v>
      </c>
      <c r="C89" s="245"/>
      <c r="D89" s="246" t="n">
        <f aca="false">TblConstr[[#This Row],[Plain]]</f>
        <v>0</v>
      </c>
      <c r="E89" s="193" t="n">
        <f aca="false">TblConstr[[#This Row],[Forest]]</f>
        <v>0</v>
      </c>
      <c r="F89" s="200" t="n">
        <f aca="false">TblConstr[[#This Row],[Mountain]]</f>
        <v>0</v>
      </c>
      <c r="G89" s="201" t="n">
        <f aca="false">TblConstr[[#This Row],[Hill]]</f>
        <v>0</v>
      </c>
      <c r="H89" s="202" t="n">
        <f aca="false">TblConstr[[#This Row],[Swamp]]</f>
        <v>0</v>
      </c>
      <c r="I89" s="197" t="n">
        <f aca="false">TblConstr[[#This Row],[Cavern]]</f>
        <v>0</v>
      </c>
      <c r="J89" s="198" t="n">
        <f aca="false">TblConstr[[#This Row],[Water]]</f>
        <v>0</v>
      </c>
      <c r="K89" s="4"/>
      <c r="L89" s="4"/>
      <c r="M89" s="12"/>
      <c r="N89" s="247" t="n">
        <f aca="false">TblMili[[#This Row],[Smithies]]</f>
        <v>0.18</v>
      </c>
      <c r="O89" s="247" t="n">
        <f aca="false">TblPop[[#This Row],[Employment]]</f>
        <v>1</v>
      </c>
      <c r="P89" s="247" t="n">
        <f aca="false">TblImps[[#This Row],[Population]]</f>
        <v>1</v>
      </c>
      <c r="Q89" s="181" t="n">
        <f aca="false">TblExplore[[#This Row],[Land]]</f>
        <v>700</v>
      </c>
      <c r="R89" s="170" t="n">
        <f aca="false">TblExplore[[#This Row],[Hour]]</f>
        <v>86</v>
      </c>
      <c r="S89" s="248"/>
      <c r="T89" s="182"/>
      <c r="U89" s="182"/>
      <c r="V89" s="182"/>
      <c r="W89" s="182"/>
      <c r="X89" s="182"/>
      <c r="Y89" s="182"/>
      <c r="Z89" s="182"/>
      <c r="AA89" s="153" t="n">
        <f aca="false">TblImps[[#This Row],[Real time]]</f>
        <v>45433.2916666667</v>
      </c>
      <c r="AB89" s="69" t="n">
        <f aca="false">TblMili[[#This Row],[Draftees]]</f>
        <v>861</v>
      </c>
      <c r="AC89" s="69" t="n">
        <f aca="false">TblProd[[#This Row],[Platinum]]</f>
        <v>556270</v>
      </c>
      <c r="AD89" s="245"/>
      <c r="AE89" s="151" t="n">
        <f aca="false">TblExplore[[#This Row],[Land]]-TblExplore[[#This Row],[Land Bonus]]*20</f>
        <v>700</v>
      </c>
      <c r="AF89" s="69" t="n">
        <f aca="false">ROUND(MAX(0.6*TblExplore[[#This Row],[Land-DB]]^1.299,850)*(1+ tech_2_6*Techs!AC89 + tech_2_9*Techs!AF89 + tech_3_7*Techs!AN89 + Overview!$I$32),0)</f>
        <v>2978</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123</v>
      </c>
    </row>
    <row r="90" customFormat="false" ht="12.75" hidden="false" customHeight="false" outlineLevel="0" collapsed="false">
      <c r="A90" s="170" t="n">
        <f aca="false">TblRezone[[#This Row],[Hour]]</f>
        <v>87</v>
      </c>
      <c r="B90" s="181" t="n">
        <f aca="false">TblConstr[[#This Row],[Land]]</f>
        <v>700</v>
      </c>
      <c r="C90" s="245"/>
      <c r="D90" s="246" t="n">
        <f aca="false">TblConstr[[#This Row],[Plain]]</f>
        <v>0</v>
      </c>
      <c r="E90" s="193" t="n">
        <f aca="false">TblConstr[[#This Row],[Forest]]</f>
        <v>0</v>
      </c>
      <c r="F90" s="200" t="n">
        <f aca="false">TblConstr[[#This Row],[Mountain]]</f>
        <v>0</v>
      </c>
      <c r="G90" s="201" t="n">
        <f aca="false">TblConstr[[#This Row],[Hill]]</f>
        <v>0</v>
      </c>
      <c r="H90" s="202" t="n">
        <f aca="false">TblConstr[[#This Row],[Swamp]]</f>
        <v>0</v>
      </c>
      <c r="I90" s="197" t="n">
        <f aca="false">TblConstr[[#This Row],[Cavern]]</f>
        <v>0</v>
      </c>
      <c r="J90" s="198" t="n">
        <f aca="false">TblConstr[[#This Row],[Water]]</f>
        <v>0</v>
      </c>
      <c r="K90" s="4"/>
      <c r="L90" s="4"/>
      <c r="M90" s="12"/>
      <c r="N90" s="247" t="n">
        <f aca="false">TblMili[[#This Row],[Smithies]]</f>
        <v>0.18</v>
      </c>
      <c r="O90" s="247" t="n">
        <f aca="false">TblPop[[#This Row],[Employment]]</f>
        <v>1</v>
      </c>
      <c r="P90" s="247" t="n">
        <f aca="false">TblImps[[#This Row],[Population]]</f>
        <v>1</v>
      </c>
      <c r="Q90" s="181" t="n">
        <f aca="false">TblExplore[[#This Row],[Land]]</f>
        <v>700</v>
      </c>
      <c r="R90" s="170" t="n">
        <f aca="false">TblExplore[[#This Row],[Hour]]</f>
        <v>87</v>
      </c>
      <c r="S90" s="248"/>
      <c r="T90" s="182"/>
      <c r="U90" s="182"/>
      <c r="V90" s="182"/>
      <c r="W90" s="182"/>
      <c r="X90" s="182"/>
      <c r="Y90" s="182"/>
      <c r="Z90" s="182"/>
      <c r="AA90" s="153" t="n">
        <f aca="false">TblImps[[#This Row],[Real time]]</f>
        <v>45433.3333333333</v>
      </c>
      <c r="AB90" s="69" t="n">
        <f aca="false">TblMili[[#This Row],[Draftees]]</f>
        <v>950</v>
      </c>
      <c r="AC90" s="69" t="n">
        <f aca="false">TblProd[[#This Row],[Platinum]]</f>
        <v>600111</v>
      </c>
      <c r="AD90" s="245"/>
      <c r="AE90" s="151" t="n">
        <f aca="false">TblExplore[[#This Row],[Land]]-TblExplore[[#This Row],[Land Bonus]]*20</f>
        <v>700</v>
      </c>
      <c r="AF90" s="69" t="n">
        <f aca="false">ROUND(MAX(0.6*TblExplore[[#This Row],[Land-DB]]^1.299,850)*(1+ tech_2_6*Techs!AC90 + tech_2_9*Techs!AF90 + tech_3_7*Techs!AN90 + Overview!$I$32),0)</f>
        <v>2978</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135</v>
      </c>
    </row>
    <row r="91" customFormat="false" ht="12.75" hidden="false" customHeight="false" outlineLevel="0" collapsed="false">
      <c r="A91" s="170" t="n">
        <f aca="false">TblRezone[[#This Row],[Hour]]</f>
        <v>88</v>
      </c>
      <c r="B91" s="181" t="n">
        <f aca="false">TblConstr[[#This Row],[Land]]</f>
        <v>700</v>
      </c>
      <c r="C91" s="245"/>
      <c r="D91" s="246" t="n">
        <f aca="false">TblConstr[[#This Row],[Plain]]</f>
        <v>0</v>
      </c>
      <c r="E91" s="193" t="n">
        <f aca="false">TblConstr[[#This Row],[Forest]]</f>
        <v>0</v>
      </c>
      <c r="F91" s="200" t="n">
        <f aca="false">TblConstr[[#This Row],[Mountain]]</f>
        <v>0</v>
      </c>
      <c r="G91" s="201" t="n">
        <f aca="false">TblConstr[[#This Row],[Hill]]</f>
        <v>0</v>
      </c>
      <c r="H91" s="202" t="n">
        <f aca="false">TblConstr[[#This Row],[Swamp]]</f>
        <v>0</v>
      </c>
      <c r="I91" s="197" t="n">
        <f aca="false">TblConstr[[#This Row],[Cavern]]</f>
        <v>0</v>
      </c>
      <c r="J91" s="198" t="n">
        <f aca="false">TblConstr[[#This Row],[Water]]</f>
        <v>0</v>
      </c>
      <c r="K91" s="4"/>
      <c r="L91" s="4"/>
      <c r="M91" s="12"/>
      <c r="N91" s="247" t="n">
        <f aca="false">TblMili[[#This Row],[Smithies]]</f>
        <v>0.18</v>
      </c>
      <c r="O91" s="247" t="n">
        <f aca="false">TblPop[[#This Row],[Employment]]</f>
        <v>1</v>
      </c>
      <c r="P91" s="247" t="n">
        <f aca="false">TblImps[[#This Row],[Population]]</f>
        <v>1</v>
      </c>
      <c r="Q91" s="181" t="n">
        <f aca="false">TblExplore[[#This Row],[Land]]</f>
        <v>700</v>
      </c>
      <c r="R91" s="170" t="n">
        <f aca="false">TblExplore[[#This Row],[Hour]]</f>
        <v>88</v>
      </c>
      <c r="S91" s="248"/>
      <c r="T91" s="152"/>
      <c r="U91" s="182"/>
      <c r="V91" s="182"/>
      <c r="W91" s="182"/>
      <c r="X91" s="182"/>
      <c r="Y91" s="182"/>
      <c r="Z91" s="182"/>
      <c r="AA91" s="153" t="n">
        <f aca="false">TblImps[[#This Row],[Real time]]</f>
        <v>45433.375</v>
      </c>
      <c r="AB91" s="69" t="n">
        <f aca="false">TblMili[[#This Row],[Draftees]]</f>
        <v>1038</v>
      </c>
      <c r="AC91" s="69" t="n">
        <f aca="false">TblProd[[#This Row],[Platinum]]</f>
        <v>643688</v>
      </c>
      <c r="AD91" s="245"/>
      <c r="AE91" s="151" t="n">
        <f aca="false">TblExplore[[#This Row],[Land]]-TblExplore[[#This Row],[Land Bonus]]*20</f>
        <v>700</v>
      </c>
      <c r="AF91" s="69" t="n">
        <f aca="false">ROUND(MAX(0.6*TblExplore[[#This Row],[Land-DB]]^1.299,850)*(1+ tech_2_6*Techs!AC91 + tech_2_9*Techs!AF91 + tech_3_7*Techs!AN91 + Overview!$I$32),0)</f>
        <v>2978</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148</v>
      </c>
    </row>
    <row r="92" customFormat="false" ht="12.75" hidden="false" customHeight="false" outlineLevel="0" collapsed="false">
      <c r="A92" s="170" t="n">
        <f aca="false">TblRezone[[#This Row],[Hour]]</f>
        <v>89</v>
      </c>
      <c r="B92" s="181" t="n">
        <f aca="false">TblConstr[[#This Row],[Land]]</f>
        <v>700</v>
      </c>
      <c r="C92" s="245"/>
      <c r="D92" s="246" t="n">
        <f aca="false">TblConstr[[#This Row],[Plain]]</f>
        <v>0</v>
      </c>
      <c r="E92" s="193" t="n">
        <f aca="false">TblConstr[[#This Row],[Forest]]</f>
        <v>0</v>
      </c>
      <c r="F92" s="200" t="n">
        <f aca="false">TblConstr[[#This Row],[Mountain]]</f>
        <v>0</v>
      </c>
      <c r="G92" s="201" t="n">
        <f aca="false">TblConstr[[#This Row],[Hill]]</f>
        <v>0</v>
      </c>
      <c r="H92" s="202" t="n">
        <f aca="false">TblConstr[[#This Row],[Swamp]]</f>
        <v>0</v>
      </c>
      <c r="I92" s="197" t="n">
        <f aca="false">TblConstr[[#This Row],[Cavern]]</f>
        <v>0</v>
      </c>
      <c r="J92" s="198" t="n">
        <f aca="false">TblConstr[[#This Row],[Water]]</f>
        <v>0</v>
      </c>
      <c r="K92" s="4"/>
      <c r="L92" s="4"/>
      <c r="M92" s="12"/>
      <c r="N92" s="247" t="n">
        <f aca="false">TblMili[[#This Row],[Smithies]]</f>
        <v>0.18</v>
      </c>
      <c r="O92" s="247" t="n">
        <f aca="false">TblPop[[#This Row],[Employment]]</f>
        <v>1</v>
      </c>
      <c r="P92" s="247" t="n">
        <f aca="false">TblImps[[#This Row],[Population]]</f>
        <v>1</v>
      </c>
      <c r="Q92" s="181" t="n">
        <f aca="false">TblExplore[[#This Row],[Land]]</f>
        <v>700</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1125</v>
      </c>
      <c r="AC92" s="69" t="n">
        <f aca="false">TblProd[[#This Row],[Platinum]]</f>
        <v>687003</v>
      </c>
      <c r="AD92" s="245"/>
      <c r="AE92" s="151" t="n">
        <f aca="false">TblExplore[[#This Row],[Land]]-TblExplore[[#This Row],[Land Bonus]]*20</f>
        <v>700</v>
      </c>
      <c r="AF92" s="69" t="n">
        <f aca="false">ROUND(MAX(0.6*TblExplore[[#This Row],[Land-DB]]^1.299,850)*(1+ tech_2_6*Techs!AC92 + tech_2_9*Techs!AF92 + tech_3_7*Techs!AN92 + Overview!$I$32),0)</f>
        <v>2978</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160</v>
      </c>
    </row>
    <row r="93" customFormat="false" ht="12.75" hidden="false" customHeight="false" outlineLevel="0" collapsed="false">
      <c r="A93" s="170" t="n">
        <f aca="false">TblRezone[[#This Row],[Hour]]</f>
        <v>90</v>
      </c>
      <c r="B93" s="181" t="n">
        <f aca="false">TblConstr[[#This Row],[Land]]</f>
        <v>700</v>
      </c>
      <c r="C93" s="245"/>
      <c r="D93" s="246" t="n">
        <f aca="false">TblConstr[[#This Row],[Plain]]</f>
        <v>0</v>
      </c>
      <c r="E93" s="193" t="n">
        <f aca="false">TblConstr[[#This Row],[Forest]]</f>
        <v>0</v>
      </c>
      <c r="F93" s="200" t="n">
        <f aca="false">TblConstr[[#This Row],[Mountain]]</f>
        <v>0</v>
      </c>
      <c r="G93" s="201" t="n">
        <f aca="false">TblConstr[[#This Row],[Hill]]</f>
        <v>0</v>
      </c>
      <c r="H93" s="202" t="n">
        <f aca="false">TblConstr[[#This Row],[Swamp]]</f>
        <v>0</v>
      </c>
      <c r="I93" s="197" t="n">
        <f aca="false">TblConstr[[#This Row],[Cavern]]</f>
        <v>0</v>
      </c>
      <c r="J93" s="198" t="n">
        <f aca="false">TblConstr[[#This Row],[Water]]</f>
        <v>0</v>
      </c>
      <c r="K93" s="4"/>
      <c r="L93" s="4"/>
      <c r="M93" s="12"/>
      <c r="N93" s="247" t="n">
        <f aca="false">TblMili[[#This Row],[Smithies]]</f>
        <v>0.18</v>
      </c>
      <c r="O93" s="247" t="n">
        <f aca="false">TblPop[[#This Row],[Employment]]</f>
        <v>1</v>
      </c>
      <c r="P93" s="247" t="n">
        <f aca="false">TblImps[[#This Row],[Population]]</f>
        <v>1</v>
      </c>
      <c r="Q93" s="181" t="n">
        <f aca="false">TblExplore[[#This Row],[Land]]</f>
        <v>700</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1211</v>
      </c>
      <c r="AC93" s="69" t="n">
        <f aca="false">TblProd[[#This Row],[Platinum]]</f>
        <v>730060</v>
      </c>
      <c r="AD93" s="245"/>
      <c r="AE93" s="151" t="n">
        <f aca="false">TblExplore[[#This Row],[Land]]-TblExplore[[#This Row],[Land Bonus]]*20</f>
        <v>700</v>
      </c>
      <c r="AF93" s="69" t="n">
        <f aca="false">ROUND(MAX(0.6*TblExplore[[#This Row],[Land-DB]]^1.299,850)*(1+ tech_2_6*Techs!AC93 + tech_2_9*Techs!AF93 + tech_3_7*Techs!AN93 + Overview!$I$32),0)</f>
        <v>2978</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173</v>
      </c>
    </row>
    <row r="94" customFormat="false" ht="12.75" hidden="false" customHeight="false" outlineLevel="0" collapsed="false">
      <c r="A94" s="170" t="n">
        <f aca="false">TblRezone[[#This Row],[Hour]]</f>
        <v>91</v>
      </c>
      <c r="B94" s="181" t="n">
        <f aca="false">TblConstr[[#This Row],[Land]]</f>
        <v>700</v>
      </c>
      <c r="C94" s="245"/>
      <c r="D94" s="246" t="n">
        <f aca="false">TblConstr[[#This Row],[Plain]]</f>
        <v>0</v>
      </c>
      <c r="E94" s="193" t="n">
        <f aca="false">TblConstr[[#This Row],[Forest]]</f>
        <v>0</v>
      </c>
      <c r="F94" s="200" t="n">
        <f aca="false">TblConstr[[#This Row],[Mountain]]</f>
        <v>0</v>
      </c>
      <c r="G94" s="201" t="n">
        <f aca="false">TblConstr[[#This Row],[Hill]]</f>
        <v>0</v>
      </c>
      <c r="H94" s="202" t="n">
        <f aca="false">TblConstr[[#This Row],[Swamp]]</f>
        <v>0</v>
      </c>
      <c r="I94" s="197" t="n">
        <f aca="false">TblConstr[[#This Row],[Cavern]]</f>
        <v>0</v>
      </c>
      <c r="J94" s="198" t="n">
        <f aca="false">TblConstr[[#This Row],[Water]]</f>
        <v>0</v>
      </c>
      <c r="K94" s="4"/>
      <c r="L94" s="4"/>
      <c r="M94" s="12"/>
      <c r="N94" s="247" t="n">
        <f aca="false">TblMili[[#This Row],[Smithies]]</f>
        <v>0.18</v>
      </c>
      <c r="O94" s="247" t="n">
        <f aca="false">TblPop[[#This Row],[Employment]]</f>
        <v>1</v>
      </c>
      <c r="P94" s="247" t="n">
        <f aca="false">TblImps[[#This Row],[Population]]</f>
        <v>1</v>
      </c>
      <c r="Q94" s="181" t="n">
        <f aca="false">TblExplore[[#This Row],[Land]]</f>
        <v>700</v>
      </c>
      <c r="R94" s="170" t="n">
        <f aca="false">TblExplore[[#This Row],[Hour]]</f>
        <v>91</v>
      </c>
      <c r="S94" s="248"/>
      <c r="T94" s="182"/>
      <c r="U94" s="182"/>
      <c r="V94" s="182"/>
      <c r="W94" s="182"/>
      <c r="X94" s="182"/>
      <c r="Y94" s="182"/>
      <c r="Z94" s="182"/>
      <c r="AA94" s="153" t="n">
        <f aca="false">TblImps[[#This Row],[Real time]]</f>
        <v>45433.5</v>
      </c>
      <c r="AB94" s="69" t="n">
        <f aca="false">TblMili[[#This Row],[Draftees]]</f>
        <v>1296</v>
      </c>
      <c r="AC94" s="69" t="n">
        <f aca="false">TblProd[[#This Row],[Platinum]]</f>
        <v>772861</v>
      </c>
      <c r="AD94" s="245"/>
      <c r="AE94" s="151" t="n">
        <f aca="false">TblExplore[[#This Row],[Land]]-TblExplore[[#This Row],[Land Bonus]]*20</f>
        <v>700</v>
      </c>
      <c r="AF94" s="69" t="n">
        <f aca="false">ROUND(MAX(0.6*TblExplore[[#This Row],[Land-DB]]^1.299,850)*(1+ tech_2_6*Techs!AC94 + tech_2_9*Techs!AF94 + tech_3_7*Techs!AN94 + Overview!$I$32),0)</f>
        <v>2978</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185</v>
      </c>
    </row>
    <row r="95" customFormat="false" ht="12.75" hidden="false" customHeight="false" outlineLevel="0" collapsed="false">
      <c r="A95" s="170" t="n">
        <f aca="false">TblRezone[[#This Row],[Hour]]</f>
        <v>92</v>
      </c>
      <c r="B95" s="181" t="n">
        <f aca="false">TblConstr[[#This Row],[Land]]</f>
        <v>700</v>
      </c>
      <c r="C95" s="245"/>
      <c r="D95" s="246" t="n">
        <f aca="false">TblConstr[[#This Row],[Plain]]</f>
        <v>0</v>
      </c>
      <c r="E95" s="193" t="n">
        <f aca="false">TblConstr[[#This Row],[Forest]]</f>
        <v>0</v>
      </c>
      <c r="F95" s="200" t="n">
        <f aca="false">TblConstr[[#This Row],[Mountain]]</f>
        <v>0</v>
      </c>
      <c r="G95" s="201" t="n">
        <f aca="false">TblConstr[[#This Row],[Hill]]</f>
        <v>0</v>
      </c>
      <c r="H95" s="202" t="n">
        <f aca="false">TblConstr[[#This Row],[Swamp]]</f>
        <v>0</v>
      </c>
      <c r="I95" s="197" t="n">
        <f aca="false">TblConstr[[#This Row],[Cavern]]</f>
        <v>0</v>
      </c>
      <c r="J95" s="198" t="n">
        <f aca="false">TblConstr[[#This Row],[Water]]</f>
        <v>0</v>
      </c>
      <c r="K95" s="4"/>
      <c r="L95" s="4"/>
      <c r="M95" s="12"/>
      <c r="N95" s="247" t="n">
        <f aca="false">TblMili[[#This Row],[Smithies]]</f>
        <v>0.18</v>
      </c>
      <c r="O95" s="247" t="n">
        <f aca="false">TblPop[[#This Row],[Employment]]</f>
        <v>1</v>
      </c>
      <c r="P95" s="247" t="n">
        <f aca="false">TblImps[[#This Row],[Population]]</f>
        <v>1</v>
      </c>
      <c r="Q95" s="181" t="n">
        <f aca="false">TblExplore[[#This Row],[Land]]</f>
        <v>700</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1380</v>
      </c>
      <c r="AC95" s="69" t="n">
        <f aca="false">TblProd[[#This Row],[Platinum]]</f>
        <v>815410</v>
      </c>
      <c r="AD95" s="245"/>
      <c r="AE95" s="151" t="n">
        <f aca="false">TblExplore[[#This Row],[Land]]-TblExplore[[#This Row],[Land Bonus]]*20</f>
        <v>700</v>
      </c>
      <c r="AF95" s="69" t="n">
        <f aca="false">ROUND(MAX(0.6*TblExplore[[#This Row],[Land-DB]]^1.299,850)*(1+ tech_2_6*Techs!AC95 + tech_2_9*Techs!AF95 + tech_3_7*Techs!AN95 + Overview!$I$32),0)</f>
        <v>2978</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197</v>
      </c>
    </row>
    <row r="96" customFormat="false" ht="12.75" hidden="false" customHeight="false" outlineLevel="0" collapsed="false">
      <c r="A96" s="170" t="n">
        <f aca="false">TblRezone[[#This Row],[Hour]]</f>
        <v>93</v>
      </c>
      <c r="B96" s="181" t="n">
        <f aca="false">TblConstr[[#This Row],[Land]]</f>
        <v>700</v>
      </c>
      <c r="C96" s="245"/>
      <c r="D96" s="246" t="n">
        <f aca="false">TblConstr[[#This Row],[Plain]]</f>
        <v>0</v>
      </c>
      <c r="E96" s="193" t="n">
        <f aca="false">TblConstr[[#This Row],[Forest]]</f>
        <v>0</v>
      </c>
      <c r="F96" s="200" t="n">
        <f aca="false">TblConstr[[#This Row],[Mountain]]</f>
        <v>0</v>
      </c>
      <c r="G96" s="201" t="n">
        <f aca="false">TblConstr[[#This Row],[Hill]]</f>
        <v>0</v>
      </c>
      <c r="H96" s="202" t="n">
        <f aca="false">TblConstr[[#This Row],[Swamp]]</f>
        <v>0</v>
      </c>
      <c r="I96" s="197" t="n">
        <f aca="false">TblConstr[[#This Row],[Cavern]]</f>
        <v>0</v>
      </c>
      <c r="J96" s="198" t="n">
        <f aca="false">TblConstr[[#This Row],[Water]]</f>
        <v>0</v>
      </c>
      <c r="K96" s="4"/>
      <c r="L96" s="4"/>
      <c r="M96" s="4"/>
      <c r="N96" s="247" t="n">
        <f aca="false">TblMili[[#This Row],[Smithies]]</f>
        <v>0.18</v>
      </c>
      <c r="O96" s="247" t="n">
        <f aca="false">TblPop[[#This Row],[Employment]]</f>
        <v>1</v>
      </c>
      <c r="P96" s="247" t="n">
        <f aca="false">TblImps[[#This Row],[Population]]</f>
        <v>1</v>
      </c>
      <c r="Q96" s="181" t="n">
        <f aca="false">TblExplore[[#This Row],[Land]]</f>
        <v>700</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1463</v>
      </c>
      <c r="AC96" s="69" t="n">
        <f aca="false">TblProd[[#This Row],[Platinum]]</f>
        <v>857709</v>
      </c>
      <c r="AD96" s="245"/>
      <c r="AE96" s="151" t="n">
        <f aca="false">TblExplore[[#This Row],[Land]]-TblExplore[[#This Row],[Land Bonus]]*20</f>
        <v>700</v>
      </c>
      <c r="AF96" s="69" t="n">
        <f aca="false">ROUND(MAX(0.6*TblExplore[[#This Row],[Land-DB]]^1.299,850)*(1+ tech_2_6*Techs!AC96 + tech_2_9*Techs!AF96 + tech_3_7*Techs!AN96 + Overview!$I$32),0)</f>
        <v>2978</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209</v>
      </c>
    </row>
    <row r="97" customFormat="false" ht="12.75" hidden="false" customHeight="false" outlineLevel="0" collapsed="false">
      <c r="A97" s="170" t="n">
        <f aca="false">TblRezone[[#This Row],[Hour]]</f>
        <v>94</v>
      </c>
      <c r="B97" s="181" t="n">
        <f aca="false">TblConstr[[#This Row],[Land]]</f>
        <v>700</v>
      </c>
      <c r="C97" s="245"/>
      <c r="D97" s="246" t="n">
        <f aca="false">TblConstr[[#This Row],[Plain]]</f>
        <v>0</v>
      </c>
      <c r="E97" s="193" t="n">
        <f aca="false">TblConstr[[#This Row],[Forest]]</f>
        <v>0</v>
      </c>
      <c r="F97" s="200" t="n">
        <f aca="false">TblConstr[[#This Row],[Mountain]]</f>
        <v>0</v>
      </c>
      <c r="G97" s="201" t="n">
        <f aca="false">TblConstr[[#This Row],[Hill]]</f>
        <v>0</v>
      </c>
      <c r="H97" s="202" t="n">
        <f aca="false">TblConstr[[#This Row],[Swamp]]</f>
        <v>0</v>
      </c>
      <c r="I97" s="197" t="n">
        <f aca="false">TblConstr[[#This Row],[Cavern]]</f>
        <v>0</v>
      </c>
      <c r="J97" s="198" t="n">
        <f aca="false">TblConstr[[#This Row],[Water]]</f>
        <v>0</v>
      </c>
      <c r="K97" s="4"/>
      <c r="L97" s="4"/>
      <c r="M97" s="4"/>
      <c r="N97" s="247" t="n">
        <f aca="false">TblMili[[#This Row],[Smithies]]</f>
        <v>0.18</v>
      </c>
      <c r="O97" s="247" t="n">
        <f aca="false">TblPop[[#This Row],[Employment]]</f>
        <v>1</v>
      </c>
      <c r="P97" s="247" t="n">
        <f aca="false">TblImps[[#This Row],[Population]]</f>
        <v>1</v>
      </c>
      <c r="Q97" s="181" t="n">
        <f aca="false">TblExplore[[#This Row],[Land]]</f>
        <v>700</v>
      </c>
      <c r="R97" s="181" t="n">
        <f aca="false">TblExplore[[#This Row],[Hour]]</f>
        <v>94</v>
      </c>
      <c r="S97" s="248"/>
      <c r="T97" s="182"/>
      <c r="U97" s="182"/>
      <c r="V97" s="182"/>
      <c r="W97" s="182"/>
      <c r="X97" s="182"/>
      <c r="Y97" s="182"/>
      <c r="Z97" s="182"/>
      <c r="AA97" s="153" t="n">
        <f aca="false">TblImps[[#This Row],[Real time]]</f>
        <v>45433.625</v>
      </c>
      <c r="AB97" s="69" t="n">
        <f aca="false">TblMili[[#This Row],[Draftees]]</f>
        <v>1546</v>
      </c>
      <c r="AC97" s="69" t="n">
        <f aca="false">TblProd[[#This Row],[Platinum]]</f>
        <v>899762</v>
      </c>
      <c r="AD97" s="245"/>
      <c r="AE97" s="151" t="n">
        <f aca="false">TblExplore[[#This Row],[Land]]-TblExplore[[#This Row],[Land Bonus]]*20</f>
        <v>700</v>
      </c>
      <c r="AF97" s="69" t="n">
        <f aca="false">ROUND(MAX(0.6*TblExplore[[#This Row],[Land-DB]]^1.299,850)*(1+ tech_2_6*Techs!AC97 + tech_2_9*Techs!AF97 + tech_3_7*Techs!AN97 + Overview!$I$32),0)</f>
        <v>2978</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220</v>
      </c>
    </row>
    <row r="98" customFormat="false" ht="12.75" hidden="false" customHeight="false" outlineLevel="0" collapsed="false">
      <c r="A98" s="170" t="n">
        <f aca="false">TblRezone[[#This Row],[Hour]]</f>
        <v>95</v>
      </c>
      <c r="B98" s="181" t="n">
        <f aca="false">TblConstr[[#This Row],[Land]]</f>
        <v>700</v>
      </c>
      <c r="C98" s="245"/>
      <c r="D98" s="246" t="n">
        <f aca="false">TblConstr[[#This Row],[Plain]]</f>
        <v>0</v>
      </c>
      <c r="E98" s="193" t="n">
        <f aca="false">TblConstr[[#This Row],[Forest]]</f>
        <v>0</v>
      </c>
      <c r="F98" s="200" t="n">
        <f aca="false">TblConstr[[#This Row],[Mountain]]</f>
        <v>0</v>
      </c>
      <c r="G98" s="201" t="n">
        <f aca="false">TblConstr[[#This Row],[Hill]]</f>
        <v>0</v>
      </c>
      <c r="H98" s="202" t="n">
        <f aca="false">TblConstr[[#This Row],[Swamp]]</f>
        <v>0</v>
      </c>
      <c r="I98" s="197" t="n">
        <f aca="false">TblConstr[[#This Row],[Cavern]]</f>
        <v>0</v>
      </c>
      <c r="J98" s="198" t="n">
        <f aca="false">TblConstr[[#This Row],[Water]]</f>
        <v>0</v>
      </c>
      <c r="K98" s="4"/>
      <c r="L98" s="4"/>
      <c r="M98" s="12"/>
      <c r="N98" s="247" t="n">
        <f aca="false">TblMili[[#This Row],[Smithies]]</f>
        <v>0.18</v>
      </c>
      <c r="O98" s="247" t="n">
        <f aca="false">TblPop[[#This Row],[Employment]]</f>
        <v>1</v>
      </c>
      <c r="P98" s="247" t="n">
        <f aca="false">TblImps[[#This Row],[Population]]</f>
        <v>1</v>
      </c>
      <c r="Q98" s="181" t="n">
        <f aca="false">TblExplore[[#This Row],[Land]]</f>
        <v>700</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1628</v>
      </c>
      <c r="AC98" s="69" t="n">
        <f aca="false">TblProd[[#This Row],[Platinum]]</f>
        <v>941568</v>
      </c>
      <c r="AD98" s="245"/>
      <c r="AE98" s="151" t="n">
        <f aca="false">TblExplore[[#This Row],[Land]]-TblExplore[[#This Row],[Land Bonus]]*20</f>
        <v>700</v>
      </c>
      <c r="AF98" s="69" t="n">
        <f aca="false">ROUND(MAX(0.6*TblExplore[[#This Row],[Land-DB]]^1.299,850)*(1+ tech_2_6*Techs!AC98 + tech_2_9*Techs!AF98 + tech_3_7*Techs!AN98 + Overview!$I$32),0)</f>
        <v>2978</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232</v>
      </c>
    </row>
    <row r="99" customFormat="false" ht="12.75" hidden="false" customHeight="false" outlineLevel="0" collapsed="false">
      <c r="A99" s="170" t="n">
        <f aca="false">TblRezone[[#This Row],[Hour]]</f>
        <v>96</v>
      </c>
      <c r="B99" s="181" t="n">
        <f aca="false">TblConstr[[#This Row],[Land]]</f>
        <v>700</v>
      </c>
      <c r="C99" s="245"/>
      <c r="D99" s="246" t="n">
        <f aca="false">TblConstr[[#This Row],[Plain]]</f>
        <v>0</v>
      </c>
      <c r="E99" s="193" t="n">
        <f aca="false">TblConstr[[#This Row],[Forest]]</f>
        <v>0</v>
      </c>
      <c r="F99" s="200" t="n">
        <f aca="false">TblConstr[[#This Row],[Mountain]]</f>
        <v>0</v>
      </c>
      <c r="G99" s="201" t="n">
        <f aca="false">TblConstr[[#This Row],[Hill]]</f>
        <v>0</v>
      </c>
      <c r="H99" s="202" t="n">
        <f aca="false">TblConstr[[#This Row],[Swamp]]</f>
        <v>0</v>
      </c>
      <c r="I99" s="197" t="n">
        <f aca="false">TblConstr[[#This Row],[Cavern]]</f>
        <v>0</v>
      </c>
      <c r="J99" s="198" t="n">
        <f aca="false">TblConstr[[#This Row],[Water]]</f>
        <v>0</v>
      </c>
      <c r="K99" s="4"/>
      <c r="L99" s="4"/>
      <c r="M99" s="12"/>
      <c r="N99" s="247" t="n">
        <f aca="false">TblMili[[#This Row],[Smithies]]</f>
        <v>0.18</v>
      </c>
      <c r="O99" s="247" t="n">
        <f aca="false">TblPop[[#This Row],[Employment]]</f>
        <v>1</v>
      </c>
      <c r="P99" s="247" t="n">
        <f aca="false">TblImps[[#This Row],[Population]]</f>
        <v>1</v>
      </c>
      <c r="Q99" s="181" t="n">
        <f aca="false">TblExplore[[#This Row],[Land]]</f>
        <v>700</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1709</v>
      </c>
      <c r="AC99" s="69" t="n">
        <f aca="false">TblProd[[#This Row],[Platinum]]</f>
        <v>983131</v>
      </c>
      <c r="AD99" s="245"/>
      <c r="AE99" s="151" t="n">
        <f aca="false">TblExplore[[#This Row],[Land]]-TblExplore[[#This Row],[Land Bonus]]*20</f>
        <v>700</v>
      </c>
      <c r="AF99" s="69" t="n">
        <f aca="false">ROUND(MAX(0.6*TblExplore[[#This Row],[Land-DB]]^1.299,850)*(1+ tech_2_6*Techs!AC99 + tech_2_9*Techs!AF99 + tech_3_7*Techs!AN99 + Overview!$I$32),0)</f>
        <v>2978</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244</v>
      </c>
    </row>
    <row r="100" customFormat="false" ht="12.75" hidden="false" customHeight="false" outlineLevel="0" collapsed="false">
      <c r="A100" s="170" t="n">
        <f aca="false">TblRezone[[#This Row],[Hour]]</f>
        <v>97</v>
      </c>
      <c r="B100" s="181" t="n">
        <f aca="false">TblConstr[[#This Row],[Land]]</f>
        <v>700</v>
      </c>
      <c r="C100" s="245"/>
      <c r="D100" s="246" t="n">
        <f aca="false">TblConstr[[#This Row],[Plain]]</f>
        <v>0</v>
      </c>
      <c r="E100" s="193" t="n">
        <f aca="false">TblConstr[[#This Row],[Forest]]</f>
        <v>0</v>
      </c>
      <c r="F100" s="200" t="n">
        <f aca="false">TblConstr[[#This Row],[Mountain]]</f>
        <v>0</v>
      </c>
      <c r="G100" s="201" t="n">
        <f aca="false">TblConstr[[#This Row],[Hill]]</f>
        <v>0</v>
      </c>
      <c r="H100" s="202" t="n">
        <f aca="false">TblConstr[[#This Row],[Swamp]]</f>
        <v>0</v>
      </c>
      <c r="I100" s="197" t="n">
        <f aca="false">TblConstr[[#This Row],[Cavern]]</f>
        <v>0</v>
      </c>
      <c r="J100" s="198" t="n">
        <f aca="false">TblConstr[[#This Row],[Water]]</f>
        <v>0</v>
      </c>
      <c r="K100" s="4"/>
      <c r="L100" s="4"/>
      <c r="M100" s="12"/>
      <c r="N100" s="247" t="n">
        <f aca="false">TblMili[[#This Row],[Smithies]]</f>
        <v>0.18</v>
      </c>
      <c r="O100" s="247" t="n">
        <f aca="false">TblPop[[#This Row],[Employment]]</f>
        <v>1</v>
      </c>
      <c r="P100" s="247" t="n">
        <f aca="false">TblImps[[#This Row],[Population]]</f>
        <v>1</v>
      </c>
      <c r="Q100" s="181" t="n">
        <f aca="false">TblExplore[[#This Row],[Land]]</f>
        <v>700</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1789</v>
      </c>
      <c r="AC100" s="69" t="n">
        <f aca="false">TblProd[[#This Row],[Platinum]]</f>
        <v>1024453</v>
      </c>
      <c r="AD100" s="245"/>
      <c r="AE100" s="151" t="n">
        <f aca="false">TblExplore[[#This Row],[Land]]-TblExplore[[#This Row],[Land Bonus]]*20</f>
        <v>700</v>
      </c>
      <c r="AF100" s="69" t="n">
        <f aca="false">ROUND(MAX(0.6*TblExplore[[#This Row],[Land-DB]]^1.299,850)*(1+ tech_2_6*Techs!AC100 + tech_2_9*Techs!AF100 + tech_3_7*Techs!AN100 + Overview!$I$32),0)</f>
        <v>2978</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255</v>
      </c>
    </row>
    <row r="101" customFormat="false" ht="12.75" hidden="false" customHeight="false" outlineLevel="0" collapsed="false">
      <c r="A101" s="170" t="n">
        <f aca="false">TblRezone[[#This Row],[Hour]]</f>
        <v>98</v>
      </c>
      <c r="B101" s="181" t="n">
        <f aca="false">TblConstr[[#This Row],[Land]]</f>
        <v>700</v>
      </c>
      <c r="C101" s="245"/>
      <c r="D101" s="246" t="n">
        <f aca="false">TblConstr[[#This Row],[Plain]]</f>
        <v>0</v>
      </c>
      <c r="E101" s="193" t="n">
        <f aca="false">TblConstr[[#This Row],[Forest]]</f>
        <v>0</v>
      </c>
      <c r="F101" s="200" t="n">
        <f aca="false">TblConstr[[#This Row],[Mountain]]</f>
        <v>0</v>
      </c>
      <c r="G101" s="201" t="n">
        <f aca="false">TblConstr[[#This Row],[Hill]]</f>
        <v>0</v>
      </c>
      <c r="H101" s="202" t="n">
        <f aca="false">TblConstr[[#This Row],[Swamp]]</f>
        <v>0</v>
      </c>
      <c r="I101" s="197" t="n">
        <f aca="false">TblConstr[[#This Row],[Cavern]]</f>
        <v>0</v>
      </c>
      <c r="J101" s="198" t="n">
        <f aca="false">TblConstr[[#This Row],[Water]]</f>
        <v>0</v>
      </c>
      <c r="K101" s="4"/>
      <c r="L101" s="4"/>
      <c r="M101" s="249"/>
      <c r="N101" s="247" t="n">
        <f aca="false">TblMili[[#This Row],[Smithies]]</f>
        <v>0.18</v>
      </c>
      <c r="O101" s="247" t="n">
        <f aca="false">TblPop[[#This Row],[Employment]]</f>
        <v>1</v>
      </c>
      <c r="P101" s="247" t="n">
        <f aca="false">TblImps[[#This Row],[Population]]</f>
        <v>1</v>
      </c>
      <c r="Q101" s="181" t="n">
        <f aca="false">TblExplore[[#This Row],[Land]]</f>
        <v>700</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1868</v>
      </c>
      <c r="AC101" s="69" t="n">
        <f aca="false">TblProd[[#This Row],[Platinum]]</f>
        <v>1065538</v>
      </c>
      <c r="AD101" s="245"/>
      <c r="AE101" s="151" t="n">
        <f aca="false">TblExplore[[#This Row],[Land]]-TblExplore[[#This Row],[Land Bonus]]*20</f>
        <v>700</v>
      </c>
      <c r="AF101" s="69" t="n">
        <f aca="false">ROUND(MAX(0.6*TblExplore[[#This Row],[Land-DB]]^1.299,850)*(1+ tech_2_6*Techs!AC101 + tech_2_9*Techs!AF101 + tech_3_7*Techs!AN101 + Overview!$I$32),0)</f>
        <v>2978</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266</v>
      </c>
    </row>
    <row r="102" customFormat="false" ht="12.75" hidden="false" customHeight="false" outlineLevel="0" collapsed="false">
      <c r="A102" s="170" t="n">
        <f aca="false">TblRezone[[#This Row],[Hour]]</f>
        <v>99</v>
      </c>
      <c r="B102" s="181" t="n">
        <f aca="false">TblConstr[[#This Row],[Land]]</f>
        <v>700</v>
      </c>
      <c r="C102" s="245"/>
      <c r="D102" s="246" t="n">
        <f aca="false">TblConstr[[#This Row],[Plain]]</f>
        <v>0</v>
      </c>
      <c r="E102" s="193" t="n">
        <f aca="false">TblConstr[[#This Row],[Forest]]</f>
        <v>0</v>
      </c>
      <c r="F102" s="200" t="n">
        <f aca="false">TblConstr[[#This Row],[Mountain]]</f>
        <v>0</v>
      </c>
      <c r="G102" s="201" t="n">
        <f aca="false">TblConstr[[#This Row],[Hill]]</f>
        <v>0</v>
      </c>
      <c r="H102" s="202" t="n">
        <f aca="false">TblConstr[[#This Row],[Swamp]]</f>
        <v>0</v>
      </c>
      <c r="I102" s="197" t="n">
        <f aca="false">TblConstr[[#This Row],[Cavern]]</f>
        <v>0</v>
      </c>
      <c r="J102" s="198" t="n">
        <f aca="false">TblConstr[[#This Row],[Water]]</f>
        <v>0</v>
      </c>
      <c r="K102" s="4"/>
      <c r="L102" s="4"/>
      <c r="M102" s="12"/>
      <c r="N102" s="247" t="n">
        <f aca="false">TblMili[[#This Row],[Smithies]]</f>
        <v>0.18</v>
      </c>
      <c r="O102" s="247" t="n">
        <f aca="false">TblPop[[#This Row],[Employment]]</f>
        <v>1</v>
      </c>
      <c r="P102" s="247" t="n">
        <f aca="false">TblImps[[#This Row],[Population]]</f>
        <v>1</v>
      </c>
      <c r="Q102" s="181" t="n">
        <f aca="false">TblExplore[[#This Row],[Land]]</f>
        <v>700</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1946</v>
      </c>
      <c r="AC102" s="69" t="n">
        <f aca="false">TblProd[[#This Row],[Platinum]]</f>
        <v>1106388</v>
      </c>
      <c r="AD102" s="245"/>
      <c r="AE102" s="151" t="n">
        <f aca="false">TblExplore[[#This Row],[Land]]-TblExplore[[#This Row],[Land Bonus]]*20</f>
        <v>700</v>
      </c>
      <c r="AF102" s="69" t="n">
        <f aca="false">ROUND(MAX(0.6*TblExplore[[#This Row],[Land-DB]]^1.299,850)*(1+ tech_2_6*Techs!AC102 + tech_2_9*Techs!AF102 + tech_3_7*Techs!AN102 + Overview!$I$32),0)</f>
        <v>2978</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278</v>
      </c>
    </row>
    <row r="103" customFormat="false" ht="12.75" hidden="false" customHeight="false" outlineLevel="0" collapsed="false">
      <c r="A103" s="170" t="n">
        <f aca="false">TblRezone[[#This Row],[Hour]]</f>
        <v>100</v>
      </c>
      <c r="B103" s="181" t="n">
        <f aca="false">TblConstr[[#This Row],[Land]]</f>
        <v>700</v>
      </c>
      <c r="C103" s="245"/>
      <c r="D103" s="246" t="n">
        <f aca="false">TblConstr[[#This Row],[Plain]]</f>
        <v>0</v>
      </c>
      <c r="E103" s="193" t="n">
        <f aca="false">TblConstr[[#This Row],[Forest]]</f>
        <v>0</v>
      </c>
      <c r="F103" s="200" t="n">
        <f aca="false">TblConstr[[#This Row],[Mountain]]</f>
        <v>0</v>
      </c>
      <c r="G103" s="201" t="n">
        <f aca="false">TblConstr[[#This Row],[Hill]]</f>
        <v>0</v>
      </c>
      <c r="H103" s="202" t="n">
        <f aca="false">TblConstr[[#This Row],[Swamp]]</f>
        <v>0</v>
      </c>
      <c r="I103" s="197" t="n">
        <f aca="false">TblConstr[[#This Row],[Cavern]]</f>
        <v>0</v>
      </c>
      <c r="J103" s="198" t="n">
        <f aca="false">TblConstr[[#This Row],[Water]]</f>
        <v>0</v>
      </c>
      <c r="K103" s="4"/>
      <c r="L103" s="4"/>
      <c r="M103" s="12"/>
      <c r="N103" s="247" t="n">
        <f aca="false">TblMili[[#This Row],[Smithies]]</f>
        <v>0.18</v>
      </c>
      <c r="O103" s="247" t="n">
        <f aca="false">TblPop[[#This Row],[Employment]]</f>
        <v>1</v>
      </c>
      <c r="P103" s="247" t="n">
        <f aca="false">TblImps[[#This Row],[Population]]</f>
        <v>1</v>
      </c>
      <c r="Q103" s="181" t="n">
        <f aca="false">TblExplore[[#This Row],[Land]]</f>
        <v>700</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2024</v>
      </c>
      <c r="AC103" s="69" t="n">
        <f aca="false">TblProd[[#This Row],[Platinum]]</f>
        <v>1147006</v>
      </c>
      <c r="AD103" s="245"/>
      <c r="AE103" s="151" t="n">
        <f aca="false">TblExplore[[#This Row],[Land]]-TblExplore[[#This Row],[Land Bonus]]*20</f>
        <v>700</v>
      </c>
      <c r="AF103" s="69" t="n">
        <f aca="false">ROUND(MAX(0.6*TblExplore[[#This Row],[Land-DB]]^1.299,850)*(1+ tech_2_6*Techs!AC103 + tech_2_9*Techs!AF103 + tech_3_7*Techs!AN103 + Overview!$I$32),0)</f>
        <v>2978</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289</v>
      </c>
    </row>
    <row r="104" customFormat="false" ht="12.75" hidden="false" customHeight="false" outlineLevel="0" collapsed="false">
      <c r="A104" s="170" t="n">
        <f aca="false">TblRezone[[#This Row],[Hour]]</f>
        <v>101</v>
      </c>
      <c r="B104" s="181" t="n">
        <f aca="false">TblConstr[[#This Row],[Land]]</f>
        <v>700</v>
      </c>
      <c r="C104" s="245"/>
      <c r="D104" s="246" t="n">
        <f aca="false">TblConstr[[#This Row],[Plain]]</f>
        <v>0</v>
      </c>
      <c r="E104" s="193" t="n">
        <f aca="false">TblConstr[[#This Row],[Forest]]</f>
        <v>0</v>
      </c>
      <c r="F104" s="200" t="n">
        <f aca="false">TblConstr[[#This Row],[Mountain]]</f>
        <v>0</v>
      </c>
      <c r="G104" s="201" t="n">
        <f aca="false">TblConstr[[#This Row],[Hill]]</f>
        <v>0</v>
      </c>
      <c r="H104" s="202" t="n">
        <f aca="false">TblConstr[[#This Row],[Swamp]]</f>
        <v>0</v>
      </c>
      <c r="I104" s="197" t="n">
        <f aca="false">TblConstr[[#This Row],[Cavern]]</f>
        <v>0</v>
      </c>
      <c r="J104" s="198" t="n">
        <f aca="false">TblConstr[[#This Row],[Water]]</f>
        <v>0</v>
      </c>
      <c r="K104" s="4"/>
      <c r="L104" s="4"/>
      <c r="M104" s="12"/>
      <c r="N104" s="247" t="n">
        <f aca="false">TblMili[[#This Row],[Smithies]]</f>
        <v>0.18</v>
      </c>
      <c r="O104" s="247" t="n">
        <f aca="false">TblPop[[#This Row],[Employment]]</f>
        <v>1</v>
      </c>
      <c r="P104" s="247" t="n">
        <f aca="false">TblImps[[#This Row],[Population]]</f>
        <v>1</v>
      </c>
      <c r="Q104" s="181" t="n">
        <f aca="false">TblExplore[[#This Row],[Land]]</f>
        <v>700</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2101</v>
      </c>
      <c r="AC104" s="69" t="n">
        <f aca="false">TblProd[[#This Row],[Platinum]]</f>
        <v>1187393</v>
      </c>
      <c r="AD104" s="245"/>
      <c r="AE104" s="151" t="n">
        <f aca="false">TblExplore[[#This Row],[Land]]-TblExplore[[#This Row],[Land Bonus]]*20</f>
        <v>700</v>
      </c>
      <c r="AF104" s="69" t="n">
        <f aca="false">ROUND(MAX(0.6*TblExplore[[#This Row],[Land-DB]]^1.299,850)*(1+ tech_2_6*Techs!AC104 + tech_2_9*Techs!AF104 + tech_3_7*Techs!AN104 + Overview!$I$32),0)</f>
        <v>2978</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300</v>
      </c>
    </row>
    <row r="105" customFormat="false" ht="12.75" hidden="false" customHeight="false" outlineLevel="0" collapsed="false">
      <c r="A105" s="170" t="n">
        <f aca="false">TblRezone[[#This Row],[Hour]]</f>
        <v>102</v>
      </c>
      <c r="B105" s="181" t="n">
        <f aca="false">TblConstr[[#This Row],[Land]]</f>
        <v>700</v>
      </c>
      <c r="C105" s="245"/>
      <c r="D105" s="246" t="n">
        <f aca="false">TblConstr[[#This Row],[Plain]]</f>
        <v>0</v>
      </c>
      <c r="E105" s="193" t="n">
        <f aca="false">TblConstr[[#This Row],[Forest]]</f>
        <v>0</v>
      </c>
      <c r="F105" s="200" t="n">
        <f aca="false">TblConstr[[#This Row],[Mountain]]</f>
        <v>0</v>
      </c>
      <c r="G105" s="201" t="n">
        <f aca="false">TblConstr[[#This Row],[Hill]]</f>
        <v>0</v>
      </c>
      <c r="H105" s="202" t="n">
        <f aca="false">TblConstr[[#This Row],[Swamp]]</f>
        <v>0</v>
      </c>
      <c r="I105" s="197" t="n">
        <f aca="false">TblConstr[[#This Row],[Cavern]]</f>
        <v>0</v>
      </c>
      <c r="J105" s="198" t="n">
        <f aca="false">TblConstr[[#This Row],[Water]]</f>
        <v>0</v>
      </c>
      <c r="K105" s="4"/>
      <c r="L105" s="4"/>
      <c r="M105" s="4"/>
      <c r="N105" s="247" t="n">
        <f aca="false">TblMili[[#This Row],[Smithies]]</f>
        <v>0.18</v>
      </c>
      <c r="O105" s="247" t="n">
        <f aca="false">TblPop[[#This Row],[Employment]]</f>
        <v>1</v>
      </c>
      <c r="P105" s="247" t="n">
        <f aca="false">TblImps[[#This Row],[Population]]</f>
        <v>1</v>
      </c>
      <c r="Q105" s="181" t="n">
        <f aca="false">TblExplore[[#This Row],[Land]]</f>
        <v>700</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2177</v>
      </c>
      <c r="AC105" s="69" t="n">
        <f aca="false">TblProd[[#This Row],[Platinum]]</f>
        <v>1227551</v>
      </c>
      <c r="AD105" s="245"/>
      <c r="AE105" s="151" t="n">
        <f aca="false">TblExplore[[#This Row],[Land]]-TblExplore[[#This Row],[Land Bonus]]*20</f>
        <v>700</v>
      </c>
      <c r="AF105" s="69" t="n">
        <f aca="false">ROUND(MAX(0.6*TblExplore[[#This Row],[Land-DB]]^1.299,850)*(1+ tech_2_6*Techs!AC105 + tech_2_9*Techs!AF105 + tech_3_7*Techs!AN105 + Overview!$I$32),0)</f>
        <v>2978</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311</v>
      </c>
    </row>
    <row r="106" customFormat="false" ht="12.75" hidden="false" customHeight="false" outlineLevel="0" collapsed="false">
      <c r="A106" s="170" t="n">
        <f aca="false">TblRezone[[#This Row],[Hour]]</f>
        <v>103</v>
      </c>
      <c r="B106" s="181" t="n">
        <f aca="false">TblConstr[[#This Row],[Land]]</f>
        <v>700</v>
      </c>
      <c r="C106" s="245"/>
      <c r="D106" s="246" t="n">
        <f aca="false">TblConstr[[#This Row],[Plain]]</f>
        <v>0</v>
      </c>
      <c r="E106" s="193" t="n">
        <f aca="false">TblConstr[[#This Row],[Forest]]</f>
        <v>0</v>
      </c>
      <c r="F106" s="200" t="n">
        <f aca="false">TblConstr[[#This Row],[Mountain]]</f>
        <v>0</v>
      </c>
      <c r="G106" s="201" t="n">
        <f aca="false">TblConstr[[#This Row],[Hill]]</f>
        <v>0</v>
      </c>
      <c r="H106" s="202" t="n">
        <f aca="false">TblConstr[[#This Row],[Swamp]]</f>
        <v>0</v>
      </c>
      <c r="I106" s="197" t="n">
        <f aca="false">TblConstr[[#This Row],[Cavern]]</f>
        <v>0</v>
      </c>
      <c r="J106" s="198" t="n">
        <f aca="false">TblConstr[[#This Row],[Water]]</f>
        <v>0</v>
      </c>
      <c r="K106" s="4"/>
      <c r="L106" s="4"/>
      <c r="M106" s="256"/>
      <c r="N106" s="247" t="n">
        <f aca="false">TblMili[[#This Row],[Smithies]]</f>
        <v>0.18</v>
      </c>
      <c r="O106" s="247" t="n">
        <f aca="false">TblPop[[#This Row],[Employment]]</f>
        <v>1</v>
      </c>
      <c r="P106" s="247" t="n">
        <f aca="false">TblImps[[#This Row],[Population]]</f>
        <v>1</v>
      </c>
      <c r="Q106" s="181" t="n">
        <f aca="false">TblExplore[[#This Row],[Land]]</f>
        <v>700</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2252</v>
      </c>
      <c r="AC106" s="69" t="n">
        <f aca="false">TblProd[[#This Row],[Platinum]]</f>
        <v>1267483</v>
      </c>
      <c r="AD106" s="245"/>
      <c r="AE106" s="151" t="n">
        <f aca="false">TblExplore[[#This Row],[Land]]-TblExplore[[#This Row],[Land Bonus]]*20</f>
        <v>700</v>
      </c>
      <c r="AF106" s="69" t="n">
        <f aca="false">ROUND(MAX(0.6*TblExplore[[#This Row],[Land-DB]]^1.299,850)*(1+ tech_2_6*Techs!AC106 + tech_2_9*Techs!AF106 + tech_3_7*Techs!AN106 + Overview!$I$32),0)</f>
        <v>2978</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321</v>
      </c>
    </row>
    <row r="107" customFormat="false" ht="12.75" hidden="false" customHeight="false" outlineLevel="0" collapsed="false">
      <c r="A107" s="170" t="n">
        <f aca="false">TblRezone[[#This Row],[Hour]]</f>
        <v>104</v>
      </c>
      <c r="B107" s="181" t="n">
        <f aca="false">TblConstr[[#This Row],[Land]]</f>
        <v>700</v>
      </c>
      <c r="C107" s="245"/>
      <c r="D107" s="246" t="n">
        <f aca="false">TblConstr[[#This Row],[Plain]]</f>
        <v>0</v>
      </c>
      <c r="E107" s="193" t="n">
        <f aca="false">TblConstr[[#This Row],[Forest]]</f>
        <v>0</v>
      </c>
      <c r="F107" s="200" t="n">
        <f aca="false">TblConstr[[#This Row],[Mountain]]</f>
        <v>0</v>
      </c>
      <c r="G107" s="201" t="n">
        <f aca="false">TblConstr[[#This Row],[Hill]]</f>
        <v>0</v>
      </c>
      <c r="H107" s="202" t="n">
        <f aca="false">TblConstr[[#This Row],[Swamp]]</f>
        <v>0</v>
      </c>
      <c r="I107" s="197" t="n">
        <f aca="false">TblConstr[[#This Row],[Cavern]]</f>
        <v>0</v>
      </c>
      <c r="J107" s="198" t="n">
        <f aca="false">TblConstr[[#This Row],[Water]]</f>
        <v>0</v>
      </c>
      <c r="K107" s="4"/>
      <c r="L107" s="4"/>
      <c r="M107" s="256"/>
      <c r="N107" s="247" t="n">
        <f aca="false">TblMili[[#This Row],[Smithies]]</f>
        <v>0.18</v>
      </c>
      <c r="O107" s="247" t="n">
        <f aca="false">TblPop[[#This Row],[Employment]]</f>
        <v>1</v>
      </c>
      <c r="P107" s="247" t="n">
        <f aca="false">TblImps[[#This Row],[Population]]</f>
        <v>1</v>
      </c>
      <c r="Q107" s="181" t="n">
        <f aca="false">TblExplore[[#This Row],[Land]]</f>
        <v>700</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2327</v>
      </c>
      <c r="AC107" s="69" t="n">
        <f aca="false">TblProd[[#This Row],[Platinum]]</f>
        <v>1307193</v>
      </c>
      <c r="AD107" s="245"/>
      <c r="AE107" s="151" t="n">
        <f aca="false">TblExplore[[#This Row],[Land]]-TblExplore[[#This Row],[Land Bonus]]*20</f>
        <v>700</v>
      </c>
      <c r="AF107" s="69" t="n">
        <f aca="false">ROUND(MAX(0.6*TblExplore[[#This Row],[Land-DB]]^1.299,850)*(1+ tech_2_6*Techs!AC107 + tech_2_9*Techs!AF107 + tech_3_7*Techs!AN107 + Overview!$I$32),0)</f>
        <v>2978</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332</v>
      </c>
    </row>
    <row r="108" customFormat="false" ht="12.75" hidden="false" customHeight="false" outlineLevel="0" collapsed="false">
      <c r="A108" s="170" t="n">
        <f aca="false">TblRezone[[#This Row],[Hour]]</f>
        <v>105</v>
      </c>
      <c r="B108" s="181" t="n">
        <f aca="false">TblConstr[[#This Row],[Land]]</f>
        <v>700</v>
      </c>
      <c r="C108" s="245"/>
      <c r="D108" s="246" t="n">
        <f aca="false">TblConstr[[#This Row],[Plain]]</f>
        <v>0</v>
      </c>
      <c r="E108" s="193" t="n">
        <f aca="false">TblConstr[[#This Row],[Forest]]</f>
        <v>0</v>
      </c>
      <c r="F108" s="200" t="n">
        <f aca="false">TblConstr[[#This Row],[Mountain]]</f>
        <v>0</v>
      </c>
      <c r="G108" s="201" t="n">
        <f aca="false">TblConstr[[#This Row],[Hill]]</f>
        <v>0</v>
      </c>
      <c r="H108" s="202" t="n">
        <f aca="false">TblConstr[[#This Row],[Swamp]]</f>
        <v>0</v>
      </c>
      <c r="I108" s="197" t="n">
        <f aca="false">TblConstr[[#This Row],[Cavern]]</f>
        <v>0</v>
      </c>
      <c r="J108" s="198" t="n">
        <f aca="false">TblConstr[[#This Row],[Water]]</f>
        <v>0</v>
      </c>
      <c r="K108" s="4"/>
      <c r="L108" s="4"/>
      <c r="M108" s="4"/>
      <c r="N108" s="247" t="n">
        <f aca="false">TblMili[[#This Row],[Smithies]]</f>
        <v>0.18</v>
      </c>
      <c r="O108" s="247" t="n">
        <f aca="false">TblPop[[#This Row],[Employment]]</f>
        <v>1</v>
      </c>
      <c r="P108" s="247" t="n">
        <f aca="false">TblImps[[#This Row],[Population]]</f>
        <v>1</v>
      </c>
      <c r="Q108" s="181" t="n">
        <f aca="false">TblExplore[[#This Row],[Land]]</f>
        <v>700</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2401</v>
      </c>
      <c r="AC108" s="69" t="n">
        <f aca="false">TblProd[[#This Row],[Platinum]]</f>
        <v>1346680</v>
      </c>
      <c r="AD108" s="245"/>
      <c r="AE108" s="151" t="n">
        <f aca="false">TblExplore[[#This Row],[Land]]-TblExplore[[#This Row],[Land Bonus]]*20</f>
        <v>700</v>
      </c>
      <c r="AF108" s="69" t="n">
        <f aca="false">ROUND(MAX(0.6*TblExplore[[#This Row],[Land-DB]]^1.299,850)*(1+ tech_2_6*Techs!AC108 + tech_2_9*Techs!AF108 + tech_3_7*Techs!AN108 + Overview!$I$32),0)</f>
        <v>2978</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343</v>
      </c>
    </row>
    <row r="109" customFormat="false" ht="12.75" hidden="false" customHeight="false" outlineLevel="0" collapsed="false">
      <c r="A109" s="170" t="n">
        <f aca="false">TblRezone[[#This Row],[Hour]]</f>
        <v>106</v>
      </c>
      <c r="B109" s="181" t="n">
        <f aca="false">TblConstr[[#This Row],[Land]]</f>
        <v>700</v>
      </c>
      <c r="C109" s="245"/>
      <c r="D109" s="246" t="n">
        <f aca="false">TblConstr[[#This Row],[Plain]]</f>
        <v>0</v>
      </c>
      <c r="E109" s="193" t="n">
        <f aca="false">TblConstr[[#This Row],[Forest]]</f>
        <v>0</v>
      </c>
      <c r="F109" s="200" t="n">
        <f aca="false">TblConstr[[#This Row],[Mountain]]</f>
        <v>0</v>
      </c>
      <c r="G109" s="201" t="n">
        <f aca="false">TblConstr[[#This Row],[Hill]]</f>
        <v>0</v>
      </c>
      <c r="H109" s="202" t="n">
        <f aca="false">TblConstr[[#This Row],[Swamp]]</f>
        <v>0</v>
      </c>
      <c r="I109" s="197" t="n">
        <f aca="false">TblConstr[[#This Row],[Cavern]]</f>
        <v>0</v>
      </c>
      <c r="J109" s="198" t="n">
        <f aca="false">TblConstr[[#This Row],[Water]]</f>
        <v>0</v>
      </c>
      <c r="K109" s="4"/>
      <c r="L109" s="4"/>
      <c r="M109" s="4"/>
      <c r="N109" s="247" t="n">
        <f aca="false">TblMili[[#This Row],[Smithies]]</f>
        <v>0.18</v>
      </c>
      <c r="O109" s="247" t="n">
        <f aca="false">TblPop[[#This Row],[Employment]]</f>
        <v>1</v>
      </c>
      <c r="P109" s="247" t="n">
        <f aca="false">TblImps[[#This Row],[Population]]</f>
        <v>1</v>
      </c>
      <c r="Q109" s="181" t="n">
        <f aca="false">TblExplore[[#This Row],[Land]]</f>
        <v>700</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2474</v>
      </c>
      <c r="AC109" s="69" t="n">
        <f aca="false">TblProd[[#This Row],[Platinum]]</f>
        <v>1385947</v>
      </c>
      <c r="AD109" s="245"/>
      <c r="AE109" s="151" t="n">
        <f aca="false">TblExplore[[#This Row],[Land]]-TblExplore[[#This Row],[Land Bonus]]*20</f>
        <v>700</v>
      </c>
      <c r="AF109" s="69" t="n">
        <f aca="false">ROUND(MAX(0.6*TblExplore[[#This Row],[Land-DB]]^1.299,850)*(1+ tech_2_6*Techs!AC109 + tech_2_9*Techs!AF109 + tech_3_7*Techs!AN109 + Overview!$I$32),0)</f>
        <v>2978</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353</v>
      </c>
    </row>
    <row r="110" customFormat="false" ht="12.75" hidden="false" customHeight="false" outlineLevel="0" collapsed="false">
      <c r="A110" s="170" t="n">
        <f aca="false">TblRezone[[#This Row],[Hour]]</f>
        <v>107</v>
      </c>
      <c r="B110" s="181" t="n">
        <f aca="false">TblConstr[[#This Row],[Land]]</f>
        <v>700</v>
      </c>
      <c r="C110" s="245"/>
      <c r="D110" s="246" t="n">
        <f aca="false">TblConstr[[#This Row],[Plain]]</f>
        <v>0</v>
      </c>
      <c r="E110" s="193" t="n">
        <f aca="false">TblConstr[[#This Row],[Forest]]</f>
        <v>0</v>
      </c>
      <c r="F110" s="200" t="n">
        <f aca="false">TblConstr[[#This Row],[Mountain]]</f>
        <v>0</v>
      </c>
      <c r="G110" s="201" t="n">
        <f aca="false">TblConstr[[#This Row],[Hill]]</f>
        <v>0</v>
      </c>
      <c r="H110" s="202" t="n">
        <f aca="false">TblConstr[[#This Row],[Swamp]]</f>
        <v>0</v>
      </c>
      <c r="I110" s="197" t="n">
        <f aca="false">TblConstr[[#This Row],[Cavern]]</f>
        <v>0</v>
      </c>
      <c r="J110" s="198" t="n">
        <f aca="false">TblConstr[[#This Row],[Water]]</f>
        <v>0</v>
      </c>
      <c r="K110" s="4"/>
      <c r="L110" s="4"/>
      <c r="M110" s="4"/>
      <c r="N110" s="247" t="n">
        <f aca="false">TblMili[[#This Row],[Smithies]]</f>
        <v>0.18</v>
      </c>
      <c r="O110" s="247" t="n">
        <f aca="false">TblPop[[#This Row],[Employment]]</f>
        <v>1</v>
      </c>
      <c r="P110" s="247" t="n">
        <f aca="false">TblImps[[#This Row],[Population]]</f>
        <v>1</v>
      </c>
      <c r="Q110" s="181" t="n">
        <f aca="false">TblExplore[[#This Row],[Land]]</f>
        <v>700</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2546</v>
      </c>
      <c r="AC110" s="69" t="n">
        <f aca="false">TblProd[[#This Row],[Platinum]]</f>
        <v>1424997</v>
      </c>
      <c r="AD110" s="245"/>
      <c r="AE110" s="151" t="n">
        <f aca="false">TblExplore[[#This Row],[Land]]-TblExplore[[#This Row],[Land Bonus]]*20</f>
        <v>700</v>
      </c>
      <c r="AF110" s="69" t="n">
        <f aca="false">ROUND(MAX(0.6*TblExplore[[#This Row],[Land-DB]]^1.299,850)*(1+ tech_2_6*Techs!AC110 + tech_2_9*Techs!AF110 + tech_3_7*Techs!AN110 + Overview!$I$32),0)</f>
        <v>2978</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363</v>
      </c>
    </row>
    <row r="111" customFormat="false" ht="12.75" hidden="false" customHeight="false" outlineLevel="0" collapsed="false">
      <c r="A111" s="170" t="n">
        <f aca="false">TblRezone[[#This Row],[Hour]]</f>
        <v>108</v>
      </c>
      <c r="B111" s="181" t="n">
        <f aca="false">TblConstr[[#This Row],[Land]]</f>
        <v>700</v>
      </c>
      <c r="C111" s="245"/>
      <c r="D111" s="246" t="n">
        <f aca="false">TblConstr[[#This Row],[Plain]]</f>
        <v>0</v>
      </c>
      <c r="E111" s="193" t="n">
        <f aca="false">TblConstr[[#This Row],[Forest]]</f>
        <v>0</v>
      </c>
      <c r="F111" s="200" t="n">
        <f aca="false">TblConstr[[#This Row],[Mountain]]</f>
        <v>0</v>
      </c>
      <c r="G111" s="201" t="n">
        <f aca="false">TblConstr[[#This Row],[Hill]]</f>
        <v>0</v>
      </c>
      <c r="H111" s="202" t="n">
        <f aca="false">TblConstr[[#This Row],[Swamp]]</f>
        <v>0</v>
      </c>
      <c r="I111" s="197" t="n">
        <f aca="false">TblConstr[[#This Row],[Cavern]]</f>
        <v>0</v>
      </c>
      <c r="J111" s="198" t="n">
        <f aca="false">TblConstr[[#This Row],[Water]]</f>
        <v>0</v>
      </c>
      <c r="K111" s="4"/>
      <c r="L111" s="4"/>
      <c r="M111" s="4"/>
      <c r="N111" s="247" t="n">
        <f aca="false">TblMili[[#This Row],[Smithies]]</f>
        <v>0.18</v>
      </c>
      <c r="O111" s="247" t="n">
        <f aca="false">TblPop[[#This Row],[Employment]]</f>
        <v>1</v>
      </c>
      <c r="P111" s="247" t="n">
        <f aca="false">TblImps[[#This Row],[Population]]</f>
        <v>1</v>
      </c>
      <c r="Q111" s="181" t="n">
        <f aca="false">TblExplore[[#This Row],[Land]]</f>
        <v>700</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2618</v>
      </c>
      <c r="AC111" s="69" t="n">
        <f aca="false">TblProd[[#This Row],[Platinum]]</f>
        <v>1463833</v>
      </c>
      <c r="AD111" s="245"/>
      <c r="AE111" s="151" t="n">
        <f aca="false">TblExplore[[#This Row],[Land]]-TblExplore[[#This Row],[Land Bonus]]*20</f>
        <v>700</v>
      </c>
      <c r="AF111" s="69" t="n">
        <f aca="false">ROUND(MAX(0.6*TblExplore[[#This Row],[Land-DB]]^1.299,850)*(1+ tech_2_6*Techs!AC111 + tech_2_9*Techs!AF111 + tech_3_7*Techs!AN111 + Overview!$I$32),0)</f>
        <v>2978</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374</v>
      </c>
    </row>
    <row r="112" customFormat="false" ht="12.75" hidden="false" customHeight="true" outlineLevel="0" collapsed="false">
      <c r="A112" s="170" t="n">
        <f aca="false">TblRezone[[#This Row],[Hour]]</f>
        <v>109</v>
      </c>
      <c r="B112" s="181" t="n">
        <f aca="false">TblConstr[[#This Row],[Land]]</f>
        <v>700</v>
      </c>
      <c r="C112" s="245"/>
      <c r="D112" s="246" t="n">
        <f aca="false">TblConstr[[#This Row],[Plain]]</f>
        <v>0</v>
      </c>
      <c r="E112" s="193" t="n">
        <f aca="false">TblConstr[[#This Row],[Forest]]</f>
        <v>0</v>
      </c>
      <c r="F112" s="200" t="n">
        <f aca="false">TblConstr[[#This Row],[Mountain]]</f>
        <v>0</v>
      </c>
      <c r="G112" s="201" t="n">
        <f aca="false">TblConstr[[#This Row],[Hill]]</f>
        <v>0</v>
      </c>
      <c r="H112" s="202" t="n">
        <f aca="false">TblConstr[[#This Row],[Swamp]]</f>
        <v>0</v>
      </c>
      <c r="I112" s="197" t="n">
        <f aca="false">TblConstr[[#This Row],[Cavern]]</f>
        <v>0</v>
      </c>
      <c r="J112" s="198" t="n">
        <f aca="false">TblConstr[[#This Row],[Water]]</f>
        <v>0</v>
      </c>
      <c r="K112" s="4"/>
      <c r="L112" s="4"/>
      <c r="M112" s="4"/>
      <c r="N112" s="247" t="n">
        <f aca="false">TblMili[[#This Row],[Smithies]]</f>
        <v>0.18</v>
      </c>
      <c r="O112" s="247" t="n">
        <f aca="false">TblPop[[#This Row],[Employment]]</f>
        <v>1</v>
      </c>
      <c r="P112" s="247" t="n">
        <f aca="false">TblImps[[#This Row],[Population]]</f>
        <v>1</v>
      </c>
      <c r="Q112" s="181" t="n">
        <f aca="false">TblExplore[[#This Row],[Land]]</f>
        <v>700</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2689</v>
      </c>
      <c r="AC112" s="69" t="n">
        <f aca="false">TblProd[[#This Row],[Platinum]]</f>
        <v>1502456</v>
      </c>
      <c r="AD112" s="245"/>
      <c r="AE112" s="151" t="n">
        <f aca="false">TblExplore[[#This Row],[Land]]-TblExplore[[#This Row],[Land Bonus]]*20</f>
        <v>700</v>
      </c>
      <c r="AF112" s="69" t="n">
        <f aca="false">ROUND(MAX(0.6*TblExplore[[#This Row],[Land-DB]]^1.299,850)*(1+ tech_2_6*Techs!AC112 + tech_2_9*Techs!AF112 + tech_3_7*Techs!AN112 + Overview!$I$32),0)</f>
        <v>2978</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384</v>
      </c>
    </row>
    <row r="113" customFormat="false" ht="12.75" hidden="false" customHeight="false" outlineLevel="0" collapsed="false">
      <c r="A113" s="170" t="n">
        <f aca="false">TblRezone[[#This Row],[Hour]]</f>
        <v>110</v>
      </c>
      <c r="B113" s="181" t="n">
        <f aca="false">TblConstr[[#This Row],[Land]]</f>
        <v>700</v>
      </c>
      <c r="C113" s="245"/>
      <c r="D113" s="246" t="n">
        <f aca="false">TblConstr[[#This Row],[Plain]]</f>
        <v>0</v>
      </c>
      <c r="E113" s="193" t="n">
        <f aca="false">TblConstr[[#This Row],[Forest]]</f>
        <v>0</v>
      </c>
      <c r="F113" s="200" t="n">
        <f aca="false">TblConstr[[#This Row],[Mountain]]</f>
        <v>0</v>
      </c>
      <c r="G113" s="201" t="n">
        <f aca="false">TblConstr[[#This Row],[Hill]]</f>
        <v>0</v>
      </c>
      <c r="H113" s="202" t="n">
        <f aca="false">TblConstr[[#This Row],[Swamp]]</f>
        <v>0</v>
      </c>
      <c r="I113" s="197" t="n">
        <f aca="false">TblConstr[[#This Row],[Cavern]]</f>
        <v>0</v>
      </c>
      <c r="J113" s="198" t="n">
        <f aca="false">TblConstr[[#This Row],[Water]]</f>
        <v>0</v>
      </c>
      <c r="K113" s="4"/>
      <c r="L113" s="4"/>
      <c r="M113" s="4"/>
      <c r="N113" s="247" t="n">
        <f aca="false">TblMili[[#This Row],[Smithies]]</f>
        <v>0.18</v>
      </c>
      <c r="O113" s="247" t="n">
        <f aca="false">TblPop[[#This Row],[Employment]]</f>
        <v>1</v>
      </c>
      <c r="P113" s="247" t="n">
        <f aca="false">TblImps[[#This Row],[Population]]</f>
        <v>1</v>
      </c>
      <c r="Q113" s="181" t="n">
        <f aca="false">TblExplore[[#This Row],[Land]]</f>
        <v>700</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2759</v>
      </c>
      <c r="AC113" s="69" t="n">
        <f aca="false">TblProd[[#This Row],[Platinum]]</f>
        <v>1533801</v>
      </c>
      <c r="AD113" s="245"/>
      <c r="AE113" s="151" t="n">
        <f aca="false">TblExplore[[#This Row],[Land]]-TblExplore[[#This Row],[Land Bonus]]*20</f>
        <v>700</v>
      </c>
      <c r="AF113" s="69" t="n">
        <f aca="false">ROUND(MAX(0.6*TblExplore[[#This Row],[Land-DB]]^1.299,850)*(1+ tech_2_6*Techs!AC113 + tech_2_9*Techs!AF113 + tech_3_7*Techs!AN113 + Overview!$I$32),0)</f>
        <v>2978</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394</v>
      </c>
    </row>
    <row r="114" customFormat="false" ht="12.75" hidden="false" customHeight="false" outlineLevel="0" collapsed="false">
      <c r="A114" s="170" t="n">
        <f aca="false">TblRezone[[#This Row],[Hour]]</f>
        <v>111</v>
      </c>
      <c r="B114" s="181" t="n">
        <f aca="false">TblConstr[[#This Row],[Land]]</f>
        <v>700</v>
      </c>
      <c r="C114" s="245"/>
      <c r="D114" s="246" t="n">
        <f aca="false">TblConstr[[#This Row],[Plain]]</f>
        <v>0</v>
      </c>
      <c r="E114" s="193" t="n">
        <f aca="false">TblConstr[[#This Row],[Forest]]</f>
        <v>0</v>
      </c>
      <c r="F114" s="200" t="n">
        <f aca="false">TblConstr[[#This Row],[Mountain]]</f>
        <v>0</v>
      </c>
      <c r="G114" s="201" t="n">
        <f aca="false">TblConstr[[#This Row],[Hill]]</f>
        <v>0</v>
      </c>
      <c r="H114" s="202" t="n">
        <f aca="false">TblConstr[[#This Row],[Swamp]]</f>
        <v>0</v>
      </c>
      <c r="I114" s="197" t="n">
        <f aca="false">TblConstr[[#This Row],[Cavern]]</f>
        <v>0</v>
      </c>
      <c r="J114" s="198" t="n">
        <f aca="false">TblConstr[[#This Row],[Water]]</f>
        <v>0</v>
      </c>
      <c r="K114" s="4"/>
      <c r="L114" s="4"/>
      <c r="M114" s="4"/>
      <c r="N114" s="247" t="n">
        <f aca="false">TblMili[[#This Row],[Smithies]]</f>
        <v>0.18</v>
      </c>
      <c r="O114" s="247" t="n">
        <f aca="false">TblPop[[#This Row],[Employment]]</f>
        <v>1</v>
      </c>
      <c r="P114" s="247" t="n">
        <f aca="false">TblImps[[#This Row],[Population]]</f>
        <v>1</v>
      </c>
      <c r="Q114" s="181" t="n">
        <f aca="false">TblExplore[[#This Row],[Land]]</f>
        <v>700</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2829</v>
      </c>
      <c r="AC114" s="69" t="n">
        <f aca="false">TblProd[[#This Row],[Platinum]]</f>
        <v>1564957</v>
      </c>
      <c r="AD114" s="245"/>
      <c r="AE114" s="151" t="n">
        <f aca="false">TblExplore[[#This Row],[Land]]-TblExplore[[#This Row],[Land Bonus]]*20</f>
        <v>700</v>
      </c>
      <c r="AF114" s="69" t="n">
        <f aca="false">ROUND(MAX(0.6*TblExplore[[#This Row],[Land-DB]]^1.299,850)*(1+ tech_2_6*Techs!AC114 + tech_2_9*Techs!AF114 + tech_3_7*Techs!AN114 + Overview!$I$32),0)</f>
        <v>2978</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404</v>
      </c>
    </row>
    <row r="115" customFormat="false" ht="12.75" hidden="false" customHeight="false" outlineLevel="0" collapsed="false">
      <c r="A115" s="170" t="n">
        <f aca="false">TblRezone[[#This Row],[Hour]]</f>
        <v>112</v>
      </c>
      <c r="B115" s="181" t="n">
        <f aca="false">TblConstr[[#This Row],[Land]]</f>
        <v>700</v>
      </c>
      <c r="C115" s="245"/>
      <c r="D115" s="246" t="n">
        <f aca="false">TblConstr[[#This Row],[Plain]]</f>
        <v>0</v>
      </c>
      <c r="E115" s="193" t="n">
        <f aca="false">TblConstr[[#This Row],[Forest]]</f>
        <v>0</v>
      </c>
      <c r="F115" s="200" t="n">
        <f aca="false">TblConstr[[#This Row],[Mountain]]</f>
        <v>0</v>
      </c>
      <c r="G115" s="201" t="n">
        <f aca="false">TblConstr[[#This Row],[Hill]]</f>
        <v>0</v>
      </c>
      <c r="H115" s="202" t="n">
        <f aca="false">TblConstr[[#This Row],[Swamp]]</f>
        <v>0</v>
      </c>
      <c r="I115" s="197" t="n">
        <f aca="false">TblConstr[[#This Row],[Cavern]]</f>
        <v>0</v>
      </c>
      <c r="J115" s="198" t="n">
        <f aca="false">TblConstr[[#This Row],[Water]]</f>
        <v>0</v>
      </c>
      <c r="K115" s="4"/>
      <c r="L115" s="4"/>
      <c r="M115" s="4"/>
      <c r="N115" s="247" t="n">
        <f aca="false">TblMili[[#This Row],[Smithies]]</f>
        <v>0.18</v>
      </c>
      <c r="O115" s="247" t="n">
        <f aca="false">TblPop[[#This Row],[Employment]]</f>
        <v>1</v>
      </c>
      <c r="P115" s="247" t="n">
        <f aca="false">TblImps[[#This Row],[Population]]</f>
        <v>1</v>
      </c>
      <c r="Q115" s="181" t="n">
        <f aca="false">TblExplore[[#This Row],[Land]]</f>
        <v>700</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2898</v>
      </c>
      <c r="AC115" s="69" t="n">
        <f aca="false">TblProd[[#This Row],[Platinum]]</f>
        <v>1595924</v>
      </c>
      <c r="AD115" s="245"/>
      <c r="AE115" s="151" t="n">
        <f aca="false">TblExplore[[#This Row],[Land]]-TblExplore[[#This Row],[Land Bonus]]*20</f>
        <v>700</v>
      </c>
      <c r="AF115" s="69" t="n">
        <f aca="false">ROUND(MAX(0.6*TblExplore[[#This Row],[Land-DB]]^1.299,850)*(1+ tech_2_6*Techs!AC115 + tech_2_9*Techs!AF115 + tech_3_7*Techs!AN115 + Overview!$I$32),0)</f>
        <v>2978</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414</v>
      </c>
    </row>
    <row r="116" customFormat="false" ht="12.75" hidden="false" customHeight="false" outlineLevel="0" collapsed="false">
      <c r="A116" s="170" t="n">
        <f aca="false">TblRezone[[#This Row],[Hour]]</f>
        <v>113</v>
      </c>
      <c r="B116" s="181" t="n">
        <f aca="false">TblConstr[[#This Row],[Land]]</f>
        <v>700</v>
      </c>
      <c r="C116" s="245"/>
      <c r="D116" s="246" t="n">
        <f aca="false">TblConstr[[#This Row],[Plain]]</f>
        <v>0</v>
      </c>
      <c r="E116" s="193" t="n">
        <f aca="false">TblConstr[[#This Row],[Forest]]</f>
        <v>0</v>
      </c>
      <c r="F116" s="200" t="n">
        <f aca="false">TblConstr[[#This Row],[Mountain]]</f>
        <v>0</v>
      </c>
      <c r="G116" s="201" t="n">
        <f aca="false">TblConstr[[#This Row],[Hill]]</f>
        <v>0</v>
      </c>
      <c r="H116" s="202" t="n">
        <f aca="false">TblConstr[[#This Row],[Swamp]]</f>
        <v>0</v>
      </c>
      <c r="I116" s="197" t="n">
        <f aca="false">TblConstr[[#This Row],[Cavern]]</f>
        <v>0</v>
      </c>
      <c r="J116" s="198" t="n">
        <f aca="false">TblConstr[[#This Row],[Water]]</f>
        <v>0</v>
      </c>
      <c r="K116" s="4"/>
      <c r="L116" s="4"/>
      <c r="M116" s="4"/>
      <c r="N116" s="247" t="n">
        <f aca="false">TblMili[[#This Row],[Smithies]]</f>
        <v>0.18</v>
      </c>
      <c r="O116" s="247" t="n">
        <f aca="false">TblPop[[#This Row],[Employment]]</f>
        <v>1</v>
      </c>
      <c r="P116" s="247" t="n">
        <f aca="false">TblImps[[#This Row],[Population]]</f>
        <v>1</v>
      </c>
      <c r="Q116" s="181" t="n">
        <f aca="false">TblExplore[[#This Row],[Land]]</f>
        <v>700</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2966</v>
      </c>
      <c r="AC116" s="69" t="n">
        <f aca="false">TblProd[[#This Row],[Platinum]]</f>
        <v>1626704</v>
      </c>
      <c r="AD116" s="245"/>
      <c r="AE116" s="151" t="n">
        <f aca="false">TblExplore[[#This Row],[Land]]-TblExplore[[#This Row],[Land Bonus]]*20</f>
        <v>700</v>
      </c>
      <c r="AF116" s="69" t="n">
        <f aca="false">ROUND(MAX(0.6*TblExplore[[#This Row],[Land-DB]]^1.299,850)*(1+ tech_2_6*Techs!AC116 + tech_2_9*Techs!AF116 + tech_3_7*Techs!AN116 + Overview!$I$32),0)</f>
        <v>2978</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423</v>
      </c>
    </row>
    <row r="117" customFormat="false" ht="12.75" hidden="false" customHeight="false" outlineLevel="0" collapsed="false">
      <c r="A117" s="170" t="n">
        <f aca="false">TblRezone[[#This Row],[Hour]]</f>
        <v>114</v>
      </c>
      <c r="B117" s="181" t="n">
        <f aca="false">TblConstr[[#This Row],[Land]]</f>
        <v>700</v>
      </c>
      <c r="C117" s="245"/>
      <c r="D117" s="246" t="n">
        <f aca="false">TblConstr[[#This Row],[Plain]]</f>
        <v>0</v>
      </c>
      <c r="E117" s="193" t="n">
        <f aca="false">TblConstr[[#This Row],[Forest]]</f>
        <v>0</v>
      </c>
      <c r="F117" s="200" t="n">
        <f aca="false">TblConstr[[#This Row],[Mountain]]</f>
        <v>0</v>
      </c>
      <c r="G117" s="201" t="n">
        <f aca="false">TblConstr[[#This Row],[Hill]]</f>
        <v>0</v>
      </c>
      <c r="H117" s="202" t="n">
        <f aca="false">TblConstr[[#This Row],[Swamp]]</f>
        <v>0</v>
      </c>
      <c r="I117" s="197" t="n">
        <f aca="false">TblConstr[[#This Row],[Cavern]]</f>
        <v>0</v>
      </c>
      <c r="J117" s="198" t="n">
        <f aca="false">TblConstr[[#This Row],[Water]]</f>
        <v>0</v>
      </c>
      <c r="K117" s="4"/>
      <c r="L117" s="4"/>
      <c r="M117" s="4"/>
      <c r="N117" s="247" t="n">
        <f aca="false">TblMili[[#This Row],[Smithies]]</f>
        <v>0.18</v>
      </c>
      <c r="O117" s="247" t="n">
        <f aca="false">TblPop[[#This Row],[Employment]]</f>
        <v>1</v>
      </c>
      <c r="P117" s="247" t="n">
        <f aca="false">TblImps[[#This Row],[Population]]</f>
        <v>1</v>
      </c>
      <c r="Q117" s="181" t="n">
        <f aca="false">TblExplore[[#This Row],[Land]]</f>
        <v>700</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3033</v>
      </c>
      <c r="AC117" s="69" t="n">
        <f aca="false">TblProd[[#This Row],[Platinum]]</f>
        <v>1657301</v>
      </c>
      <c r="AD117" s="245"/>
      <c r="AE117" s="151" t="n">
        <f aca="false">TblExplore[[#This Row],[Land]]-TblExplore[[#This Row],[Land Bonus]]*20</f>
        <v>700</v>
      </c>
      <c r="AF117" s="69" t="n">
        <f aca="false">ROUND(MAX(0.6*TblExplore[[#This Row],[Land-DB]]^1.299,850)*(1+ tech_2_6*Techs!AC117 + tech_2_9*Techs!AF117 + tech_3_7*Techs!AN117 + Overview!$I$32),0)</f>
        <v>2978</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433</v>
      </c>
    </row>
    <row r="118" customFormat="false" ht="12.75" hidden="false" customHeight="false" outlineLevel="0" collapsed="false">
      <c r="A118" s="170" t="n">
        <f aca="false">TblRezone[[#This Row],[Hour]]</f>
        <v>115</v>
      </c>
      <c r="B118" s="181" t="n">
        <f aca="false">TblConstr[[#This Row],[Land]]</f>
        <v>700</v>
      </c>
      <c r="C118" s="245"/>
      <c r="D118" s="246" t="n">
        <f aca="false">TblConstr[[#This Row],[Plain]]</f>
        <v>0</v>
      </c>
      <c r="E118" s="193" t="n">
        <f aca="false">TblConstr[[#This Row],[Forest]]</f>
        <v>0</v>
      </c>
      <c r="F118" s="200" t="n">
        <f aca="false">TblConstr[[#This Row],[Mountain]]</f>
        <v>0</v>
      </c>
      <c r="G118" s="201" t="n">
        <f aca="false">TblConstr[[#This Row],[Hill]]</f>
        <v>0</v>
      </c>
      <c r="H118" s="202" t="n">
        <f aca="false">TblConstr[[#This Row],[Swamp]]</f>
        <v>0</v>
      </c>
      <c r="I118" s="197" t="n">
        <f aca="false">TblConstr[[#This Row],[Cavern]]</f>
        <v>0</v>
      </c>
      <c r="J118" s="198" t="n">
        <f aca="false">TblConstr[[#This Row],[Water]]</f>
        <v>0</v>
      </c>
      <c r="K118" s="4"/>
      <c r="L118" s="4"/>
      <c r="M118" s="4"/>
      <c r="N118" s="247" t="n">
        <f aca="false">TblMili[[#This Row],[Smithies]]</f>
        <v>0.18</v>
      </c>
      <c r="O118" s="247" t="n">
        <f aca="false">TblPop[[#This Row],[Employment]]</f>
        <v>1</v>
      </c>
      <c r="P118" s="247" t="n">
        <f aca="false">TblImps[[#This Row],[Population]]</f>
        <v>1</v>
      </c>
      <c r="Q118" s="181" t="n">
        <f aca="false">TblExplore[[#This Row],[Land]]</f>
        <v>700</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3100</v>
      </c>
      <c r="AC118" s="69" t="n">
        <f aca="false">TblProd[[#This Row],[Platinum]]</f>
        <v>1687717</v>
      </c>
      <c r="AD118" s="245"/>
      <c r="AE118" s="151" t="n">
        <f aca="false">TblExplore[[#This Row],[Land]]-TblExplore[[#This Row],[Land Bonus]]*20</f>
        <v>700</v>
      </c>
      <c r="AF118" s="69" t="n">
        <f aca="false">ROUND(MAX(0.6*TblExplore[[#This Row],[Land-DB]]^1.299,850)*(1+ tech_2_6*Techs!AC118 + tech_2_9*Techs!AF118 + tech_3_7*Techs!AN118 + Overview!$I$32),0)</f>
        <v>2978</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442</v>
      </c>
    </row>
    <row r="119" customFormat="false" ht="12.75" hidden="false" customHeight="false" outlineLevel="0" collapsed="false">
      <c r="A119" s="170" t="n">
        <f aca="false">TblRezone[[#This Row],[Hour]]</f>
        <v>116</v>
      </c>
      <c r="B119" s="181" t="n">
        <f aca="false">TblConstr[[#This Row],[Land]]</f>
        <v>700</v>
      </c>
      <c r="C119" s="245"/>
      <c r="D119" s="246" t="n">
        <f aca="false">TblConstr[[#This Row],[Plain]]</f>
        <v>0</v>
      </c>
      <c r="E119" s="193" t="n">
        <f aca="false">TblConstr[[#This Row],[Forest]]</f>
        <v>0</v>
      </c>
      <c r="F119" s="200" t="n">
        <f aca="false">TblConstr[[#This Row],[Mountain]]</f>
        <v>0</v>
      </c>
      <c r="G119" s="201" t="n">
        <f aca="false">TblConstr[[#This Row],[Hill]]</f>
        <v>0</v>
      </c>
      <c r="H119" s="202" t="n">
        <f aca="false">TblConstr[[#This Row],[Swamp]]</f>
        <v>0</v>
      </c>
      <c r="I119" s="197" t="n">
        <f aca="false">TblConstr[[#This Row],[Cavern]]</f>
        <v>0</v>
      </c>
      <c r="J119" s="198" t="n">
        <f aca="false">TblConstr[[#This Row],[Water]]</f>
        <v>0</v>
      </c>
      <c r="K119" s="4"/>
      <c r="L119" s="4"/>
      <c r="M119" s="4"/>
      <c r="N119" s="247" t="n">
        <f aca="false">TblMili[[#This Row],[Smithies]]</f>
        <v>0.18</v>
      </c>
      <c r="O119" s="247" t="n">
        <f aca="false">TblPop[[#This Row],[Employment]]</f>
        <v>1</v>
      </c>
      <c r="P119" s="247" t="n">
        <f aca="false">TblImps[[#This Row],[Population]]</f>
        <v>1</v>
      </c>
      <c r="Q119" s="181" t="n">
        <f aca="false">TblExplore[[#This Row],[Land]]</f>
        <v>700</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3166</v>
      </c>
      <c r="AC119" s="69" t="n">
        <f aca="false">TblProd[[#This Row],[Platinum]]</f>
        <v>1717952</v>
      </c>
      <c r="AD119" s="245"/>
      <c r="AE119" s="151" t="n">
        <f aca="false">TblExplore[[#This Row],[Land]]-TblExplore[[#This Row],[Land Bonus]]*20</f>
        <v>700</v>
      </c>
      <c r="AF119" s="69" t="n">
        <f aca="false">ROUND(MAX(0.6*TblExplore[[#This Row],[Land-DB]]^1.299,850)*(1+ tech_2_6*Techs!AC119 + tech_2_9*Techs!AF119 + tech_3_7*Techs!AN119 + Overview!$I$32),0)</f>
        <v>2978</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452</v>
      </c>
    </row>
    <row r="120" customFormat="false" ht="12.75" hidden="false" customHeight="false" outlineLevel="0" collapsed="false">
      <c r="A120" s="170" t="n">
        <f aca="false">TblRezone[[#This Row],[Hour]]</f>
        <v>117</v>
      </c>
      <c r="B120" s="181" t="n">
        <f aca="false">TblConstr[[#This Row],[Land]]</f>
        <v>700</v>
      </c>
      <c r="C120" s="245"/>
      <c r="D120" s="246" t="n">
        <f aca="false">TblConstr[[#This Row],[Plain]]</f>
        <v>0</v>
      </c>
      <c r="E120" s="193" t="n">
        <f aca="false">TblConstr[[#This Row],[Forest]]</f>
        <v>0</v>
      </c>
      <c r="F120" s="200" t="n">
        <f aca="false">TblConstr[[#This Row],[Mountain]]</f>
        <v>0</v>
      </c>
      <c r="G120" s="201" t="n">
        <f aca="false">TblConstr[[#This Row],[Hill]]</f>
        <v>0</v>
      </c>
      <c r="H120" s="202" t="n">
        <f aca="false">TblConstr[[#This Row],[Swamp]]</f>
        <v>0</v>
      </c>
      <c r="I120" s="197" t="n">
        <f aca="false">TblConstr[[#This Row],[Cavern]]</f>
        <v>0</v>
      </c>
      <c r="J120" s="198" t="n">
        <f aca="false">TblConstr[[#This Row],[Water]]</f>
        <v>0</v>
      </c>
      <c r="K120" s="4"/>
      <c r="L120" s="4"/>
      <c r="M120" s="4"/>
      <c r="N120" s="247" t="n">
        <f aca="false">TblMili[[#This Row],[Smithies]]</f>
        <v>0.18</v>
      </c>
      <c r="O120" s="247" t="n">
        <f aca="false">TblPop[[#This Row],[Employment]]</f>
        <v>1</v>
      </c>
      <c r="P120" s="247" t="n">
        <f aca="false">TblImps[[#This Row],[Population]]</f>
        <v>1</v>
      </c>
      <c r="Q120" s="181" t="n">
        <f aca="false">TblExplore[[#This Row],[Land]]</f>
        <v>700</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3231</v>
      </c>
      <c r="AC120" s="69" t="n">
        <f aca="false">TblProd[[#This Row],[Platinum]]</f>
        <v>1748009</v>
      </c>
      <c r="AD120" s="245"/>
      <c r="AE120" s="151" t="n">
        <f aca="false">TblExplore[[#This Row],[Land]]-TblExplore[[#This Row],[Land Bonus]]*20</f>
        <v>700</v>
      </c>
      <c r="AF120" s="69" t="n">
        <f aca="false">ROUND(MAX(0.6*TblExplore[[#This Row],[Land-DB]]^1.299,850)*(1+ tech_2_6*Techs!AC120 + tech_2_9*Techs!AF120 + tech_3_7*Techs!AN120 + Overview!$I$32),0)</f>
        <v>2978</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461</v>
      </c>
    </row>
    <row r="121" customFormat="false" ht="12.75" hidden="false" customHeight="false" outlineLevel="0" collapsed="false">
      <c r="A121" s="170" t="n">
        <f aca="false">TblRezone[[#This Row],[Hour]]</f>
        <v>118</v>
      </c>
      <c r="B121" s="181" t="n">
        <f aca="false">TblConstr[[#This Row],[Land]]</f>
        <v>700</v>
      </c>
      <c r="C121" s="245"/>
      <c r="D121" s="246" t="n">
        <f aca="false">TblConstr[[#This Row],[Plain]]</f>
        <v>0</v>
      </c>
      <c r="E121" s="193" t="n">
        <f aca="false">TblConstr[[#This Row],[Forest]]</f>
        <v>0</v>
      </c>
      <c r="F121" s="200" t="n">
        <f aca="false">TblConstr[[#This Row],[Mountain]]</f>
        <v>0</v>
      </c>
      <c r="G121" s="201" t="n">
        <f aca="false">TblConstr[[#This Row],[Hill]]</f>
        <v>0</v>
      </c>
      <c r="H121" s="202" t="n">
        <f aca="false">TblConstr[[#This Row],[Swamp]]</f>
        <v>0</v>
      </c>
      <c r="I121" s="197" t="n">
        <f aca="false">TblConstr[[#This Row],[Cavern]]</f>
        <v>0</v>
      </c>
      <c r="J121" s="198" t="n">
        <f aca="false">TblConstr[[#This Row],[Water]]</f>
        <v>0</v>
      </c>
      <c r="K121" s="4"/>
      <c r="L121" s="4"/>
      <c r="M121" s="4"/>
      <c r="N121" s="247" t="n">
        <f aca="false">TblMili[[#This Row],[Smithies]]</f>
        <v>0.18</v>
      </c>
      <c r="O121" s="247" t="n">
        <f aca="false">TblPop[[#This Row],[Employment]]</f>
        <v>1</v>
      </c>
      <c r="P121" s="247" t="n">
        <f aca="false">TblImps[[#This Row],[Population]]</f>
        <v>1</v>
      </c>
      <c r="Q121" s="181" t="n">
        <f aca="false">TblExplore[[#This Row],[Land]]</f>
        <v>700</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3296</v>
      </c>
      <c r="AC121" s="69" t="n">
        <f aca="false">TblProd[[#This Row],[Platinum]]</f>
        <v>1777890</v>
      </c>
      <c r="AD121" s="245"/>
      <c r="AE121" s="151" t="n">
        <f aca="false">TblExplore[[#This Row],[Land]]-TblExplore[[#This Row],[Land Bonus]]*20</f>
        <v>700</v>
      </c>
      <c r="AF121" s="69" t="n">
        <f aca="false">ROUND(MAX(0.6*TblExplore[[#This Row],[Land-DB]]^1.299,850)*(1+ tech_2_6*Techs!AC121 + tech_2_9*Techs!AF121 + tech_3_7*Techs!AN121 + Overview!$I$32),0)</f>
        <v>2978</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470</v>
      </c>
    </row>
    <row r="122" customFormat="false" ht="12.75" hidden="false" customHeight="false" outlineLevel="0" collapsed="false">
      <c r="A122" s="170" t="n">
        <f aca="false">TblRezone[[#This Row],[Hour]]</f>
        <v>119</v>
      </c>
      <c r="B122" s="181" t="n">
        <f aca="false">TblConstr[[#This Row],[Land]]</f>
        <v>700</v>
      </c>
      <c r="C122" s="245"/>
      <c r="D122" s="246" t="n">
        <f aca="false">TblConstr[[#This Row],[Plain]]</f>
        <v>0</v>
      </c>
      <c r="E122" s="193" t="n">
        <f aca="false">TblConstr[[#This Row],[Forest]]</f>
        <v>0</v>
      </c>
      <c r="F122" s="200" t="n">
        <f aca="false">TblConstr[[#This Row],[Mountain]]</f>
        <v>0</v>
      </c>
      <c r="G122" s="201" t="n">
        <f aca="false">TblConstr[[#This Row],[Hill]]</f>
        <v>0</v>
      </c>
      <c r="H122" s="202" t="n">
        <f aca="false">TblConstr[[#This Row],[Swamp]]</f>
        <v>0</v>
      </c>
      <c r="I122" s="197" t="n">
        <f aca="false">TblConstr[[#This Row],[Cavern]]</f>
        <v>0</v>
      </c>
      <c r="J122" s="198" t="n">
        <f aca="false">TblConstr[[#This Row],[Water]]</f>
        <v>0</v>
      </c>
      <c r="K122" s="4"/>
      <c r="L122" s="4"/>
      <c r="M122" s="4"/>
      <c r="N122" s="247" t="n">
        <f aca="false">TblMili[[#This Row],[Smithies]]</f>
        <v>0.18</v>
      </c>
      <c r="O122" s="247" t="n">
        <f aca="false">TblPop[[#This Row],[Employment]]</f>
        <v>1</v>
      </c>
      <c r="P122" s="247" t="n">
        <f aca="false">TblImps[[#This Row],[Population]]</f>
        <v>1</v>
      </c>
      <c r="Q122" s="181" t="n">
        <f aca="false">TblExplore[[#This Row],[Land]]</f>
        <v>700</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3360</v>
      </c>
      <c r="AC122" s="69" t="n">
        <f aca="false">TblProd[[#This Row],[Platinum]]</f>
        <v>1807596</v>
      </c>
      <c r="AD122" s="245"/>
      <c r="AE122" s="151" t="n">
        <f aca="false">TblExplore[[#This Row],[Land]]-TblExplore[[#This Row],[Land Bonus]]*20</f>
        <v>700</v>
      </c>
      <c r="AF122" s="69" t="n">
        <f aca="false">ROUND(MAX(0.6*TblExplore[[#This Row],[Land-DB]]^1.299,850)*(1+ tech_2_6*Techs!AC122 + tech_2_9*Techs!AF122 + tech_3_7*Techs!AN122 + Overview!$I$32),0)</f>
        <v>2978</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480</v>
      </c>
    </row>
    <row r="123" customFormat="false" ht="12.75" hidden="false" customHeight="false" outlineLevel="0" collapsed="false">
      <c r="A123" s="170" t="n">
        <f aca="false">TblRezone[[#This Row],[Hour]]</f>
        <v>120</v>
      </c>
      <c r="B123" s="181" t="n">
        <f aca="false">TblConstr[[#This Row],[Land]]</f>
        <v>700</v>
      </c>
      <c r="C123" s="245"/>
      <c r="D123" s="246" t="n">
        <f aca="false">TblConstr[[#This Row],[Plain]]</f>
        <v>0</v>
      </c>
      <c r="E123" s="193" t="n">
        <f aca="false">TblConstr[[#This Row],[Forest]]</f>
        <v>0</v>
      </c>
      <c r="F123" s="200" t="n">
        <f aca="false">TblConstr[[#This Row],[Mountain]]</f>
        <v>0</v>
      </c>
      <c r="G123" s="201" t="n">
        <f aca="false">TblConstr[[#This Row],[Hill]]</f>
        <v>0</v>
      </c>
      <c r="H123" s="202" t="n">
        <f aca="false">TblConstr[[#This Row],[Swamp]]</f>
        <v>0</v>
      </c>
      <c r="I123" s="197" t="n">
        <f aca="false">TblConstr[[#This Row],[Cavern]]</f>
        <v>0</v>
      </c>
      <c r="J123" s="198" t="n">
        <f aca="false">TblConstr[[#This Row],[Water]]</f>
        <v>0</v>
      </c>
      <c r="K123" s="4"/>
      <c r="L123" s="4"/>
      <c r="M123" s="4"/>
      <c r="N123" s="247" t="n">
        <f aca="false">TblMili[[#This Row],[Smithies]]</f>
        <v>0.18</v>
      </c>
      <c r="O123" s="247" t="n">
        <f aca="false">TblPop[[#This Row],[Employment]]</f>
        <v>1</v>
      </c>
      <c r="P123" s="247" t="n">
        <f aca="false">TblImps[[#This Row],[Population]]</f>
        <v>1</v>
      </c>
      <c r="Q123" s="181" t="n">
        <f aca="false">TblExplore[[#This Row],[Land]]</f>
        <v>700</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3424</v>
      </c>
      <c r="AC123" s="69" t="n">
        <f aca="false">TblProd[[#This Row],[Platinum]]</f>
        <v>1837129</v>
      </c>
      <c r="AD123" s="245"/>
      <c r="AE123" s="151" t="n">
        <f aca="false">TblExplore[[#This Row],[Land]]-TblExplore[[#This Row],[Land Bonus]]*20</f>
        <v>700</v>
      </c>
      <c r="AF123" s="69" t="n">
        <f aca="false">ROUND(MAX(0.6*TblExplore[[#This Row],[Land-DB]]^1.299,850)*(1+ tech_2_6*Techs!AC123 + tech_2_9*Techs!AF123 + tech_3_7*Techs!AN123 + Overview!$I$32),0)</f>
        <v>2978</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489</v>
      </c>
    </row>
    <row r="124" customFormat="false" ht="12.75" hidden="false" customHeight="false" outlineLevel="0" collapsed="false">
      <c r="A124" s="170" t="n">
        <f aca="false">TblRezone[[#This Row],[Hour]]</f>
        <v>121</v>
      </c>
      <c r="B124" s="181" t="n">
        <f aca="false">TblConstr[[#This Row],[Land]]</f>
        <v>700</v>
      </c>
      <c r="C124" s="245"/>
      <c r="D124" s="246" t="n">
        <f aca="false">TblConstr[[#This Row],[Plain]]</f>
        <v>0</v>
      </c>
      <c r="E124" s="193" t="n">
        <f aca="false">TblConstr[[#This Row],[Forest]]</f>
        <v>0</v>
      </c>
      <c r="F124" s="200" t="n">
        <f aca="false">TblConstr[[#This Row],[Mountain]]</f>
        <v>0</v>
      </c>
      <c r="G124" s="201" t="n">
        <f aca="false">TblConstr[[#This Row],[Hill]]</f>
        <v>0</v>
      </c>
      <c r="H124" s="202" t="n">
        <f aca="false">TblConstr[[#This Row],[Swamp]]</f>
        <v>0</v>
      </c>
      <c r="I124" s="197" t="n">
        <f aca="false">TblConstr[[#This Row],[Cavern]]</f>
        <v>0</v>
      </c>
      <c r="J124" s="198" t="n">
        <f aca="false">TblConstr[[#This Row],[Water]]</f>
        <v>0</v>
      </c>
      <c r="K124" s="4"/>
      <c r="L124" s="259" t="s">
        <v>370</v>
      </c>
      <c r="M124" s="258" t="s">
        <v>369</v>
      </c>
      <c r="N124" s="247" t="n">
        <f aca="false">TblMili[[#This Row],[Smithies]]</f>
        <v>0.18</v>
      </c>
      <c r="O124" s="247" t="n">
        <f aca="false">TblPop[[#This Row],[Employment]]</f>
        <v>1</v>
      </c>
      <c r="P124" s="247" t="n">
        <f aca="false">TblImps[[#This Row],[Population]]</f>
        <v>1</v>
      </c>
      <c r="Q124" s="181" t="n">
        <f aca="false">TblExplore[[#This Row],[Land]]</f>
        <v>700</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3487</v>
      </c>
      <c r="AC124" s="69" t="n">
        <f aca="false">TblProd[[#This Row],[Platinum]]</f>
        <v>1866489</v>
      </c>
      <c r="AD124" s="245"/>
      <c r="AE124" s="151" t="n">
        <f aca="false">TblExplore[[#This Row],[Land]]-TblExplore[[#This Row],[Land Bonus]]*20</f>
        <v>700</v>
      </c>
      <c r="AF124" s="69" t="n">
        <f aca="false">ROUND(MAX(0.6*TblExplore[[#This Row],[Land-DB]]^1.299,850)*(1+ tech_2_6*Techs!AC124 + tech_2_9*Techs!AF124 + tech_3_7*Techs!AN124 + Overview!$I$32),0)</f>
        <v>2978</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498</v>
      </c>
    </row>
    <row r="125" customFormat="false" ht="12.75" hidden="false" customHeight="false" outlineLevel="0" collapsed="false">
      <c r="A125" s="170" t="n">
        <f aca="false">TblRezone[[#This Row],[Hour]]</f>
        <v>122</v>
      </c>
      <c r="B125" s="181" t="n">
        <f aca="false">TblConstr[[#This Row],[Land]]</f>
        <v>700</v>
      </c>
      <c r="C125" s="245"/>
      <c r="D125" s="246" t="n">
        <f aca="false">TblConstr[[#This Row],[Plain]]</f>
        <v>0</v>
      </c>
      <c r="E125" s="193" t="n">
        <f aca="false">TblConstr[[#This Row],[Forest]]</f>
        <v>0</v>
      </c>
      <c r="F125" s="200" t="n">
        <f aca="false">TblConstr[[#This Row],[Mountain]]</f>
        <v>0</v>
      </c>
      <c r="G125" s="201" t="n">
        <f aca="false">TblConstr[[#This Row],[Hill]]</f>
        <v>0</v>
      </c>
      <c r="H125" s="202" t="n">
        <f aca="false">TblConstr[[#This Row],[Swamp]]</f>
        <v>0</v>
      </c>
      <c r="I125" s="197" t="n">
        <f aca="false">TblConstr[[#This Row],[Cavern]]</f>
        <v>0</v>
      </c>
      <c r="J125" s="198" t="n">
        <f aca="false">TblConstr[[#This Row],[Water]]</f>
        <v>0</v>
      </c>
      <c r="K125" s="4"/>
      <c r="L125" s="259"/>
      <c r="M125" s="258"/>
      <c r="N125" s="247" t="n">
        <f aca="false">TblMili[[#This Row],[Smithies]]</f>
        <v>0.18</v>
      </c>
      <c r="O125" s="247" t="n">
        <f aca="false">TblPop[[#This Row],[Employment]]</f>
        <v>1</v>
      </c>
      <c r="P125" s="247" t="n">
        <f aca="false">TblImps[[#This Row],[Population]]</f>
        <v>1</v>
      </c>
      <c r="Q125" s="181" t="n">
        <f aca="false">TblExplore[[#This Row],[Land]]</f>
        <v>700</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3549</v>
      </c>
      <c r="AC125" s="69" t="n">
        <f aca="false">TblProd[[#This Row],[Platinum]]</f>
        <v>1895679</v>
      </c>
      <c r="AD125" s="245"/>
      <c r="AE125" s="151" t="n">
        <f aca="false">TblExplore[[#This Row],[Land]]-TblExplore[[#This Row],[Land Bonus]]*20</f>
        <v>700</v>
      </c>
      <c r="AF125" s="69" t="n">
        <f aca="false">ROUND(MAX(0.6*TblExplore[[#This Row],[Land-DB]]^1.299,850)*(1+ tech_2_6*Techs!AC125 + tech_2_9*Techs!AF125 + tech_3_7*Techs!AN125 + Overview!$I$32),0)</f>
        <v>2978</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507</v>
      </c>
    </row>
    <row r="126" customFormat="false" ht="12.75" hidden="false" customHeight="false" outlineLevel="0" collapsed="false">
      <c r="A126" s="170" t="n">
        <f aca="false">TblRezone[[#This Row],[Hour]]</f>
        <v>123</v>
      </c>
      <c r="B126" s="181" t="n">
        <f aca="false">TblConstr[[#This Row],[Land]]</f>
        <v>700</v>
      </c>
      <c r="C126" s="245"/>
      <c r="D126" s="246" t="n">
        <f aca="false">TblConstr[[#This Row],[Plain]]</f>
        <v>0</v>
      </c>
      <c r="E126" s="193" t="n">
        <f aca="false">TblConstr[[#This Row],[Forest]]</f>
        <v>0</v>
      </c>
      <c r="F126" s="200" t="n">
        <f aca="false">TblConstr[[#This Row],[Mountain]]</f>
        <v>0</v>
      </c>
      <c r="G126" s="201" t="n">
        <f aca="false">TblConstr[[#This Row],[Hill]]</f>
        <v>0</v>
      </c>
      <c r="H126" s="202" t="n">
        <f aca="false">TblConstr[[#This Row],[Swamp]]</f>
        <v>0</v>
      </c>
      <c r="I126" s="197" t="n">
        <f aca="false">TblConstr[[#This Row],[Cavern]]</f>
        <v>0</v>
      </c>
      <c r="J126" s="198" t="n">
        <f aca="false">TblConstr[[#This Row],[Water]]</f>
        <v>0</v>
      </c>
      <c r="K126" s="4"/>
      <c r="L126" s="259"/>
      <c r="M126" s="258"/>
      <c r="N126" s="247" t="n">
        <f aca="false">TblMili[[#This Row],[Smithies]]</f>
        <v>0.18</v>
      </c>
      <c r="O126" s="247" t="n">
        <f aca="false">TblPop[[#This Row],[Employment]]</f>
        <v>1</v>
      </c>
      <c r="P126" s="247" t="n">
        <f aca="false">TblImps[[#This Row],[Population]]</f>
        <v>1</v>
      </c>
      <c r="Q126" s="181" t="n">
        <f aca="false">TblExplore[[#This Row],[Land]]</f>
        <v>700</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3611</v>
      </c>
      <c r="AC126" s="69" t="n">
        <f aca="false">TblProd[[#This Row],[Platinum]]</f>
        <v>1924702</v>
      </c>
      <c r="AD126" s="245"/>
      <c r="AE126" s="151" t="n">
        <f aca="false">TblExplore[[#This Row],[Land]]-TblExplore[[#This Row],[Land Bonus]]*20</f>
        <v>700</v>
      </c>
      <c r="AF126" s="69" t="n">
        <f aca="false">ROUND(MAX(0.6*TblExplore[[#This Row],[Land-DB]]^1.299,850)*(1+ tech_2_6*Techs!AC126 + tech_2_9*Techs!AF126 + tech_3_7*Techs!AN126 + Overview!$I$32),0)</f>
        <v>2978</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515</v>
      </c>
    </row>
    <row r="127" customFormat="false" ht="12.75" hidden="false" customHeight="false" outlineLevel="0" collapsed="false">
      <c r="A127" s="170" t="n">
        <f aca="false">TblRezone[[#This Row],[Hour]]</f>
        <v>124</v>
      </c>
      <c r="B127" s="181" t="n">
        <f aca="false">TblConstr[[#This Row],[Land]]</f>
        <v>700</v>
      </c>
      <c r="C127" s="245"/>
      <c r="D127" s="246" t="n">
        <f aca="false">TblConstr[[#This Row],[Plain]]</f>
        <v>0</v>
      </c>
      <c r="E127" s="193" t="n">
        <f aca="false">TblConstr[[#This Row],[Forest]]</f>
        <v>0</v>
      </c>
      <c r="F127" s="200" t="n">
        <f aca="false">TblConstr[[#This Row],[Mountain]]</f>
        <v>0</v>
      </c>
      <c r="G127" s="201" t="n">
        <f aca="false">TblConstr[[#This Row],[Hill]]</f>
        <v>0</v>
      </c>
      <c r="H127" s="202" t="n">
        <f aca="false">TblConstr[[#This Row],[Swamp]]</f>
        <v>0</v>
      </c>
      <c r="I127" s="197" t="n">
        <f aca="false">TblConstr[[#This Row],[Cavern]]</f>
        <v>0</v>
      </c>
      <c r="J127" s="198" t="n">
        <f aca="false">TblConstr[[#This Row],[Water]]</f>
        <v>0</v>
      </c>
      <c r="K127" s="4"/>
      <c r="L127" s="4" t="n">
        <v>4</v>
      </c>
      <c r="M127" s="4" t="n">
        <v>299</v>
      </c>
      <c r="N127" s="247" t="n">
        <f aca="false">TblMili[[#This Row],[Smithies]]</f>
        <v>0.18</v>
      </c>
      <c r="O127" s="247" t="n">
        <f aca="false">TblPop[[#This Row],[Employment]]</f>
        <v>1</v>
      </c>
      <c r="P127" s="247" t="n">
        <f aca="false">TblImps[[#This Row],[Population]]</f>
        <v>1</v>
      </c>
      <c r="Q127" s="181" t="n">
        <f aca="false">TblExplore[[#This Row],[Land]]</f>
        <v>700</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3672</v>
      </c>
      <c r="AC127" s="69" t="n">
        <f aca="false">TblProd[[#This Row],[Platinum]]</f>
        <v>1953557</v>
      </c>
      <c r="AD127" s="245"/>
      <c r="AE127" s="151" t="n">
        <f aca="false">TblExplore[[#This Row],[Land]]-TblExplore[[#This Row],[Land Bonus]]*20</f>
        <v>700</v>
      </c>
      <c r="AF127" s="69" t="n">
        <f aca="false">ROUND(MAX(0.6*TblExplore[[#This Row],[Land-DB]]^1.299,850)*(1+ tech_2_6*Techs!AC127 + tech_2_9*Techs!AF127 + tech_3_7*Techs!AN127 + Overview!$I$32),0)</f>
        <v>2978</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524</v>
      </c>
    </row>
    <row r="128" customFormat="false" ht="12.75" hidden="false" customHeight="false" outlineLevel="0" collapsed="false">
      <c r="A128" s="170" t="n">
        <f aca="false">TblRezone[[#This Row],[Hour]]</f>
        <v>125</v>
      </c>
      <c r="B128" s="181" t="n">
        <f aca="false">TblConstr[[#This Row],[Land]]</f>
        <v>700</v>
      </c>
      <c r="C128" s="245"/>
      <c r="D128" s="246" t="n">
        <f aca="false">TblConstr[[#This Row],[Plain]]</f>
        <v>0</v>
      </c>
      <c r="E128" s="193" t="n">
        <f aca="false">TblConstr[[#This Row],[Forest]]</f>
        <v>0</v>
      </c>
      <c r="F128" s="200" t="n">
        <f aca="false">TblConstr[[#This Row],[Mountain]]</f>
        <v>0</v>
      </c>
      <c r="G128" s="201" t="n">
        <f aca="false">TblConstr[[#This Row],[Hill]]</f>
        <v>0</v>
      </c>
      <c r="H128" s="202" t="n">
        <f aca="false">TblConstr[[#This Row],[Swamp]]</f>
        <v>0</v>
      </c>
      <c r="I128" s="197" t="n">
        <f aca="false">TblConstr[[#This Row],[Cavern]]</f>
        <v>0</v>
      </c>
      <c r="J128" s="198" t="n">
        <f aca="false">TblConstr[[#This Row],[Water]]</f>
        <v>0</v>
      </c>
      <c r="K128" s="4"/>
      <c r="L128" s="4" t="n">
        <v>5</v>
      </c>
      <c r="M128" s="4" t="n">
        <v>419</v>
      </c>
      <c r="N128" s="247" t="n">
        <f aca="false">TblMili[[#This Row],[Smithies]]</f>
        <v>0.18</v>
      </c>
      <c r="O128" s="247" t="n">
        <f aca="false">TblPop[[#This Row],[Employment]]</f>
        <v>1</v>
      </c>
      <c r="P128" s="247" t="n">
        <f aca="false">TblImps[[#This Row],[Population]]</f>
        <v>1</v>
      </c>
      <c r="Q128" s="181" t="n">
        <f aca="false">TblExplore[[#This Row],[Land]]</f>
        <v>700</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3732</v>
      </c>
      <c r="AC128" s="69" t="n">
        <f aca="false">TblProd[[#This Row],[Platinum]]</f>
        <v>1982248</v>
      </c>
      <c r="AD128" s="245"/>
      <c r="AE128" s="151" t="n">
        <f aca="false">TblExplore[[#This Row],[Land]]-TblExplore[[#This Row],[Land Bonus]]*20</f>
        <v>700</v>
      </c>
      <c r="AF128" s="69" t="n">
        <f aca="false">ROUND(MAX(0.6*TblExplore[[#This Row],[Land-DB]]^1.299,850)*(1+ tech_2_6*Techs!AC128 + tech_2_9*Techs!AF128 + tech_3_7*Techs!AN128 + Overview!$I$32),0)</f>
        <v>2978</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533</v>
      </c>
    </row>
    <row r="129" customFormat="false" ht="12.75" hidden="false" customHeight="false" outlineLevel="0" collapsed="false">
      <c r="A129" s="170" t="n">
        <f aca="false">TblRezone[[#This Row],[Hour]]</f>
        <v>126</v>
      </c>
      <c r="B129" s="181" t="n">
        <f aca="false">TblConstr[[#This Row],[Land]]</f>
        <v>700</v>
      </c>
      <c r="C129" s="245"/>
      <c r="D129" s="246" t="n">
        <f aca="false">TblConstr[[#This Row],[Plain]]</f>
        <v>0</v>
      </c>
      <c r="E129" s="193" t="n">
        <f aca="false">TblConstr[[#This Row],[Forest]]</f>
        <v>0</v>
      </c>
      <c r="F129" s="200" t="n">
        <f aca="false">TblConstr[[#This Row],[Mountain]]</f>
        <v>0</v>
      </c>
      <c r="G129" s="201" t="n">
        <f aca="false">TblConstr[[#This Row],[Hill]]</f>
        <v>0</v>
      </c>
      <c r="H129" s="202" t="n">
        <f aca="false">TblConstr[[#This Row],[Swamp]]</f>
        <v>0</v>
      </c>
      <c r="I129" s="197" t="n">
        <f aca="false">TblConstr[[#This Row],[Cavern]]</f>
        <v>0</v>
      </c>
      <c r="J129" s="198" t="n">
        <f aca="false">TblConstr[[#This Row],[Water]]</f>
        <v>0</v>
      </c>
      <c r="K129" s="4"/>
      <c r="L129" s="4" t="n">
        <v>6</v>
      </c>
      <c r="M129" s="4" t="n">
        <v>632</v>
      </c>
      <c r="N129" s="247" t="n">
        <f aca="false">TblMili[[#This Row],[Smithies]]</f>
        <v>0.18</v>
      </c>
      <c r="O129" s="247" t="n">
        <f aca="false">TblPop[[#This Row],[Employment]]</f>
        <v>1</v>
      </c>
      <c r="P129" s="247" t="n">
        <f aca="false">TblImps[[#This Row],[Population]]</f>
        <v>1</v>
      </c>
      <c r="Q129" s="181" t="n">
        <f aca="false">TblExplore[[#This Row],[Land]]</f>
        <v>700</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3792</v>
      </c>
      <c r="AC129" s="69" t="n">
        <f aca="false">TblProd[[#This Row],[Platinum]]</f>
        <v>2010777</v>
      </c>
      <c r="AD129" s="245"/>
      <c r="AE129" s="151" t="n">
        <f aca="false">TblExplore[[#This Row],[Land]]-TblExplore[[#This Row],[Land Bonus]]*20</f>
        <v>700</v>
      </c>
      <c r="AF129" s="69" t="n">
        <f aca="false">ROUND(MAX(0.6*TblExplore[[#This Row],[Land-DB]]^1.299,850)*(1+ tech_2_6*Techs!AC129 + tech_2_9*Techs!AF129 + tech_3_7*Techs!AN129 + Overview!$I$32),0)</f>
        <v>2978</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541</v>
      </c>
    </row>
    <row r="130" customFormat="false" ht="12.75" hidden="false" customHeight="false" outlineLevel="0" collapsed="false">
      <c r="A130" s="170" t="n">
        <f aca="false">TblRezone[[#This Row],[Hour]]</f>
        <v>127</v>
      </c>
      <c r="B130" s="181" t="n">
        <f aca="false">TblConstr[[#This Row],[Land]]</f>
        <v>700</v>
      </c>
      <c r="C130" s="245"/>
      <c r="D130" s="246" t="n">
        <f aca="false">TblConstr[[#This Row],[Plain]]</f>
        <v>0</v>
      </c>
      <c r="E130" s="193" t="n">
        <f aca="false">TblConstr[[#This Row],[Forest]]</f>
        <v>0</v>
      </c>
      <c r="F130" s="200" t="n">
        <f aca="false">TblConstr[[#This Row],[Mountain]]</f>
        <v>0</v>
      </c>
      <c r="G130" s="201" t="n">
        <f aca="false">TblConstr[[#This Row],[Hill]]</f>
        <v>0</v>
      </c>
      <c r="H130" s="202" t="n">
        <f aca="false">TblConstr[[#This Row],[Swamp]]</f>
        <v>0</v>
      </c>
      <c r="I130" s="197" t="n">
        <f aca="false">TblConstr[[#This Row],[Cavern]]</f>
        <v>0</v>
      </c>
      <c r="J130" s="198" t="n">
        <f aca="false">TblConstr[[#This Row],[Water]]</f>
        <v>0</v>
      </c>
      <c r="K130" s="4"/>
      <c r="L130" s="4" t="n">
        <v>7</v>
      </c>
      <c r="M130" s="4" t="n">
        <v>836</v>
      </c>
      <c r="N130" s="247" t="n">
        <f aca="false">TblMili[[#This Row],[Smithies]]</f>
        <v>0.18</v>
      </c>
      <c r="O130" s="247" t="n">
        <f aca="false">TblPop[[#This Row],[Employment]]</f>
        <v>1</v>
      </c>
      <c r="P130" s="247" t="n">
        <f aca="false">TblImps[[#This Row],[Population]]</f>
        <v>1</v>
      </c>
      <c r="Q130" s="181" t="n">
        <f aca="false">TblExplore[[#This Row],[Land]]</f>
        <v>700</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3851</v>
      </c>
      <c r="AC130" s="69" t="n">
        <f aca="false">TblProd[[#This Row],[Platinum]]</f>
        <v>2039144</v>
      </c>
      <c r="AD130" s="245"/>
      <c r="AE130" s="151" t="n">
        <f aca="false">TblExplore[[#This Row],[Land]]-TblExplore[[#This Row],[Land Bonus]]*20</f>
        <v>700</v>
      </c>
      <c r="AF130" s="69" t="n">
        <f aca="false">ROUND(MAX(0.6*TblExplore[[#This Row],[Land-DB]]^1.299,850)*(1+ tech_2_6*Techs!AC130 + tech_2_9*Techs!AF130 + tech_3_7*Techs!AN130 + Overview!$I$32),0)</f>
        <v>2978</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550</v>
      </c>
    </row>
    <row r="131" customFormat="false" ht="12.75" hidden="false" customHeight="false" outlineLevel="0" collapsed="false">
      <c r="A131" s="170" t="n">
        <f aca="false">TblRezone[[#This Row],[Hour]]</f>
        <v>128</v>
      </c>
      <c r="B131" s="181" t="n">
        <f aca="false">TblConstr[[#This Row],[Land]]</f>
        <v>700</v>
      </c>
      <c r="C131" s="245"/>
      <c r="D131" s="246" t="n">
        <f aca="false">TblConstr[[#This Row],[Plain]]</f>
        <v>0</v>
      </c>
      <c r="E131" s="193" t="n">
        <f aca="false">TblConstr[[#This Row],[Forest]]</f>
        <v>0</v>
      </c>
      <c r="F131" s="200" t="n">
        <f aca="false">TblConstr[[#This Row],[Mountain]]</f>
        <v>0</v>
      </c>
      <c r="G131" s="201" t="n">
        <f aca="false">TblConstr[[#This Row],[Hill]]</f>
        <v>0</v>
      </c>
      <c r="H131" s="202" t="n">
        <f aca="false">TblConstr[[#This Row],[Swamp]]</f>
        <v>0</v>
      </c>
      <c r="I131" s="197" t="n">
        <f aca="false">TblConstr[[#This Row],[Cavern]]</f>
        <v>0</v>
      </c>
      <c r="J131" s="198" t="n">
        <f aca="false">TblConstr[[#This Row],[Water]]</f>
        <v>0</v>
      </c>
      <c r="K131" s="4"/>
      <c r="L131" s="4" t="n">
        <v>8</v>
      </c>
      <c r="M131" s="4" t="n">
        <v>1035</v>
      </c>
      <c r="N131" s="247" t="n">
        <f aca="false">TblMili[[#This Row],[Smithies]]</f>
        <v>0.18</v>
      </c>
      <c r="O131" s="247" t="n">
        <f aca="false">TblPop[[#This Row],[Employment]]</f>
        <v>1</v>
      </c>
      <c r="P131" s="247" t="n">
        <f aca="false">TblImps[[#This Row],[Population]]</f>
        <v>1</v>
      </c>
      <c r="Q131" s="181" t="n">
        <f aca="false">TblExplore[[#This Row],[Land]]</f>
        <v>700</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3910</v>
      </c>
      <c r="AC131" s="69" t="n">
        <f aca="false">TblProd[[#This Row],[Platinum]]</f>
        <v>2067351</v>
      </c>
      <c r="AD131" s="245"/>
      <c r="AE131" s="151" t="n">
        <f aca="false">TblExplore[[#This Row],[Land]]-TblExplore[[#This Row],[Land Bonus]]*20</f>
        <v>700</v>
      </c>
      <c r="AF131" s="69" t="n">
        <f aca="false">ROUND(MAX(0.6*TblExplore[[#This Row],[Land-DB]]^1.299,850)*(1+ tech_2_6*Techs!AC131 + tech_2_9*Techs!AF131 + tech_3_7*Techs!AN131 + Overview!$I$32),0)</f>
        <v>2978</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558</v>
      </c>
    </row>
    <row r="132" customFormat="false" ht="12.75" hidden="false" customHeight="false" outlineLevel="0" collapsed="false">
      <c r="A132" s="170" t="n">
        <f aca="false">TblRezone[[#This Row],[Hour]]</f>
        <v>129</v>
      </c>
      <c r="B132" s="181" t="n">
        <f aca="false">TblConstr[[#This Row],[Land]]</f>
        <v>700</v>
      </c>
      <c r="C132" s="245"/>
      <c r="D132" s="246" t="n">
        <f aca="false">TblConstr[[#This Row],[Plain]]</f>
        <v>0</v>
      </c>
      <c r="E132" s="193" t="n">
        <f aca="false">TblConstr[[#This Row],[Forest]]</f>
        <v>0</v>
      </c>
      <c r="F132" s="200" t="n">
        <f aca="false">TblConstr[[#This Row],[Mountain]]</f>
        <v>0</v>
      </c>
      <c r="G132" s="201" t="n">
        <f aca="false">TblConstr[[#This Row],[Hill]]</f>
        <v>0</v>
      </c>
      <c r="H132" s="202" t="n">
        <f aca="false">TblConstr[[#This Row],[Swamp]]</f>
        <v>0</v>
      </c>
      <c r="I132" s="197" t="n">
        <f aca="false">TblConstr[[#This Row],[Cavern]]</f>
        <v>0</v>
      </c>
      <c r="J132" s="198" t="n">
        <f aca="false">TblConstr[[#This Row],[Water]]</f>
        <v>0</v>
      </c>
      <c r="K132" s="4"/>
      <c r="L132" s="4" t="n">
        <v>9</v>
      </c>
      <c r="M132" s="4" t="n">
        <v>1229</v>
      </c>
      <c r="N132" s="247" t="n">
        <f aca="false">TblMili[[#This Row],[Smithies]]</f>
        <v>0.18</v>
      </c>
      <c r="O132" s="247" t="n">
        <f aca="false">TblPop[[#This Row],[Employment]]</f>
        <v>1</v>
      </c>
      <c r="P132" s="247" t="n">
        <f aca="false">TblImps[[#This Row],[Population]]</f>
        <v>1</v>
      </c>
      <c r="Q132" s="181" t="n">
        <f aca="false">TblExplore[[#This Row],[Land]]</f>
        <v>700</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3968</v>
      </c>
      <c r="AC132" s="69" t="n">
        <f aca="false">TblProd[[#This Row],[Platinum]]</f>
        <v>2095399</v>
      </c>
      <c r="AD132" s="245"/>
      <c r="AE132" s="151" t="n">
        <f aca="false">TblExplore[[#This Row],[Land]]-TblExplore[[#This Row],[Land Bonus]]*20</f>
        <v>700</v>
      </c>
      <c r="AF132" s="69" t="n">
        <f aca="false">ROUND(MAX(0.6*TblExplore[[#This Row],[Land-DB]]^1.299,850)*(1+ tech_2_6*Techs!AC132 + tech_2_9*Techs!AF132 + tech_3_7*Techs!AN132 + Overview!$I$32),0)</f>
        <v>2978</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566</v>
      </c>
    </row>
    <row r="133" customFormat="false" ht="12.75" hidden="false" customHeight="false" outlineLevel="0" collapsed="false">
      <c r="A133" s="170" t="n">
        <f aca="false">TblRezone[[#This Row],[Hour]]</f>
        <v>130</v>
      </c>
      <c r="B133" s="181" t="n">
        <f aca="false">TblConstr[[#This Row],[Land]]</f>
        <v>700</v>
      </c>
      <c r="C133" s="245"/>
      <c r="D133" s="246" t="n">
        <f aca="false">TblConstr[[#This Row],[Plain]]</f>
        <v>0</v>
      </c>
      <c r="E133" s="193" t="n">
        <f aca="false">TblConstr[[#This Row],[Forest]]</f>
        <v>0</v>
      </c>
      <c r="F133" s="200" t="n">
        <f aca="false">TblConstr[[#This Row],[Mountain]]</f>
        <v>0</v>
      </c>
      <c r="G133" s="201" t="n">
        <f aca="false">TblConstr[[#This Row],[Hill]]</f>
        <v>0</v>
      </c>
      <c r="H133" s="202" t="n">
        <f aca="false">TblConstr[[#This Row],[Swamp]]</f>
        <v>0</v>
      </c>
      <c r="I133" s="197" t="n">
        <f aca="false">TblConstr[[#This Row],[Cavern]]</f>
        <v>0</v>
      </c>
      <c r="J133" s="198" t="n">
        <f aca="false">TblConstr[[#This Row],[Water]]</f>
        <v>0</v>
      </c>
      <c r="K133" s="4"/>
      <c r="L133" s="4" t="n">
        <v>10</v>
      </c>
      <c r="M133" s="4" t="n">
        <v>1421</v>
      </c>
      <c r="N133" s="247" t="n">
        <f aca="false">TblMili[[#This Row],[Smithies]]</f>
        <v>0.18</v>
      </c>
      <c r="O133" s="247" t="n">
        <f aca="false">TblPop[[#This Row],[Employment]]</f>
        <v>1</v>
      </c>
      <c r="P133" s="247" t="n">
        <f aca="false">TblImps[[#This Row],[Population]]</f>
        <v>1</v>
      </c>
      <c r="Q133" s="181" t="n">
        <f aca="false">TblExplore[[#This Row],[Land]]</f>
        <v>700</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4025</v>
      </c>
      <c r="AC133" s="69" t="n">
        <f aca="false">TblProd[[#This Row],[Platinum]]</f>
        <v>2123290</v>
      </c>
      <c r="AD133" s="245"/>
      <c r="AE133" s="151" t="n">
        <f aca="false">TblExplore[[#This Row],[Land]]-TblExplore[[#This Row],[Land Bonus]]*20</f>
        <v>700</v>
      </c>
      <c r="AF133" s="69" t="n">
        <f aca="false">ROUND(MAX(0.6*TblExplore[[#This Row],[Land-DB]]^1.299,850)*(1+ tech_2_6*Techs!AC133 + tech_2_9*Techs!AF133 + tech_3_7*Techs!AN133 + Overview!$I$32),0)</f>
        <v>2978</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575</v>
      </c>
    </row>
    <row r="134" customFormat="false" ht="12.75" hidden="false" customHeight="false" outlineLevel="0" collapsed="false">
      <c r="A134" s="170" t="n">
        <f aca="false">TblRezone[[#This Row],[Hour]]</f>
        <v>131</v>
      </c>
      <c r="B134" s="181" t="n">
        <f aca="false">TblConstr[[#This Row],[Land]]</f>
        <v>700</v>
      </c>
      <c r="C134" s="245"/>
      <c r="D134" s="246" t="n">
        <f aca="false">TblConstr[[#This Row],[Plain]]</f>
        <v>0</v>
      </c>
      <c r="E134" s="193" t="n">
        <f aca="false">TblConstr[[#This Row],[Forest]]</f>
        <v>0</v>
      </c>
      <c r="F134" s="200" t="n">
        <f aca="false">TblConstr[[#This Row],[Mountain]]</f>
        <v>0</v>
      </c>
      <c r="G134" s="201" t="n">
        <f aca="false">TblConstr[[#This Row],[Hill]]</f>
        <v>0</v>
      </c>
      <c r="H134" s="202" t="n">
        <f aca="false">TblConstr[[#This Row],[Swamp]]</f>
        <v>0</v>
      </c>
      <c r="I134" s="197" t="n">
        <f aca="false">TblConstr[[#This Row],[Cavern]]</f>
        <v>0</v>
      </c>
      <c r="J134" s="198" t="n">
        <f aca="false">TblConstr[[#This Row],[Water]]</f>
        <v>0</v>
      </c>
      <c r="K134" s="4"/>
      <c r="L134" s="4" t="n">
        <v>11</v>
      </c>
      <c r="M134" s="4" t="n">
        <v>1610</v>
      </c>
      <c r="N134" s="247" t="n">
        <f aca="false">TblMili[[#This Row],[Smithies]]</f>
        <v>0.18</v>
      </c>
      <c r="O134" s="247" t="n">
        <f aca="false">TblPop[[#This Row],[Employment]]</f>
        <v>1</v>
      </c>
      <c r="P134" s="247" t="n">
        <f aca="false">TblImps[[#This Row],[Population]]</f>
        <v>1</v>
      </c>
      <c r="Q134" s="181" t="n">
        <f aca="false">TblExplore[[#This Row],[Land]]</f>
        <v>700</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4082</v>
      </c>
      <c r="AC134" s="69" t="n">
        <f aca="false">TblProd[[#This Row],[Platinum]]</f>
        <v>2151028</v>
      </c>
      <c r="AD134" s="245"/>
      <c r="AE134" s="151" t="n">
        <f aca="false">TblExplore[[#This Row],[Land]]-TblExplore[[#This Row],[Land Bonus]]*20</f>
        <v>700</v>
      </c>
      <c r="AF134" s="69" t="n">
        <f aca="false">ROUND(MAX(0.6*TblExplore[[#This Row],[Land-DB]]^1.299,850)*(1+ tech_2_6*Techs!AC134 + tech_2_9*Techs!AF134 + tech_3_7*Techs!AN134 + Overview!$I$32),0)</f>
        <v>2978</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583</v>
      </c>
    </row>
    <row r="135" customFormat="false" ht="12.75" hidden="false" customHeight="false" outlineLevel="0" collapsed="false">
      <c r="A135" s="170" t="n">
        <f aca="false">TblRezone[[#This Row],[Hour]]</f>
        <v>132</v>
      </c>
      <c r="B135" s="181" t="n">
        <f aca="false">TblConstr[[#This Row],[Land]]</f>
        <v>700</v>
      </c>
      <c r="C135" s="245"/>
      <c r="D135" s="246" t="n">
        <f aca="false">TblConstr[[#This Row],[Plain]]</f>
        <v>0</v>
      </c>
      <c r="E135" s="193" t="n">
        <f aca="false">TblConstr[[#This Row],[Forest]]</f>
        <v>0</v>
      </c>
      <c r="F135" s="200" t="n">
        <f aca="false">TblConstr[[#This Row],[Mountain]]</f>
        <v>0</v>
      </c>
      <c r="G135" s="201" t="n">
        <f aca="false">TblConstr[[#This Row],[Hill]]</f>
        <v>0</v>
      </c>
      <c r="H135" s="202" t="n">
        <f aca="false">TblConstr[[#This Row],[Swamp]]</f>
        <v>0</v>
      </c>
      <c r="I135" s="197" t="n">
        <f aca="false">TblConstr[[#This Row],[Cavern]]</f>
        <v>0</v>
      </c>
      <c r="J135" s="198" t="n">
        <f aca="false">TblConstr[[#This Row],[Water]]</f>
        <v>0</v>
      </c>
      <c r="K135" s="4"/>
      <c r="L135" s="4" t="n">
        <v>12</v>
      </c>
      <c r="M135" s="4" t="n">
        <v>1798</v>
      </c>
      <c r="N135" s="247" t="n">
        <f aca="false">TblMili[[#This Row],[Smithies]]</f>
        <v>0.18</v>
      </c>
      <c r="O135" s="247" t="n">
        <f aca="false">TblPop[[#This Row],[Employment]]</f>
        <v>1</v>
      </c>
      <c r="P135" s="247" t="n">
        <f aca="false">TblImps[[#This Row],[Population]]</f>
        <v>1</v>
      </c>
      <c r="Q135" s="181" t="n">
        <f aca="false">TblExplore[[#This Row],[Land]]</f>
        <v>700</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4138</v>
      </c>
      <c r="AC135" s="69" t="n">
        <f aca="false">TblProd[[#This Row],[Platinum]]</f>
        <v>2178612</v>
      </c>
      <c r="AD135" s="245"/>
      <c r="AE135" s="151" t="n">
        <f aca="false">TblExplore[[#This Row],[Land]]-TblExplore[[#This Row],[Land Bonus]]*20</f>
        <v>700</v>
      </c>
      <c r="AF135" s="69" t="n">
        <f aca="false">ROUND(MAX(0.6*TblExplore[[#This Row],[Land-DB]]^1.299,850)*(1+ tech_2_6*Techs!AC135 + tech_2_9*Techs!AF135 + tech_3_7*Techs!AN135 + Overview!$I$32),0)</f>
        <v>2978</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591</v>
      </c>
    </row>
    <row r="136" customFormat="false" ht="12.75" hidden="false" customHeight="false" outlineLevel="0" collapsed="false">
      <c r="A136" s="170" t="n">
        <f aca="false">TblRezone[[#This Row],[Hour]]</f>
        <v>133</v>
      </c>
      <c r="B136" s="181" t="n">
        <f aca="false">TblConstr[[#This Row],[Land]]</f>
        <v>700</v>
      </c>
      <c r="C136" s="245"/>
      <c r="D136" s="246" t="n">
        <f aca="false">TblConstr[[#This Row],[Plain]]</f>
        <v>0</v>
      </c>
      <c r="E136" s="193" t="n">
        <f aca="false">TblConstr[[#This Row],[Forest]]</f>
        <v>0</v>
      </c>
      <c r="F136" s="200" t="n">
        <f aca="false">TblConstr[[#This Row],[Mountain]]</f>
        <v>0</v>
      </c>
      <c r="G136" s="201" t="n">
        <f aca="false">TblConstr[[#This Row],[Hill]]</f>
        <v>0</v>
      </c>
      <c r="H136" s="202" t="n">
        <f aca="false">TblConstr[[#This Row],[Swamp]]</f>
        <v>0</v>
      </c>
      <c r="I136" s="197" t="n">
        <f aca="false">TblConstr[[#This Row],[Cavern]]</f>
        <v>0</v>
      </c>
      <c r="J136" s="198" t="n">
        <f aca="false">TblConstr[[#This Row],[Water]]</f>
        <v>0</v>
      </c>
      <c r="K136" s="4"/>
      <c r="L136" s="4" t="n">
        <v>13</v>
      </c>
      <c r="M136" s="4" t="n">
        <v>1984</v>
      </c>
      <c r="N136" s="247" t="n">
        <f aca="false">TblMili[[#This Row],[Smithies]]</f>
        <v>0.18</v>
      </c>
      <c r="O136" s="247" t="n">
        <f aca="false">TblPop[[#This Row],[Employment]]</f>
        <v>0</v>
      </c>
      <c r="P136" s="247" t="n">
        <f aca="false">TblImps[[#This Row],[Population]]</f>
        <v>1</v>
      </c>
      <c r="Q136" s="181" t="n">
        <f aca="false">TblExplore[[#This Row],[Land]]</f>
        <v>700</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4194</v>
      </c>
      <c r="AC136" s="69" t="n">
        <f aca="false">TblProd[[#This Row],[Platinum]]</f>
        <v>2206044</v>
      </c>
      <c r="AD136" s="245"/>
      <c r="AE136" s="151" t="n">
        <f aca="false">TblExplore[[#This Row],[Land]]-TblExplore[[#This Row],[Land Bonus]]*20</f>
        <v>700</v>
      </c>
      <c r="AF136" s="69" t="n">
        <f aca="false">ROUND(MAX(0.6*TblExplore[[#This Row],[Land-DB]]^1.299,850)*(1+ tech_2_6*Techs!AC136 + tech_2_9*Techs!AF136 + tech_3_7*Techs!AN136 + Overview!$I$32),0)</f>
        <v>2978</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599</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4">
      <formula>ROW()-3=$B$1270</formula>
    </cfRule>
    <cfRule type="expression" priority="3" aboveAverage="0" equalAverage="0" bottom="0" percent="0" rank="0" text="" dxfId="65">
      <formula>$A24=73</formula>
    </cfRule>
    <cfRule type="expression" priority="4" aboveAverage="0" equalAverage="0" bottom="0" percent="0" rank="0" text="" dxfId="66">
      <formula>ROUND(($A24-1)/12,0)=INT($A24-1)/12</formula>
    </cfRule>
  </conditionalFormatting>
  <conditionalFormatting sqref="W13:W15">
    <cfRule type="expression" priority="5" aboveAverage="0" equalAverage="0" bottom="0" percent="0" rank="0" text="" dxfId="67">
      <formula>ROW()-3=$A$1270</formula>
    </cfRule>
    <cfRule type="expression" priority="6" aboveAverage="0" equalAverage="0" bottom="0" percent="0" rank="0" text="" dxfId="68">
      <formula>$A13=73</formula>
    </cfRule>
    <cfRule type="expression" priority="7" aboveAverage="0" equalAverage="0" bottom="0" percent="0" rank="0" text="" dxfId="69">
      <formula>ROUND(($A13-1)/12,0)=INT($A13-1)/12</formula>
    </cfRule>
  </conditionalFormatting>
  <conditionalFormatting sqref="A4:J136 N4:AJ12 N49:AJ136 N41:S48 U41:AJ48 N16:AJ23 N13:V15 X13:AJ15 N27:AJ40 N24:V26 X24:AJ26">
    <cfRule type="expression" priority="8" aboveAverage="0" equalAverage="0" bottom="0" percent="0" rank="0" text="" dxfId="70">
      <formula>ROW()-3=$B$1270</formula>
    </cfRule>
  </conditionalFormatting>
  <conditionalFormatting sqref="D4:J136">
    <cfRule type="expression" priority="9" aboveAverage="0" equalAverage="0" bottom="0" percent="0" rank="0" text="" dxfId="71">
      <formula>OR(ROW()-3=$B$1270,D4&lt;0)</formula>
    </cfRule>
  </conditionalFormatting>
  <conditionalFormatting sqref="A4:AJ12 A49:AJ136 A41:S48 U41:AJ48 A16:AJ23 A13:V15 X13:AJ15 A27:AJ40 A24:V26 X24:AJ26">
    <cfRule type="expression" priority="10" aboveAverage="0" equalAverage="0" bottom="0" percent="0" rank="0" text="" dxfId="72">
      <formula>$A4=73</formula>
    </cfRule>
    <cfRule type="expression" priority="11" aboveAverage="0" equalAverage="0" bottom="0" percent="0" rank="0" text="" dxfId="73">
      <formula>ROUND(($A4-1)/12,0)=INT($A4-1)/12</formula>
    </cfRule>
  </conditionalFormatting>
  <conditionalFormatting sqref="C1270 D1269:AJ1270 A1269:B1270">
    <cfRule type="expression" priority="12" aboveAverage="0" equalAverage="0" bottom="0" percent="0" rank="0" text="" dxfId="74">
      <formula>$B$1270&gt;144</formula>
    </cfRule>
  </conditionalFormatting>
  <conditionalFormatting sqref="M26:M32 M98:M104">
    <cfRule type="expression" priority="13" aboveAverage="0" equalAverage="0" bottom="0" percent="0" rank="0" text="" dxfId="75">
      <formula>$M26&lt;$M17</formula>
    </cfRule>
    <cfRule type="expression" priority="14" aboveAverage="0" equalAverage="0" bottom="0" percent="0" rank="0" text="" dxfId="76">
      <formula>$M17&lt;$M26</formula>
    </cfRule>
  </conditionalFormatting>
  <conditionalFormatting sqref="A1:XFD3">
    <cfRule type="expression" priority="15" aboveAverage="0" equalAverage="0" bottom="0" percent="0" rank="0" text="" dxfId="77">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FC70DD2E-8666-4B92-8333-6362D0675D6C}">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17" activeCellId="0" sqref="L1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6"/>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6"/>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175</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175</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175</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175</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175</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175</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32177</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175</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38394</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175</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44502.5</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175</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53587</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175</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39408</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50</v>
      </c>
      <c r="Y16" s="69" t="n">
        <f aca="false">TblRezone[[#This Row],[Total acres]]*TblRezone[[#This Row],[Plat/acre]]</f>
        <v>1750</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49346</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50</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59563</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70075</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80898</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21929</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23317</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24112</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23628</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30585</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38772</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41357</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54909</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68958</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85158</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101920</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40162</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21126</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24436</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27426</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30523</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36528</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42167</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43805</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50577</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58290</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64780</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72799</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501</v>
      </c>
      <c r="B44" s="246" t="n">
        <f aca="false">TblConstr[[#This Row],[Plain]]</f>
        <v>0</v>
      </c>
      <c r="C44" s="193" t="n">
        <f aca="false">TblConstr[[#This Row],[Forest]]</f>
        <v>0</v>
      </c>
      <c r="D44" s="200" t="n">
        <f aca="false">TblConstr[[#This Row],[Mountain]]</f>
        <v>0</v>
      </c>
      <c r="E44" s="201" t="n">
        <f aca="false">TblConstr[[#This Row],[Hill]]</f>
        <v>0</v>
      </c>
      <c r="F44" s="202" t="n">
        <f aca="false">TblConstr[[#This Row],[Swamp]]</f>
        <v>0</v>
      </c>
      <c r="G44" s="197" t="n">
        <f aca="false">TblConstr[[#This Row],[Cavern]]</f>
        <v>0</v>
      </c>
      <c r="H44" s="198" t="n">
        <f aca="false">TblConstr[[#This Row],[Water]]</f>
        <v>0</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41346</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201</v>
      </c>
      <c r="Y44" s="69" t="n">
        <f aca="false">TblRezone[[#This Row],[Total acres]]*TblRezone[[#This Row],[Plat/acre]]</f>
        <v>0</v>
      </c>
      <c r="Z44" s="245"/>
      <c r="AA44" s="69" t="n">
        <f aca="false">250+0.6*(TblRezone[[#This Row],[Land]]-250)</f>
        <v>400.6</v>
      </c>
      <c r="AB44" s="245"/>
      <c r="AC44" s="150" t="n">
        <f aca="false">TblConstr[[#This Row],[Facs DB]]</f>
        <v>0.101796407185629</v>
      </c>
    </row>
    <row r="45" customFormat="false" ht="12.75" hidden="false" customHeight="false" outlineLevel="0" collapsed="false">
      <c r="A45" s="181" t="n">
        <f aca="false">TblConstr[[#This Row],[Land]]</f>
        <v>510</v>
      </c>
      <c r="B45" s="246" t="n">
        <f aca="false">TblConstr[[#This Row],[Plain]]</f>
        <v>0</v>
      </c>
      <c r="C45" s="193" t="n">
        <f aca="false">TblConstr[[#This Row],[Forest]]</f>
        <v>0</v>
      </c>
      <c r="D45" s="200" t="n">
        <f aca="false">TblConstr[[#This Row],[Mountain]]</f>
        <v>0</v>
      </c>
      <c r="E45" s="201" t="n">
        <f aca="false">TblConstr[[#This Row],[Hill]]</f>
        <v>0</v>
      </c>
      <c r="F45" s="202" t="n">
        <f aca="false">TblConstr[[#This Row],[Swamp]]</f>
        <v>0</v>
      </c>
      <c r="G45" s="197" t="n">
        <f aca="false">TblConstr[[#This Row],[Cavern]]</f>
        <v>0</v>
      </c>
      <c r="H45" s="198" t="n">
        <f aca="false">TblConstr[[#This Row],[Water]]</f>
        <v>0</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47794</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203</v>
      </c>
      <c r="Y45" s="69" t="n">
        <f aca="false">TblRezone[[#This Row],[Total acres]]*TblRezone[[#This Row],[Plat/acre]]</f>
        <v>0</v>
      </c>
      <c r="Z45" s="245"/>
      <c r="AA45" s="69" t="n">
        <f aca="false">250+0.6*(TblRezone[[#This Row],[Land]]-250)</f>
        <v>406</v>
      </c>
      <c r="AB45" s="245"/>
      <c r="AC45" s="150" t="n">
        <f aca="false">TblConstr[[#This Row],[Facs DB]]</f>
        <v>0.101960784313725</v>
      </c>
    </row>
    <row r="46" customFormat="false" ht="12.75" hidden="false" customHeight="false" outlineLevel="0" collapsed="false">
      <c r="A46" s="181" t="n">
        <f aca="false">TblConstr[[#This Row],[Land]]</f>
        <v>520</v>
      </c>
      <c r="B46" s="246" t="n">
        <f aca="false">TblConstr[[#This Row],[Plain]]</f>
        <v>0</v>
      </c>
      <c r="C46" s="193" t="n">
        <f aca="false">TblConstr[[#This Row],[Forest]]</f>
        <v>0</v>
      </c>
      <c r="D46" s="200" t="n">
        <f aca="false">TblConstr[[#This Row],[Mountain]]</f>
        <v>0</v>
      </c>
      <c r="E46" s="201" t="n">
        <f aca="false">TblConstr[[#This Row],[Hill]]</f>
        <v>0</v>
      </c>
      <c r="F46" s="202" t="n">
        <f aca="false">TblConstr[[#This Row],[Swamp]]</f>
        <v>0</v>
      </c>
      <c r="G46" s="197" t="n">
        <f aca="false">TblConstr[[#This Row],[Cavern]]</f>
        <v>0</v>
      </c>
      <c r="H46" s="198" t="n">
        <f aca="false">TblConstr[[#This Row],[Water]]</f>
        <v>0</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62940</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206</v>
      </c>
      <c r="Y46" s="69" t="n">
        <f aca="false">TblRezone[[#This Row],[Total acres]]*TblRezone[[#This Row],[Plat/acre]]</f>
        <v>0</v>
      </c>
      <c r="Z46" s="245"/>
      <c r="AA46" s="69" t="n">
        <f aca="false">250+0.6*(TblRezone[[#This Row],[Land]]-250)</f>
        <v>412</v>
      </c>
      <c r="AB46" s="245"/>
      <c r="AC46" s="150" t="n">
        <f aca="false">TblConstr[[#This Row],[Facs DB]]</f>
        <v>0.101923076923077</v>
      </c>
    </row>
    <row r="47" customFormat="false" ht="12.75" hidden="false" customHeight="false" outlineLevel="0" collapsed="false">
      <c r="A47" s="181" t="n">
        <f aca="false">TblConstr[[#This Row],[Land]]</f>
        <v>530</v>
      </c>
      <c r="B47" s="246" t="n">
        <f aca="false">TblConstr[[#This Row],[Plain]]</f>
        <v>0</v>
      </c>
      <c r="C47" s="193" t="n">
        <f aca="false">TblConstr[[#This Row],[Forest]]</f>
        <v>0</v>
      </c>
      <c r="D47" s="200" t="n">
        <f aca="false">TblConstr[[#This Row],[Mountain]]</f>
        <v>0</v>
      </c>
      <c r="E47" s="201" t="n">
        <f aca="false">TblConstr[[#This Row],[Hill]]</f>
        <v>0</v>
      </c>
      <c r="F47" s="202" t="n">
        <f aca="false">TblConstr[[#This Row],[Swamp]]</f>
        <v>0</v>
      </c>
      <c r="G47" s="197" t="n">
        <f aca="false">TblConstr[[#This Row],[Cavern]]</f>
        <v>0</v>
      </c>
      <c r="H47" s="198" t="n">
        <f aca="false">TblConstr[[#This Row],[Water]]</f>
        <v>0</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95998</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209</v>
      </c>
      <c r="Y47" s="69" t="n">
        <f aca="false">TblRezone[[#This Row],[Total acres]]*TblRezone[[#This Row],[Plat/acre]]</f>
        <v>0</v>
      </c>
      <c r="Z47" s="245"/>
      <c r="AA47" s="69" t="n">
        <f aca="false">250+0.6*(TblRezone[[#This Row],[Land]]-250)</f>
        <v>418</v>
      </c>
      <c r="AB47" s="245"/>
      <c r="AC47" s="150" t="n">
        <f aca="false">TblConstr[[#This Row],[Facs DB]]</f>
        <v>0.10188679245283</v>
      </c>
    </row>
    <row r="48" customFormat="false" ht="12.75" hidden="false" customHeight="false" outlineLevel="0" collapsed="false">
      <c r="A48" s="181" t="n">
        <f aca="false">TblConstr[[#This Row],[Land]]</f>
        <v>540</v>
      </c>
      <c r="B48" s="246" t="n">
        <f aca="false">TblConstr[[#This Row],[Plain]]</f>
        <v>0</v>
      </c>
      <c r="C48" s="193" t="n">
        <f aca="false">TblConstr[[#This Row],[Forest]]</f>
        <v>0</v>
      </c>
      <c r="D48" s="200" t="n">
        <f aca="false">TblConstr[[#This Row],[Mountain]]</f>
        <v>0</v>
      </c>
      <c r="E48" s="201" t="n">
        <f aca="false">TblConstr[[#This Row],[Hill]]</f>
        <v>0</v>
      </c>
      <c r="F48" s="202" t="n">
        <f aca="false">TblConstr[[#This Row],[Swamp]]</f>
        <v>0</v>
      </c>
      <c r="G48" s="197" t="n">
        <f aca="false">TblConstr[[#This Row],[Cavern]]</f>
        <v>0</v>
      </c>
      <c r="H48" s="198" t="n">
        <f aca="false">TblConstr[[#This Row],[Water]]</f>
        <v>0</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130185</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212</v>
      </c>
      <c r="Y48" s="69" t="n">
        <f aca="false">TblRezone[[#This Row],[Total acres]]*TblRezone[[#This Row],[Plat/acre]]</f>
        <v>0</v>
      </c>
      <c r="Z48" s="245"/>
      <c r="AA48" s="69" t="n">
        <f aca="false">250+0.6*(TblRezone[[#This Row],[Land]]-250)</f>
        <v>424</v>
      </c>
      <c r="AB48" s="245"/>
      <c r="AC48" s="150" t="n">
        <f aca="false">TblConstr[[#This Row],[Facs DB]]</f>
        <v>0.101851851851852</v>
      </c>
    </row>
    <row r="49" customFormat="false" ht="12.75" hidden="false" customHeight="false" outlineLevel="0" collapsed="false">
      <c r="A49" s="181" t="n">
        <f aca="false">TblConstr[[#This Row],[Land]]</f>
        <v>551</v>
      </c>
      <c r="B49" s="246" t="n">
        <f aca="false">TblConstr[[#This Row],[Plain]]</f>
        <v>0</v>
      </c>
      <c r="C49" s="193" t="n">
        <f aca="false">TblConstr[[#This Row],[Forest]]</f>
        <v>0</v>
      </c>
      <c r="D49" s="200" t="n">
        <f aca="false">TblConstr[[#This Row],[Mountain]]</f>
        <v>0</v>
      </c>
      <c r="E49" s="201" t="n">
        <f aca="false">TblConstr[[#This Row],[Hill]]</f>
        <v>0</v>
      </c>
      <c r="F49" s="202" t="n">
        <f aca="false">TblConstr[[#This Row],[Swamp]]</f>
        <v>0</v>
      </c>
      <c r="G49" s="197" t="n">
        <f aca="false">TblConstr[[#This Row],[Cavern]]</f>
        <v>0</v>
      </c>
      <c r="H49" s="198" t="n">
        <f aca="false">TblConstr[[#This Row],[Water]]</f>
        <v>0</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164221</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216</v>
      </c>
      <c r="Y49" s="69" t="n">
        <f aca="false">TblRezone[[#This Row],[Total acres]]*TblRezone[[#This Row],[Plat/acre]]</f>
        <v>0</v>
      </c>
      <c r="Z49" s="245"/>
      <c r="AA49" s="69" t="n">
        <f aca="false">250+0.6*(TblRezone[[#This Row],[Land]]-250)</f>
        <v>430.6</v>
      </c>
      <c r="AB49" s="245"/>
      <c r="AC49" s="150" t="n">
        <f aca="false">TblConstr[[#This Row],[Facs DB]]</f>
        <v>0.101633393829401</v>
      </c>
    </row>
    <row r="50" customFormat="false" ht="12.75" hidden="false" customHeight="false" outlineLevel="0" collapsed="false">
      <c r="A50" s="181" t="n">
        <f aca="false">TblConstr[[#This Row],[Land]]</f>
        <v>563</v>
      </c>
      <c r="B50" s="246" t="n">
        <f aca="false">TblConstr[[#This Row],[Plain]]</f>
        <v>0</v>
      </c>
      <c r="C50" s="193" t="n">
        <f aca="false">TblConstr[[#This Row],[Forest]]</f>
        <v>0</v>
      </c>
      <c r="D50" s="200" t="n">
        <f aca="false">TblConstr[[#This Row],[Mountain]]</f>
        <v>0</v>
      </c>
      <c r="E50" s="201" t="n">
        <f aca="false">TblConstr[[#This Row],[Hill]]</f>
        <v>0</v>
      </c>
      <c r="F50" s="202" t="n">
        <f aca="false">TblConstr[[#This Row],[Swamp]]</f>
        <v>0</v>
      </c>
      <c r="G50" s="197" t="n">
        <f aca="false">TblConstr[[#This Row],[Cavern]]</f>
        <v>0</v>
      </c>
      <c r="H50" s="198" t="n">
        <f aca="false">TblConstr[[#This Row],[Water]]</f>
        <v>0</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197828</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219</v>
      </c>
      <c r="Y50" s="69" t="n">
        <f aca="false">TblRezone[[#This Row],[Total acres]]*TblRezone[[#This Row],[Plat/acre]]</f>
        <v>0</v>
      </c>
      <c r="Z50" s="245"/>
      <c r="AA50" s="69" t="n">
        <f aca="false">250+0.6*(TblRezone[[#This Row],[Land]]-250)</f>
        <v>437.8</v>
      </c>
      <c r="AB50" s="245"/>
      <c r="AC50" s="150" t="n">
        <f aca="false">TblConstr[[#This Row],[Facs DB]]</f>
        <v>0.101243339253996</v>
      </c>
    </row>
    <row r="51" customFormat="false" ht="12.75" hidden="false" customHeight="false" outlineLevel="0" collapsed="false">
      <c r="A51" s="181" t="n">
        <f aca="false">TblConstr[[#This Row],[Land]]</f>
        <v>596</v>
      </c>
      <c r="B51" s="246" t="n">
        <f aca="false">TblConstr[[#This Row],[Plain]]</f>
        <v>0</v>
      </c>
      <c r="C51" s="193" t="n">
        <f aca="false">TblConstr[[#This Row],[Forest]]</f>
        <v>0</v>
      </c>
      <c r="D51" s="200" t="n">
        <f aca="false">TblConstr[[#This Row],[Mountain]]</f>
        <v>0</v>
      </c>
      <c r="E51" s="201" t="n">
        <f aca="false">TblConstr[[#This Row],[Hill]]</f>
        <v>0</v>
      </c>
      <c r="F51" s="202" t="n">
        <f aca="false">TblConstr[[#This Row],[Swamp]]</f>
        <v>0</v>
      </c>
      <c r="G51" s="197" t="n">
        <f aca="false">TblConstr[[#This Row],[Cavern]]</f>
        <v>0</v>
      </c>
      <c r="H51" s="198" t="n">
        <f aca="false">TblConstr[[#This Row],[Water]]</f>
        <v>0</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256520</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229</v>
      </c>
      <c r="Y51" s="69" t="n">
        <f aca="false">TblRezone[[#This Row],[Total acres]]*TblRezone[[#This Row],[Plat/acre]]</f>
        <v>0</v>
      </c>
      <c r="Z51" s="245"/>
      <c r="AA51" s="69" t="n">
        <f aca="false">250+0.6*(TblRezone[[#This Row],[Land]]-250)</f>
        <v>457.6</v>
      </c>
      <c r="AB51" s="245"/>
      <c r="AC51" s="150" t="n">
        <f aca="false">TblConstr[[#This Row],[Facs DB]]</f>
        <v>0.11241610738255</v>
      </c>
    </row>
    <row r="52" customFormat="false" ht="12.75" hidden="false" customHeight="false" outlineLevel="0" collapsed="false">
      <c r="A52" s="181" t="n">
        <f aca="false">TblConstr[[#This Row],[Land]]</f>
        <v>629</v>
      </c>
      <c r="B52" s="246" t="n">
        <f aca="false">TblConstr[[#This Row],[Plain]]</f>
        <v>0</v>
      </c>
      <c r="C52" s="193" t="n">
        <f aca="false">TblConstr[[#This Row],[Forest]]</f>
        <v>0</v>
      </c>
      <c r="D52" s="200" t="n">
        <f aca="false">TblConstr[[#This Row],[Mountain]]</f>
        <v>0</v>
      </c>
      <c r="E52" s="201" t="n">
        <f aca="false">TblConstr[[#This Row],[Hill]]</f>
        <v>0</v>
      </c>
      <c r="F52" s="202" t="n">
        <f aca="false">TblConstr[[#This Row],[Swamp]]</f>
        <v>0</v>
      </c>
      <c r="G52" s="197" t="n">
        <f aca="false">TblConstr[[#This Row],[Cavern]]</f>
        <v>0</v>
      </c>
      <c r="H52" s="198" t="n">
        <f aca="false">TblConstr[[#This Row],[Water]]</f>
        <v>0</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279495</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239</v>
      </c>
      <c r="Y52" s="69" t="n">
        <f aca="false">TblRezone[[#This Row],[Total acres]]*TblRezone[[#This Row],[Plat/acre]]</f>
        <v>0</v>
      </c>
      <c r="Z52" s="245"/>
      <c r="AA52" s="69" t="n">
        <f aca="false">250+0.6*(TblRezone[[#This Row],[Land]]-250)</f>
        <v>477.4</v>
      </c>
      <c r="AB52" s="245"/>
      <c r="AC52" s="150" t="n">
        <f aca="false">TblConstr[[#This Row],[Facs DB]]</f>
        <v>0.106518282988871</v>
      </c>
    </row>
    <row r="53" customFormat="false" ht="12.75" hidden="false" customHeight="false" outlineLevel="0" collapsed="false">
      <c r="A53" s="181" t="n">
        <f aca="false">TblConstr[[#This Row],[Land]]</f>
        <v>642</v>
      </c>
      <c r="B53" s="246" t="n">
        <f aca="false">TblConstr[[#This Row],[Plain]]</f>
        <v>0</v>
      </c>
      <c r="C53" s="193" t="n">
        <f aca="false">TblConstr[[#This Row],[Forest]]</f>
        <v>0</v>
      </c>
      <c r="D53" s="200" t="n">
        <f aca="false">TblConstr[[#This Row],[Mountain]]</f>
        <v>0</v>
      </c>
      <c r="E53" s="201" t="n">
        <f aca="false">TblConstr[[#This Row],[Hill]]</f>
        <v>0</v>
      </c>
      <c r="F53" s="202" t="n">
        <f aca="false">TblConstr[[#This Row],[Swamp]]</f>
        <v>0</v>
      </c>
      <c r="G53" s="197" t="n">
        <f aca="false">TblConstr[[#This Row],[Cavern]]</f>
        <v>0</v>
      </c>
      <c r="H53" s="198" t="n">
        <f aca="false">TblConstr[[#This Row],[Water]]</f>
        <v>0</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312829</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243</v>
      </c>
      <c r="Y53" s="69" t="n">
        <f aca="false">TblRezone[[#This Row],[Total acres]]*TblRezone[[#This Row],[Plat/acre]]</f>
        <v>0</v>
      </c>
      <c r="Z53" s="245"/>
      <c r="AA53" s="69" t="n">
        <f aca="false">250+0.6*(TblRezone[[#This Row],[Land]]-250)</f>
        <v>485.2</v>
      </c>
      <c r="AB53" s="245"/>
      <c r="AC53" s="150" t="n">
        <f aca="false">TblConstr[[#This Row],[Facs DB]]</f>
        <v>0.104361370716511</v>
      </c>
    </row>
    <row r="54" customFormat="false" ht="12.75" hidden="false" customHeight="false" outlineLevel="0" collapsed="false">
      <c r="A54" s="181" t="n">
        <f aca="false">TblConstr[[#This Row],[Land]]</f>
        <v>656</v>
      </c>
      <c r="B54" s="246" t="n">
        <f aca="false">TblConstr[[#This Row],[Plain]]</f>
        <v>0</v>
      </c>
      <c r="C54" s="193" t="n">
        <f aca="false">TblConstr[[#This Row],[Forest]]</f>
        <v>0</v>
      </c>
      <c r="D54" s="200" t="n">
        <f aca="false">TblConstr[[#This Row],[Mountain]]</f>
        <v>0</v>
      </c>
      <c r="E54" s="201" t="n">
        <f aca="false">TblConstr[[#This Row],[Hill]]</f>
        <v>0</v>
      </c>
      <c r="F54" s="202" t="n">
        <f aca="false">TblConstr[[#This Row],[Swamp]]</f>
        <v>0</v>
      </c>
      <c r="G54" s="197" t="n">
        <f aca="false">TblConstr[[#This Row],[Cavern]]</f>
        <v>0</v>
      </c>
      <c r="H54" s="198" t="n">
        <f aca="false">TblConstr[[#This Row],[Water]]</f>
        <v>0</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345529</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247</v>
      </c>
      <c r="Y54" s="69" t="n">
        <f aca="false">TblRezone[[#This Row],[Total acres]]*TblRezone[[#This Row],[Plat/acre]]</f>
        <v>0</v>
      </c>
      <c r="Z54" s="245"/>
      <c r="AA54" s="69" t="n">
        <f aca="false">250+0.6*(TblRezone[[#This Row],[Land]]-250)</f>
        <v>493.6</v>
      </c>
      <c r="AB54" s="245"/>
      <c r="AC54" s="150" t="n">
        <f aca="false">TblConstr[[#This Row],[Facs DB]]</f>
        <v>0.102134146341463</v>
      </c>
    </row>
    <row r="55" customFormat="false" ht="12.75" hidden="false" customHeight="false" outlineLevel="0" collapsed="false">
      <c r="A55" s="181" t="n">
        <f aca="false">TblConstr[[#This Row],[Land]]</f>
        <v>669</v>
      </c>
      <c r="B55" s="246" t="n">
        <f aca="false">TblConstr[[#This Row],[Plain]]</f>
        <v>0</v>
      </c>
      <c r="C55" s="193" t="n">
        <f aca="false">TblConstr[[#This Row],[Forest]]</f>
        <v>0</v>
      </c>
      <c r="D55" s="200" t="n">
        <f aca="false">TblConstr[[#This Row],[Mountain]]</f>
        <v>0</v>
      </c>
      <c r="E55" s="201" t="n">
        <f aca="false">TblConstr[[#This Row],[Hill]]</f>
        <v>0</v>
      </c>
      <c r="F55" s="202" t="n">
        <f aca="false">TblConstr[[#This Row],[Swamp]]</f>
        <v>0</v>
      </c>
      <c r="G55" s="197" t="n">
        <f aca="false">TblConstr[[#This Row],[Cavern]]</f>
        <v>0</v>
      </c>
      <c r="H55" s="198" t="n">
        <f aca="false">TblConstr[[#This Row],[Water]]</f>
        <v>0</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378694</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251</v>
      </c>
      <c r="Y55" s="69" t="n">
        <f aca="false">TblRezone[[#This Row],[Total acres]]*TblRezone[[#This Row],[Plat/acre]]</f>
        <v>0</v>
      </c>
      <c r="Z55" s="245"/>
      <c r="AA55" s="69" t="n">
        <f aca="false">250+0.6*(TblRezone[[#This Row],[Land]]-250)</f>
        <v>501.4</v>
      </c>
      <c r="AB55" s="245"/>
      <c r="AC55" s="150" t="n">
        <f aca="false">TblConstr[[#This Row],[Facs DB]]</f>
        <v>0.100149476831091</v>
      </c>
    </row>
    <row r="56" customFormat="false" ht="12.75" hidden="false" customHeight="false" outlineLevel="0" collapsed="false">
      <c r="A56" s="181" t="n">
        <f aca="false">TblConstr[[#This Row],[Land]]</f>
        <v>680</v>
      </c>
      <c r="B56" s="246" t="n">
        <f aca="false">TblConstr[[#This Row],[Plain]]</f>
        <v>0</v>
      </c>
      <c r="C56" s="193" t="n">
        <f aca="false">TblConstr[[#This Row],[Forest]]</f>
        <v>0</v>
      </c>
      <c r="D56" s="200" t="n">
        <f aca="false">TblConstr[[#This Row],[Mountain]]</f>
        <v>0</v>
      </c>
      <c r="E56" s="201" t="n">
        <f aca="false">TblConstr[[#This Row],[Hill]]</f>
        <v>0</v>
      </c>
      <c r="F56" s="202" t="n">
        <f aca="false">TblConstr[[#This Row],[Swamp]]</f>
        <v>0</v>
      </c>
      <c r="G56" s="197" t="n">
        <f aca="false">TblConstr[[#This Row],[Cavern]]</f>
        <v>0</v>
      </c>
      <c r="H56" s="198" t="n">
        <f aca="false">TblConstr[[#This Row],[Water]]</f>
        <v>0</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418640</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258</v>
      </c>
      <c r="Y56" s="69" t="n">
        <f aca="false">TblRezone[[#This Row],[Total acres]]*TblRezone[[#This Row],[Plat/acre]]</f>
        <v>0</v>
      </c>
      <c r="Z56" s="245"/>
      <c r="AA56" s="69" t="n">
        <f aca="false">250+0.6*(TblRezone[[#This Row],[Land]]-250)</f>
        <v>508</v>
      </c>
      <c r="AB56" s="245"/>
      <c r="AC56" s="150" t="n">
        <f aca="false">TblConstr[[#This Row],[Facs DB]]</f>
        <v>0.0985294117647059</v>
      </c>
    </row>
    <row r="57" customFormat="false" ht="12.75" hidden="false" customHeight="false" outlineLevel="0" collapsed="false">
      <c r="A57" s="181" t="n">
        <f aca="false">TblConstr[[#This Row],[Land]]</f>
        <v>692</v>
      </c>
      <c r="B57" s="246" t="n">
        <f aca="false">TblConstr[[#This Row],[Plain]]</f>
        <v>0</v>
      </c>
      <c r="C57" s="193" t="n">
        <f aca="false">TblConstr[[#This Row],[Forest]]</f>
        <v>0</v>
      </c>
      <c r="D57" s="200" t="n">
        <f aca="false">TblConstr[[#This Row],[Mountain]]</f>
        <v>0</v>
      </c>
      <c r="E57" s="201" t="n">
        <f aca="false">TblConstr[[#This Row],[Hill]]</f>
        <v>0</v>
      </c>
      <c r="F57" s="202" t="n">
        <f aca="false">TblConstr[[#This Row],[Swamp]]</f>
        <v>0</v>
      </c>
      <c r="G57" s="197" t="n">
        <f aca="false">TblConstr[[#This Row],[Cavern]]</f>
        <v>0</v>
      </c>
      <c r="H57" s="198" t="n">
        <f aca="false">TblConstr[[#This Row],[Water]]</f>
        <v>0</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458166</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266</v>
      </c>
      <c r="Y57" s="69" t="n">
        <f aca="false">TblRezone[[#This Row],[Total acres]]*TblRezone[[#This Row],[Plat/acre]]</f>
        <v>0</v>
      </c>
      <c r="Z57" s="245"/>
      <c r="AA57" s="69" t="n">
        <f aca="false">250+0.6*(TblRezone[[#This Row],[Land]]-250)</f>
        <v>515.2</v>
      </c>
      <c r="AB57" s="245"/>
      <c r="AC57" s="150" t="n">
        <f aca="false">TblConstr[[#This Row],[Facs DB]]</f>
        <v>0.0968208092485549</v>
      </c>
    </row>
    <row r="58" customFormat="false" ht="12.75" hidden="false" customHeight="false" outlineLevel="0" collapsed="false">
      <c r="A58" s="181" t="n">
        <f aca="false">TblConstr[[#This Row],[Land]]</f>
        <v>700</v>
      </c>
      <c r="B58" s="246" t="n">
        <f aca="false">TblConstr[[#This Row],[Plain]]</f>
        <v>0</v>
      </c>
      <c r="C58" s="193" t="n">
        <f aca="false">TblConstr[[#This Row],[Forest]]</f>
        <v>0</v>
      </c>
      <c r="D58" s="200" t="n">
        <f aca="false">TblConstr[[#This Row],[Mountain]]</f>
        <v>0</v>
      </c>
      <c r="E58" s="201" t="n">
        <f aca="false">TblConstr[[#This Row],[Hill]]</f>
        <v>0</v>
      </c>
      <c r="F58" s="202" t="n">
        <f aca="false">TblConstr[[#This Row],[Swamp]]</f>
        <v>0</v>
      </c>
      <c r="G58" s="197" t="n">
        <f aca="false">TblConstr[[#This Row],[Cavern]]</f>
        <v>0</v>
      </c>
      <c r="H58" s="198" t="n">
        <f aca="false">TblConstr[[#This Row],[Water]]</f>
        <v>0</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500238</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272</v>
      </c>
      <c r="Y58" s="69" t="n">
        <f aca="false">TblRezone[[#This Row],[Total acres]]*TblRezone[[#This Row],[Plat/acre]]</f>
        <v>0</v>
      </c>
      <c r="Z58" s="245"/>
      <c r="AA58" s="69" t="n">
        <f aca="false">250+0.6*(TblRezone[[#This Row],[Land]]-250)</f>
        <v>520</v>
      </c>
      <c r="AB58" s="245"/>
      <c r="AC58" s="150" t="n">
        <f aca="false">TblConstr[[#This Row],[Facs DB]]</f>
        <v>0.0957142857142857</v>
      </c>
    </row>
    <row r="59" customFormat="false" ht="12.75" hidden="false" customHeight="false" outlineLevel="0" collapsed="false">
      <c r="A59" s="181" t="n">
        <f aca="false">TblConstr[[#This Row],[Land]]</f>
        <v>700</v>
      </c>
      <c r="B59" s="246" t="n">
        <f aca="false">TblConstr[[#This Row],[Plain]]</f>
        <v>0</v>
      </c>
      <c r="C59" s="193" t="n">
        <f aca="false">TblConstr[[#This Row],[Forest]]</f>
        <v>0</v>
      </c>
      <c r="D59" s="200" t="n">
        <f aca="false">TblConstr[[#This Row],[Mountain]]</f>
        <v>0</v>
      </c>
      <c r="E59" s="201" t="n">
        <f aca="false">TblConstr[[#This Row],[Hill]]</f>
        <v>0</v>
      </c>
      <c r="F59" s="202" t="n">
        <f aca="false">TblConstr[[#This Row],[Swamp]]</f>
        <v>0</v>
      </c>
      <c r="G59" s="197" t="n">
        <f aca="false">TblConstr[[#This Row],[Cavern]]</f>
        <v>0</v>
      </c>
      <c r="H59" s="198" t="n">
        <f aca="false">TblConstr[[#This Row],[Water]]</f>
        <v>0</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546753</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272</v>
      </c>
      <c r="Y59" s="69" t="n">
        <f aca="false">TblRezone[[#This Row],[Total acres]]*TblRezone[[#This Row],[Plat/acre]]</f>
        <v>0</v>
      </c>
      <c r="Z59" s="245"/>
      <c r="AA59" s="69" t="n">
        <f aca="false">250+0.6*(TblRezone[[#This Row],[Land]]-250)</f>
        <v>520</v>
      </c>
      <c r="AB59" s="245"/>
      <c r="AC59" s="150" t="n">
        <f aca="false">TblConstr[[#This Row],[Facs DB]]</f>
        <v>0.0957142857142857</v>
      </c>
    </row>
    <row r="60" customFormat="false" ht="12.75" hidden="false" customHeight="false" outlineLevel="0" collapsed="false">
      <c r="A60" s="181" t="n">
        <f aca="false">TblConstr[[#This Row],[Land]]</f>
        <v>700</v>
      </c>
      <c r="B60" s="246" t="n">
        <f aca="false">TblConstr[[#This Row],[Plain]]</f>
        <v>0</v>
      </c>
      <c r="C60" s="193" t="n">
        <f aca="false">TblConstr[[#This Row],[Forest]]</f>
        <v>0</v>
      </c>
      <c r="D60" s="200" t="n">
        <f aca="false">TblConstr[[#This Row],[Mountain]]</f>
        <v>0</v>
      </c>
      <c r="E60" s="201" t="n">
        <f aca="false">TblConstr[[#This Row],[Hill]]</f>
        <v>0</v>
      </c>
      <c r="F60" s="202" t="n">
        <f aca="false">TblConstr[[#This Row],[Swamp]]</f>
        <v>0</v>
      </c>
      <c r="G60" s="197" t="n">
        <f aca="false">TblConstr[[#This Row],[Cavern]]</f>
        <v>0</v>
      </c>
      <c r="H60" s="198" t="n">
        <f aca="false">TblConstr[[#This Row],[Water]]</f>
        <v>0</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593274</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275</v>
      </c>
      <c r="Y60" s="69" t="n">
        <f aca="false">TblRezone[[#This Row],[Total acres]]*TblRezone[[#This Row],[Plat/acre]]</f>
        <v>0</v>
      </c>
      <c r="Z60" s="245"/>
      <c r="AA60" s="69" t="n">
        <f aca="false">250+0.6*(TblRezone[[#This Row],[Land]]-250)</f>
        <v>520</v>
      </c>
      <c r="AB60" s="245"/>
      <c r="AC60" s="150" t="n">
        <f aca="false">TblConstr[[#This Row],[Facs DB]]</f>
        <v>0.0942857142857143</v>
      </c>
    </row>
    <row r="61" customFormat="false" ht="12.75" hidden="false" customHeight="false" outlineLevel="0" collapsed="false">
      <c r="A61" s="181" t="n">
        <f aca="false">TblConstr[[#This Row],[Land]]</f>
        <v>700</v>
      </c>
      <c r="B61" s="246" t="n">
        <f aca="false">TblConstr[[#This Row],[Plain]]</f>
        <v>0</v>
      </c>
      <c r="C61" s="193" t="n">
        <f aca="false">TblConstr[[#This Row],[Forest]]</f>
        <v>0</v>
      </c>
      <c r="D61" s="200" t="n">
        <f aca="false">TblConstr[[#This Row],[Mountain]]</f>
        <v>0</v>
      </c>
      <c r="E61" s="201" t="n">
        <f aca="false">TblConstr[[#This Row],[Hill]]</f>
        <v>0</v>
      </c>
      <c r="F61" s="202" t="n">
        <f aca="false">TblConstr[[#This Row],[Swamp]]</f>
        <v>0</v>
      </c>
      <c r="G61" s="197" t="n">
        <f aca="false">TblConstr[[#This Row],[Cavern]]</f>
        <v>0</v>
      </c>
      <c r="H61" s="198" t="n">
        <f aca="false">TblConstr[[#This Row],[Water]]</f>
        <v>0</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639546</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279</v>
      </c>
      <c r="Y61" s="69" t="n">
        <f aca="false">TblRezone[[#This Row],[Total acres]]*TblRezone[[#This Row],[Plat/acre]]</f>
        <v>0</v>
      </c>
      <c r="Z61" s="245"/>
      <c r="AA61" s="69" t="n">
        <f aca="false">250+0.6*(TblRezone[[#This Row],[Land]]-250)</f>
        <v>520</v>
      </c>
      <c r="AB61" s="245"/>
      <c r="AC61" s="150" t="n">
        <f aca="false">TblConstr[[#This Row],[Facs DB]]</f>
        <v>0.0928571428571429</v>
      </c>
    </row>
    <row r="62" customFormat="false" ht="12.75" hidden="false" customHeight="false" outlineLevel="0" collapsed="false">
      <c r="A62" s="181" t="n">
        <f aca="false">TblConstr[[#This Row],[Land]]</f>
        <v>700</v>
      </c>
      <c r="B62" s="246" t="n">
        <f aca="false">TblConstr[[#This Row],[Plain]]</f>
        <v>0</v>
      </c>
      <c r="C62" s="193" t="n">
        <f aca="false">TblConstr[[#This Row],[Forest]]</f>
        <v>0</v>
      </c>
      <c r="D62" s="200" t="n">
        <f aca="false">TblConstr[[#This Row],[Mountain]]</f>
        <v>0</v>
      </c>
      <c r="E62" s="201" t="n">
        <f aca="false">TblConstr[[#This Row],[Hill]]</f>
        <v>0</v>
      </c>
      <c r="F62" s="202" t="n">
        <f aca="false">TblConstr[[#This Row],[Swamp]]</f>
        <v>0</v>
      </c>
      <c r="G62" s="197" t="n">
        <f aca="false">TblConstr[[#This Row],[Cavern]]</f>
        <v>0</v>
      </c>
      <c r="H62" s="198" t="n">
        <f aca="false">TblConstr[[#This Row],[Water]]</f>
        <v>0</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685636</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283</v>
      </c>
      <c r="Y62" s="69" t="n">
        <f aca="false">TblRezone[[#This Row],[Total acres]]*TblRezone[[#This Row],[Plat/acre]]</f>
        <v>0</v>
      </c>
      <c r="Z62" s="245"/>
      <c r="AA62" s="69" t="n">
        <f aca="false">250+0.6*(TblRezone[[#This Row],[Land]]-250)</f>
        <v>520</v>
      </c>
      <c r="AB62" s="245"/>
      <c r="AC62" s="150" t="n">
        <f aca="false">TblConstr[[#This Row],[Facs DB]]</f>
        <v>0.0914285714285714</v>
      </c>
    </row>
    <row r="63" customFormat="false" ht="12.75" hidden="false" customHeight="false" outlineLevel="0" collapsed="false">
      <c r="A63" s="181" t="n">
        <f aca="false">TblConstr[[#This Row],[Land]]</f>
        <v>700</v>
      </c>
      <c r="B63" s="246" t="n">
        <f aca="false">TblConstr[[#This Row],[Plain]]</f>
        <v>0</v>
      </c>
      <c r="C63" s="193" t="n">
        <f aca="false">TblConstr[[#This Row],[Forest]]</f>
        <v>0</v>
      </c>
      <c r="D63" s="200" t="n">
        <f aca="false">TblConstr[[#This Row],[Mountain]]</f>
        <v>0</v>
      </c>
      <c r="E63" s="201" t="n">
        <f aca="false">TblConstr[[#This Row],[Hill]]</f>
        <v>0</v>
      </c>
      <c r="F63" s="202" t="n">
        <f aca="false">TblConstr[[#This Row],[Swamp]]</f>
        <v>0</v>
      </c>
      <c r="G63" s="197" t="n">
        <f aca="false">TblConstr[[#This Row],[Cavern]]</f>
        <v>0</v>
      </c>
      <c r="H63" s="198" t="n">
        <f aca="false">TblConstr[[#This Row],[Water]]</f>
        <v>0</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731483</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286</v>
      </c>
      <c r="Y63" s="69" t="n">
        <f aca="false">TblRezone[[#This Row],[Total acres]]*TblRezone[[#This Row],[Plat/acre]]</f>
        <v>0</v>
      </c>
      <c r="Z63" s="245"/>
      <c r="AA63" s="69" t="n">
        <f aca="false">250+0.6*(TblRezone[[#This Row],[Land]]-250)</f>
        <v>520</v>
      </c>
      <c r="AB63" s="245"/>
      <c r="AC63" s="150" t="n">
        <f aca="false">TblConstr[[#This Row],[Facs DB]]</f>
        <v>0.09</v>
      </c>
    </row>
    <row r="64" customFormat="false" ht="12.75" hidden="false" customHeight="false" outlineLevel="0" collapsed="false">
      <c r="A64" s="181" t="n">
        <f aca="false">TblConstr[[#This Row],[Land]]</f>
        <v>700</v>
      </c>
      <c r="B64" s="246" t="n">
        <f aca="false">TblConstr[[#This Row],[Plain]]</f>
        <v>0</v>
      </c>
      <c r="C64" s="193" t="n">
        <f aca="false">TblConstr[[#This Row],[Forest]]</f>
        <v>0</v>
      </c>
      <c r="D64" s="200" t="n">
        <f aca="false">TblConstr[[#This Row],[Mountain]]</f>
        <v>0</v>
      </c>
      <c r="E64" s="201" t="n">
        <f aca="false">TblConstr[[#This Row],[Hill]]</f>
        <v>0</v>
      </c>
      <c r="F64" s="202" t="n">
        <f aca="false">TblConstr[[#This Row],[Swamp]]</f>
        <v>0</v>
      </c>
      <c r="G64" s="197" t="n">
        <f aca="false">TblConstr[[#This Row],[Cavern]]</f>
        <v>0</v>
      </c>
      <c r="H64" s="198" t="n">
        <f aca="false">TblConstr[[#This Row],[Water]]</f>
        <v>0</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4808</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290</v>
      </c>
      <c r="Y64" s="69" t="n">
        <f aca="false">TblRezone[[#This Row],[Total acres]]*TblRezone[[#This Row],[Plat/acre]]</f>
        <v>0</v>
      </c>
      <c r="Z64" s="245"/>
      <c r="AA64" s="69" t="n">
        <f aca="false">250+0.6*(TblRezone[[#This Row],[Land]]-250)</f>
        <v>520</v>
      </c>
      <c r="AB64" s="245"/>
      <c r="AC64" s="150" t="n">
        <f aca="false">TblConstr[[#This Row],[Facs DB]]</f>
        <v>0.0885714285714286</v>
      </c>
    </row>
    <row r="65" customFormat="false" ht="12.75" hidden="false" customHeight="false" outlineLevel="0" collapsed="false">
      <c r="A65" s="181" t="n">
        <f aca="false">TblConstr[[#This Row],[Land]]</f>
        <v>700</v>
      </c>
      <c r="B65" s="246" t="n">
        <f aca="false">TblConstr[[#This Row],[Plain]]</f>
        <v>0</v>
      </c>
      <c r="C65" s="193" t="n">
        <f aca="false">TblConstr[[#This Row],[Forest]]</f>
        <v>0</v>
      </c>
      <c r="D65" s="200" t="n">
        <f aca="false">TblConstr[[#This Row],[Mountain]]</f>
        <v>0</v>
      </c>
      <c r="E65" s="201" t="n">
        <f aca="false">TblConstr[[#This Row],[Hill]]</f>
        <v>0</v>
      </c>
      <c r="F65" s="202" t="n">
        <f aca="false">TblConstr[[#This Row],[Swamp]]</f>
        <v>0</v>
      </c>
      <c r="G65" s="197" t="n">
        <f aca="false">TblConstr[[#This Row],[Cavern]]</f>
        <v>0</v>
      </c>
      <c r="H65" s="198" t="n">
        <f aca="false">TblConstr[[#This Row],[Water]]</f>
        <v>0</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47244</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476</v>
      </c>
      <c r="Y65" s="69" t="n">
        <f aca="false">TblRezone[[#This Row],[Total acres]]*TblRezone[[#This Row],[Plat/acre]]</f>
        <v>0</v>
      </c>
      <c r="Z65" s="245"/>
      <c r="AA65" s="69" t="n">
        <f aca="false">250+0.6*(TblRezone[[#This Row],[Land]]-250)</f>
        <v>520</v>
      </c>
      <c r="AB65" s="245"/>
      <c r="AC65" s="150" t="n">
        <f aca="false">TblConstr[[#This Row],[Facs DB]]</f>
        <v>0.0171428571428571</v>
      </c>
    </row>
    <row r="66" customFormat="false" ht="12.75" hidden="false" customHeight="false" outlineLevel="0" collapsed="false">
      <c r="A66" s="181" t="n">
        <f aca="false">TblConstr[[#This Row],[Land]]</f>
        <v>700</v>
      </c>
      <c r="B66" s="246" t="n">
        <f aca="false">TblConstr[[#This Row],[Plain]]</f>
        <v>0</v>
      </c>
      <c r="C66" s="193" t="n">
        <f aca="false">TblConstr[[#This Row],[Forest]]</f>
        <v>0</v>
      </c>
      <c r="D66" s="200" t="n">
        <f aca="false">TblConstr[[#This Row],[Mountain]]</f>
        <v>0</v>
      </c>
      <c r="E66" s="201" t="n">
        <f aca="false">TblConstr[[#This Row],[Hill]]</f>
        <v>0</v>
      </c>
      <c r="F66" s="202" t="n">
        <f aca="false">TblConstr[[#This Row],[Swamp]]</f>
        <v>0</v>
      </c>
      <c r="G66" s="197" t="n">
        <f aca="false">TblConstr[[#This Row],[Cavern]]</f>
        <v>0</v>
      </c>
      <c r="H66" s="198" t="n">
        <f aca="false">TblConstr[[#This Row],[Water]]</f>
        <v>0</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89119</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494</v>
      </c>
      <c r="Y66" s="69" t="n">
        <f aca="false">TblRezone[[#This Row],[Total acres]]*TblRezone[[#This Row],[Plat/acre]]</f>
        <v>0</v>
      </c>
      <c r="Z66" s="245"/>
      <c r="AA66" s="69" t="n">
        <f aca="false">250+0.6*(TblRezone[[#This Row],[Land]]-250)</f>
        <v>520</v>
      </c>
      <c r="AB66" s="245"/>
      <c r="AC66" s="150" t="n">
        <f aca="false">TblConstr[[#This Row],[Facs DB]]</f>
        <v>0.01</v>
      </c>
    </row>
    <row r="67" customFormat="false" ht="12.75" hidden="false" customHeight="false" outlineLevel="0" collapsed="false">
      <c r="A67" s="181" t="n">
        <f aca="false">TblConstr[[#This Row],[Land]]</f>
        <v>700</v>
      </c>
      <c r="B67" s="246" t="n">
        <f aca="false">TblConstr[[#This Row],[Plain]]</f>
        <v>0</v>
      </c>
      <c r="C67" s="193" t="n">
        <f aca="false">TblConstr[[#This Row],[Forest]]</f>
        <v>0</v>
      </c>
      <c r="D67" s="200" t="n">
        <f aca="false">TblConstr[[#This Row],[Mountain]]</f>
        <v>0</v>
      </c>
      <c r="E67" s="201" t="n">
        <f aca="false">TblConstr[[#This Row],[Hill]]</f>
        <v>0</v>
      </c>
      <c r="F67" s="202" t="n">
        <f aca="false">TblConstr[[#This Row],[Swamp]]</f>
        <v>0</v>
      </c>
      <c r="G67" s="197" t="n">
        <f aca="false">TblConstr[[#This Row],[Cavern]]</f>
        <v>0</v>
      </c>
      <c r="H67" s="198" t="n">
        <f aca="false">TblConstr[[#This Row],[Water]]</f>
        <v>0</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-14</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513</v>
      </c>
      <c r="Y67" s="69" t="n">
        <f aca="false">TblRezone[[#This Row],[Total acres]]*TblRezone[[#This Row],[Plat/acre]]</f>
        <v>0</v>
      </c>
      <c r="Z67" s="245"/>
      <c r="AA67" s="69" t="n">
        <f aca="false">250+0.6*(TblRezone[[#This Row],[Land]]-250)</f>
        <v>520</v>
      </c>
      <c r="AB67" s="245"/>
      <c r="AC67" s="150" t="n">
        <f aca="false">TblConstr[[#This Row],[Facs DB]]</f>
        <v>0.00285714285714286</v>
      </c>
    </row>
    <row r="68" customFormat="false" ht="12.75" hidden="false" customHeight="false" outlineLevel="0" collapsed="false">
      <c r="A68" s="181" t="n">
        <f aca="false">TblConstr[[#This Row],[Land]]</f>
        <v>700</v>
      </c>
      <c r="B68" s="246" t="n">
        <f aca="false">TblConstr[[#This Row],[Plain]]</f>
        <v>0</v>
      </c>
      <c r="C68" s="193" t="n">
        <f aca="false">TblConstr[[#This Row],[Forest]]</f>
        <v>0</v>
      </c>
      <c r="D68" s="200" t="n">
        <f aca="false">TblConstr[[#This Row],[Mountain]]</f>
        <v>0</v>
      </c>
      <c r="E68" s="201" t="n">
        <f aca="false">TblConstr[[#This Row],[Hill]]</f>
        <v>0</v>
      </c>
      <c r="F68" s="202" t="n">
        <f aca="false">TblConstr[[#This Row],[Swamp]]</f>
        <v>0</v>
      </c>
      <c r="G68" s="197" t="n">
        <f aca="false">TblConstr[[#This Row],[Cavern]]</f>
        <v>0</v>
      </c>
      <c r="H68" s="198" t="n">
        <f aca="false">TblConstr[[#This Row],[Water]]</f>
        <v>0</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28906</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520</v>
      </c>
      <c r="Y68" s="69" t="n">
        <f aca="false">TblRezone[[#This Row],[Total acres]]*TblRezone[[#This Row],[Plat/acre]]</f>
        <v>0</v>
      </c>
      <c r="Z68" s="245"/>
      <c r="AA68" s="69" t="n">
        <f aca="false">250+0.6*(TblRezone[[#This Row],[Land]]-250)</f>
        <v>520</v>
      </c>
      <c r="AB68" s="245"/>
      <c r="AC68" s="150" t="n">
        <f aca="false">TblConstr[[#This Row],[Facs DB]]</f>
        <v>0</v>
      </c>
    </row>
    <row r="69" customFormat="false" ht="12.75" hidden="false" customHeight="false" outlineLevel="0" collapsed="false">
      <c r="A69" s="181" t="n">
        <f aca="false">TblConstr[[#This Row],[Land]]</f>
        <v>700</v>
      </c>
      <c r="B69" s="246" t="n">
        <f aca="false">TblConstr[[#This Row],[Plain]]</f>
        <v>0</v>
      </c>
      <c r="C69" s="193" t="n">
        <f aca="false">TblConstr[[#This Row],[Forest]]</f>
        <v>0</v>
      </c>
      <c r="D69" s="200" t="n">
        <f aca="false">TblConstr[[#This Row],[Mountain]]</f>
        <v>0</v>
      </c>
      <c r="E69" s="201" t="n">
        <f aca="false">TblConstr[[#This Row],[Hill]]</f>
        <v>0</v>
      </c>
      <c r="F69" s="202" t="n">
        <f aca="false">TblConstr[[#This Row],[Swamp]]</f>
        <v>0</v>
      </c>
      <c r="G69" s="197" t="n">
        <f aca="false">TblConstr[[#This Row],[Cavern]]</f>
        <v>0</v>
      </c>
      <c r="H69" s="198" t="n">
        <f aca="false">TblConstr[[#This Row],[Water]]</f>
        <v>0</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57978</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520</v>
      </c>
      <c r="Y69" s="69" t="n">
        <f aca="false">TblRezone[[#This Row],[Total acres]]*TblRezone[[#This Row],[Plat/acre]]</f>
        <v>0</v>
      </c>
      <c r="Z69" s="245"/>
      <c r="AA69" s="69" t="n">
        <f aca="false">250+0.6*(TblRezone[[#This Row],[Land]]-250)</f>
        <v>520</v>
      </c>
      <c r="AB69" s="245"/>
      <c r="AC69" s="150" t="n">
        <f aca="false">TblConstr[[#This Row],[Facs DB]]</f>
        <v>0</v>
      </c>
    </row>
    <row r="70" customFormat="false" ht="12.75" hidden="false" customHeight="false" outlineLevel="0" collapsed="false">
      <c r="A70" s="181" t="n">
        <f aca="false">TblConstr[[#This Row],[Land]]</f>
        <v>700</v>
      </c>
      <c r="B70" s="246" t="n">
        <f aca="false">TblConstr[[#This Row],[Plain]]</f>
        <v>0</v>
      </c>
      <c r="C70" s="193" t="n">
        <f aca="false">TblConstr[[#This Row],[Forest]]</f>
        <v>0</v>
      </c>
      <c r="D70" s="200" t="n">
        <f aca="false">TblConstr[[#This Row],[Mountain]]</f>
        <v>0</v>
      </c>
      <c r="E70" s="201" t="n">
        <f aca="false">TblConstr[[#This Row],[Hill]]</f>
        <v>0</v>
      </c>
      <c r="F70" s="202" t="n">
        <f aca="false">TblConstr[[#This Row],[Swamp]]</f>
        <v>0</v>
      </c>
      <c r="G70" s="197" t="n">
        <f aca="false">TblConstr[[#This Row],[Cavern]]</f>
        <v>0</v>
      </c>
      <c r="H70" s="198" t="n">
        <f aca="false">TblConstr[[#This Row],[Water]]</f>
        <v>0</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61403</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520</v>
      </c>
      <c r="Y70" s="69" t="n">
        <f aca="false">TblRezone[[#This Row],[Total acres]]*TblRezone[[#This Row],[Plat/acre]]</f>
        <v>0</v>
      </c>
      <c r="Z70" s="245"/>
      <c r="AA70" s="69" t="n">
        <f aca="false">250+0.6*(TblRezone[[#This Row],[Land]]-250)</f>
        <v>520</v>
      </c>
      <c r="AB70" s="245"/>
      <c r="AC70" s="150" t="n">
        <f aca="false">TblConstr[[#This Row],[Facs DB]]</f>
        <v>0</v>
      </c>
    </row>
    <row r="71" customFormat="false" ht="12.75" hidden="false" customHeight="false" outlineLevel="0" collapsed="false">
      <c r="A71" s="181" t="n">
        <f aca="false">TblConstr[[#This Row],[Land]]</f>
        <v>700</v>
      </c>
      <c r="B71" s="246" t="n">
        <f aca="false">TblConstr[[#This Row],[Plain]]</f>
        <v>0</v>
      </c>
      <c r="C71" s="193" t="n">
        <f aca="false">TblConstr[[#This Row],[Forest]]</f>
        <v>0</v>
      </c>
      <c r="D71" s="200" t="n">
        <f aca="false">TblConstr[[#This Row],[Mountain]]</f>
        <v>0</v>
      </c>
      <c r="E71" s="201" t="n">
        <f aca="false">TblConstr[[#This Row],[Hill]]</f>
        <v>0</v>
      </c>
      <c r="F71" s="202" t="n">
        <f aca="false">TblConstr[[#This Row],[Swamp]]</f>
        <v>0</v>
      </c>
      <c r="G71" s="197" t="n">
        <f aca="false">TblConstr[[#This Row],[Cavern]]</f>
        <v>0</v>
      </c>
      <c r="H71" s="198" t="n">
        <f aca="false">TblConstr[[#This Row],[Water]]</f>
        <v>0</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68402</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520</v>
      </c>
      <c r="Y71" s="69" t="n">
        <f aca="false">TblRezone[[#This Row],[Total acres]]*TblRezone[[#This Row],[Plat/acre]]</f>
        <v>0</v>
      </c>
      <c r="Z71" s="245"/>
      <c r="AA71" s="69" t="n">
        <f aca="false">250+0.6*(TblRezone[[#This Row],[Land]]-250)</f>
        <v>520</v>
      </c>
      <c r="AB71" s="245"/>
      <c r="AC71" s="150" t="n">
        <f aca="false">TblConstr[[#This Row],[Facs DB]]</f>
        <v>0</v>
      </c>
    </row>
    <row r="72" customFormat="false" ht="12.75" hidden="false" customHeight="false" outlineLevel="0" collapsed="false">
      <c r="A72" s="181" t="n">
        <f aca="false">TblConstr[[#This Row],[Land]]</f>
        <v>700</v>
      </c>
      <c r="B72" s="246" t="n">
        <f aca="false">TblConstr[[#This Row],[Plain]]</f>
        <v>0</v>
      </c>
      <c r="C72" s="193" t="n">
        <f aca="false">TblConstr[[#This Row],[Forest]]</f>
        <v>0</v>
      </c>
      <c r="D72" s="200" t="n">
        <f aca="false">TblConstr[[#This Row],[Mountain]]</f>
        <v>0</v>
      </c>
      <c r="E72" s="201" t="n">
        <f aca="false">TblConstr[[#This Row],[Hill]]</f>
        <v>0</v>
      </c>
      <c r="F72" s="202" t="n">
        <f aca="false">TblConstr[[#This Row],[Swamp]]</f>
        <v>0</v>
      </c>
      <c r="G72" s="197" t="n">
        <f aca="false">TblConstr[[#This Row],[Cavern]]</f>
        <v>0</v>
      </c>
      <c r="H72" s="198" t="n">
        <f aca="false">TblConstr[[#This Row],[Water]]</f>
        <v>0</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54065</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520</v>
      </c>
      <c r="Y72" s="69" t="n">
        <f aca="false">TblRezone[[#This Row],[Total acres]]*TblRezone[[#This Row],[Plat/acre]]</f>
        <v>0</v>
      </c>
      <c r="Z72" s="245"/>
      <c r="AA72" s="69" t="n">
        <f aca="false">250+0.6*(TblRezone[[#This Row],[Land]]-250)</f>
        <v>520</v>
      </c>
      <c r="AB72" s="245"/>
      <c r="AC72" s="150" t="n">
        <f aca="false">TblConstr[[#This Row],[Facs DB]]</f>
        <v>0</v>
      </c>
    </row>
    <row r="73" customFormat="false" ht="12.75" hidden="false" customHeight="false" outlineLevel="0" collapsed="false">
      <c r="A73" s="181" t="n">
        <f aca="false">TblConstr[[#This Row],[Land]]</f>
        <v>700</v>
      </c>
      <c r="B73" s="246" t="n">
        <f aca="false">TblConstr[[#This Row],[Plain]]</f>
        <v>0</v>
      </c>
      <c r="C73" s="193" t="n">
        <f aca="false">TblConstr[[#This Row],[Forest]]</f>
        <v>0</v>
      </c>
      <c r="D73" s="200" t="n">
        <f aca="false">TblConstr[[#This Row],[Mountain]]</f>
        <v>0</v>
      </c>
      <c r="E73" s="201" t="n">
        <f aca="false">TblConstr[[#This Row],[Hill]]</f>
        <v>0</v>
      </c>
      <c r="F73" s="202" t="n">
        <f aca="false">TblConstr[[#This Row],[Swamp]]</f>
        <v>0</v>
      </c>
      <c r="G73" s="197" t="n">
        <f aca="false">TblConstr[[#This Row],[Cavern]]</f>
        <v>0</v>
      </c>
      <c r="H73" s="198" t="n">
        <f aca="false">TblConstr[[#This Row],[Water]]</f>
        <v>0</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40027</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520</v>
      </c>
      <c r="Y73" s="69" t="n">
        <f aca="false">TblRezone[[#This Row],[Total acres]]*TblRezone[[#This Row],[Plat/acre]]</f>
        <v>0</v>
      </c>
      <c r="Z73" s="245"/>
      <c r="AA73" s="69" t="n">
        <f aca="false">250+0.6*(TblRezone[[#This Row],[Land]]-250)</f>
        <v>520</v>
      </c>
      <c r="AB73" s="245"/>
      <c r="AC73" s="150" t="n">
        <f aca="false">TblConstr[[#This Row],[Facs DB]]</f>
        <v>0</v>
      </c>
    </row>
    <row r="74" customFormat="false" ht="12.75" hidden="false" customHeight="false" outlineLevel="0" collapsed="false">
      <c r="A74" s="181" t="n">
        <f aca="false">TblConstr[[#This Row],[Land]]</f>
        <v>700</v>
      </c>
      <c r="B74" s="246" t="n">
        <f aca="false">TblConstr[[#This Row],[Plain]]</f>
        <v>0</v>
      </c>
      <c r="C74" s="193" t="n">
        <f aca="false">TblConstr[[#This Row],[Forest]]</f>
        <v>0</v>
      </c>
      <c r="D74" s="200" t="n">
        <f aca="false">TblConstr[[#This Row],[Mountain]]</f>
        <v>0</v>
      </c>
      <c r="E74" s="201" t="n">
        <f aca="false">TblConstr[[#This Row],[Hill]]</f>
        <v>0</v>
      </c>
      <c r="F74" s="202" t="n">
        <f aca="false">TblConstr[[#This Row],[Swamp]]</f>
        <v>0</v>
      </c>
      <c r="G74" s="197" t="n">
        <f aca="false">TblConstr[[#This Row],[Cavern]]</f>
        <v>0</v>
      </c>
      <c r="H74" s="198" t="n">
        <f aca="false">TblConstr[[#This Row],[Water]]</f>
        <v>0</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26294</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520</v>
      </c>
      <c r="Y74" s="69" t="n">
        <f aca="false">TblRezone[[#This Row],[Total acres]]*TblRezone[[#This Row],[Plat/acre]]</f>
        <v>0</v>
      </c>
      <c r="Z74" s="245"/>
      <c r="AA74" s="69" t="n">
        <f aca="false">250+0.6*(TblRezone[[#This Row],[Land]]-250)</f>
        <v>520</v>
      </c>
      <c r="AB74" s="245"/>
      <c r="AC74" s="150" t="n">
        <f aca="false">TblConstr[[#This Row],[Facs DB]]</f>
        <v>0</v>
      </c>
    </row>
    <row r="75" customFormat="false" ht="12.75" hidden="false" customHeight="false" outlineLevel="0" collapsed="false">
      <c r="A75" s="181" t="n">
        <f aca="false">TblConstr[[#This Row],[Land]]</f>
        <v>700</v>
      </c>
      <c r="B75" s="246" t="n">
        <f aca="false">TblConstr[[#This Row],[Plain]]</f>
        <v>0</v>
      </c>
      <c r="C75" s="193" t="n">
        <f aca="false">TblConstr[[#This Row],[Forest]]</f>
        <v>0</v>
      </c>
      <c r="D75" s="200" t="n">
        <f aca="false">TblConstr[[#This Row],[Mountain]]</f>
        <v>0</v>
      </c>
      <c r="E75" s="201" t="n">
        <f aca="false">TblConstr[[#This Row],[Hill]]</f>
        <v>0</v>
      </c>
      <c r="F75" s="202" t="n">
        <f aca="false">TblConstr[[#This Row],[Swamp]]</f>
        <v>0</v>
      </c>
      <c r="G75" s="197" t="n">
        <f aca="false">TblConstr[[#This Row],[Cavern]]</f>
        <v>0</v>
      </c>
      <c r="H75" s="198" t="n">
        <f aca="false">TblConstr[[#This Row],[Water]]</f>
        <v>0</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12869</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520</v>
      </c>
      <c r="Y75" s="69" t="n">
        <f aca="false">TblRezone[[#This Row],[Total acres]]*TblRezone[[#This Row],[Plat/acre]]</f>
        <v>0</v>
      </c>
      <c r="Z75" s="245"/>
      <c r="AA75" s="69" t="n">
        <f aca="false">250+0.6*(TblRezone[[#This Row],[Land]]-250)</f>
        <v>520</v>
      </c>
      <c r="AB75" s="245"/>
      <c r="AC75" s="150" t="n">
        <f aca="false">TblConstr[[#This Row],[Facs DB]]</f>
        <v>0</v>
      </c>
    </row>
    <row r="76" customFormat="false" ht="12.75" hidden="false" customHeight="false" outlineLevel="0" collapsed="false">
      <c r="A76" s="222" t="n">
        <f aca="false">TblConstr[[#This Row],[Land]]</f>
        <v>700</v>
      </c>
      <c r="B76" s="265" t="n">
        <f aca="false">TblConstr[[#This Row],[Plain]]</f>
        <v>0</v>
      </c>
      <c r="C76" s="216" t="n">
        <f aca="false">TblConstr[[#This Row],[Forest]]</f>
        <v>0</v>
      </c>
      <c r="D76" s="217" t="n">
        <f aca="false">TblConstr[[#This Row],[Mountain]]</f>
        <v>0</v>
      </c>
      <c r="E76" s="218" t="n">
        <f aca="false">TblConstr[[#This Row],[Hill]]</f>
        <v>0</v>
      </c>
      <c r="F76" s="219" t="n">
        <f aca="false">TblConstr[[#This Row],[Swamp]]</f>
        <v>0</v>
      </c>
      <c r="G76" s="220" t="n">
        <f aca="false">TblConstr[[#This Row],[Cavern]]</f>
        <v>0</v>
      </c>
      <c r="H76" s="221" t="n">
        <f aca="false">TblConstr[[#This Row],[Water]]</f>
        <v>0</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155</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520</v>
      </c>
      <c r="Y76" s="226" t="n">
        <f aca="false">TblRezone[[#This Row],[Total acres]]*TblRezone[[#This Row],[Plat/acre]]</f>
        <v>0</v>
      </c>
      <c r="Z76" s="264"/>
      <c r="AA76" s="226" t="n">
        <f aca="false">250+0.6*(TblRezone[[#This Row],[Land]]-250)</f>
        <v>520</v>
      </c>
      <c r="AB76" s="264"/>
      <c r="AC76" s="272" t="n">
        <f aca="false">TblConstr[[#This Row],[Facs DB]]</f>
        <v>0</v>
      </c>
    </row>
    <row r="77" customFormat="false" ht="12.75" hidden="false" customHeight="false" outlineLevel="0" collapsed="false">
      <c r="A77" s="181" t="n">
        <f aca="false">TblConstr[[#This Row],[Land]]</f>
        <v>700</v>
      </c>
      <c r="B77" s="246" t="n">
        <f aca="false">TblConstr[[#This Row],[Plain]]</f>
        <v>0</v>
      </c>
      <c r="C77" s="193" t="n">
        <f aca="false">TblConstr[[#This Row],[Forest]]</f>
        <v>0</v>
      </c>
      <c r="D77" s="200" t="n">
        <f aca="false">TblConstr[[#This Row],[Mountain]]</f>
        <v>0</v>
      </c>
      <c r="E77" s="201" t="n">
        <f aca="false">TblConstr[[#This Row],[Hill]]</f>
        <v>0</v>
      </c>
      <c r="F77" s="202" t="n">
        <f aca="false">TblConstr[[#This Row],[Swamp]]</f>
        <v>0</v>
      </c>
      <c r="G77" s="197" t="n">
        <f aca="false">TblConstr[[#This Row],[Cavern]]</f>
        <v>0</v>
      </c>
      <c r="H77" s="198" t="n">
        <f aca="false">TblConstr[[#This Row],[Water]]</f>
        <v>0</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8123</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520</v>
      </c>
      <c r="Y77" s="69" t="n">
        <f aca="false">TblRezone[[#This Row],[Total acres]]*TblRezone[[#This Row],[Plat/acre]]</f>
        <v>0</v>
      </c>
      <c r="Z77" s="245"/>
      <c r="AA77" s="69" t="n">
        <f aca="false">250+0.6*(TblRezone[[#This Row],[Land]]-250)</f>
        <v>520</v>
      </c>
      <c r="AB77" s="245"/>
      <c r="AC77" s="150" t="n">
        <f aca="false">TblConstr[[#This Row],[Facs DB]]</f>
        <v>0</v>
      </c>
    </row>
    <row r="78" customFormat="false" ht="12.75" hidden="false" customHeight="false" outlineLevel="0" collapsed="false">
      <c r="A78" s="181" t="n">
        <f aca="false">TblConstr[[#This Row],[Land]]</f>
        <v>700</v>
      </c>
      <c r="B78" s="246" t="n">
        <f aca="false">TblConstr[[#This Row],[Plain]]</f>
        <v>0</v>
      </c>
      <c r="C78" s="193" t="n">
        <f aca="false">TblConstr[[#This Row],[Forest]]</f>
        <v>0</v>
      </c>
      <c r="D78" s="200" t="n">
        <f aca="false">TblConstr[[#This Row],[Mountain]]</f>
        <v>0</v>
      </c>
      <c r="E78" s="201" t="n">
        <f aca="false">TblConstr[[#This Row],[Hill]]</f>
        <v>0</v>
      </c>
      <c r="F78" s="202" t="n">
        <f aca="false">TblConstr[[#This Row],[Swamp]]</f>
        <v>0</v>
      </c>
      <c r="G78" s="197" t="n">
        <f aca="false">TblConstr[[#This Row],[Cavern]]</f>
        <v>0</v>
      </c>
      <c r="H78" s="198" t="n">
        <f aca="false">TblConstr[[#This Row],[Water]]</f>
        <v>0</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36094</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520</v>
      </c>
      <c r="Y78" s="69" t="n">
        <f aca="false">TblRezone[[#This Row],[Total acres]]*TblRezone[[#This Row],[Plat/acre]]</f>
        <v>0</v>
      </c>
      <c r="Z78" s="245"/>
      <c r="AA78" s="69" t="n">
        <f aca="false">250+0.6*(TblRezone[[#This Row],[Land]]-250)</f>
        <v>520</v>
      </c>
      <c r="AB78" s="245"/>
      <c r="AC78" s="150" t="n">
        <f aca="false">TblConstr[[#This Row],[Facs DB]]</f>
        <v>0</v>
      </c>
    </row>
    <row r="79" customFormat="false" ht="12.75" hidden="false" customHeight="false" outlineLevel="0" collapsed="false">
      <c r="A79" s="181" t="n">
        <f aca="false">TblConstr[[#This Row],[Land]]</f>
        <v>700</v>
      </c>
      <c r="B79" s="246" t="n">
        <f aca="false">TblConstr[[#This Row],[Plain]]</f>
        <v>0</v>
      </c>
      <c r="C79" s="193" t="n">
        <f aca="false">TblConstr[[#This Row],[Forest]]</f>
        <v>0</v>
      </c>
      <c r="D79" s="200" t="n">
        <f aca="false">TblConstr[[#This Row],[Mountain]]</f>
        <v>0</v>
      </c>
      <c r="E79" s="201" t="n">
        <f aca="false">TblConstr[[#This Row],[Hill]]</f>
        <v>0</v>
      </c>
      <c r="F79" s="202" t="n">
        <f aca="false">TblConstr[[#This Row],[Swamp]]</f>
        <v>0</v>
      </c>
      <c r="G79" s="197" t="n">
        <f aca="false">TblConstr[[#This Row],[Cavern]]</f>
        <v>0</v>
      </c>
      <c r="H79" s="198" t="n">
        <f aca="false">TblConstr[[#This Row],[Water]]</f>
        <v>0</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64068</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520</v>
      </c>
      <c r="Y79" s="69" t="n">
        <f aca="false">TblRezone[[#This Row],[Total acres]]*TblRezone[[#This Row],[Plat/acre]]</f>
        <v>0</v>
      </c>
      <c r="Z79" s="245"/>
      <c r="AA79" s="69" t="n">
        <f aca="false">250+0.6*(TblRezone[[#This Row],[Land]]-250)</f>
        <v>520</v>
      </c>
      <c r="AB79" s="245"/>
      <c r="AC79" s="150" t="n">
        <f aca="false">TblConstr[[#This Row],[Facs DB]]</f>
        <v>0</v>
      </c>
    </row>
    <row r="80" customFormat="false" ht="12.75" hidden="false" customHeight="false" outlineLevel="0" collapsed="false">
      <c r="A80" s="181" t="n">
        <f aca="false">TblConstr[[#This Row],[Land]]</f>
        <v>700</v>
      </c>
      <c r="B80" s="246" t="n">
        <f aca="false">TblConstr[[#This Row],[Plain]]</f>
        <v>0</v>
      </c>
      <c r="C80" s="193" t="n">
        <f aca="false">TblConstr[[#This Row],[Forest]]</f>
        <v>0</v>
      </c>
      <c r="D80" s="200" t="n">
        <f aca="false">TblConstr[[#This Row],[Mountain]]</f>
        <v>0</v>
      </c>
      <c r="E80" s="201" t="n">
        <f aca="false">TblConstr[[#This Row],[Hill]]</f>
        <v>0</v>
      </c>
      <c r="F80" s="202" t="n">
        <f aca="false">TblConstr[[#This Row],[Swamp]]</f>
        <v>0</v>
      </c>
      <c r="G80" s="197" t="n">
        <f aca="false">TblConstr[[#This Row],[Cavern]]</f>
        <v>0</v>
      </c>
      <c r="H80" s="198" t="n">
        <f aca="false">TblConstr[[#This Row],[Water]]</f>
        <v>0</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149450</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520</v>
      </c>
      <c r="Y80" s="69" t="n">
        <f aca="false">TblRezone[[#This Row],[Total acres]]*TblRezone[[#This Row],[Plat/acre]]</f>
        <v>0</v>
      </c>
      <c r="Z80" s="245"/>
      <c r="AA80" s="69" t="n">
        <f aca="false">250+0.6*(TblRezone[[#This Row],[Land]]-250)</f>
        <v>520</v>
      </c>
      <c r="AB80" s="245"/>
      <c r="AC80" s="150" t="n">
        <f aca="false">TblConstr[[#This Row],[Facs DB]]</f>
        <v>0</v>
      </c>
    </row>
    <row r="81" customFormat="false" ht="12.75" hidden="false" customHeight="false" outlineLevel="0" collapsed="false">
      <c r="A81" s="181" t="n">
        <f aca="false">TblConstr[[#This Row],[Land]]</f>
        <v>700</v>
      </c>
      <c r="B81" s="246" t="n">
        <f aca="false">TblConstr[[#This Row],[Plain]]</f>
        <v>0</v>
      </c>
      <c r="C81" s="193" t="n">
        <f aca="false">TblConstr[[#This Row],[Forest]]</f>
        <v>0</v>
      </c>
      <c r="D81" s="200" t="n">
        <f aca="false">TblConstr[[#This Row],[Mountain]]</f>
        <v>0</v>
      </c>
      <c r="E81" s="201" t="n">
        <f aca="false">TblConstr[[#This Row],[Hill]]</f>
        <v>0</v>
      </c>
      <c r="F81" s="202" t="n">
        <f aca="false">TblConstr[[#This Row],[Swamp]]</f>
        <v>0</v>
      </c>
      <c r="G81" s="197" t="n">
        <f aca="false">TblConstr[[#This Row],[Cavern]]</f>
        <v>0</v>
      </c>
      <c r="H81" s="198" t="n">
        <f aca="false">TblConstr[[#This Row],[Water]]</f>
        <v>0</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195777</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520</v>
      </c>
      <c r="Y81" s="69" t="n">
        <f aca="false">TblRezone[[#This Row],[Total acres]]*TblRezone[[#This Row],[Plat/acre]]</f>
        <v>0</v>
      </c>
      <c r="Z81" s="245"/>
      <c r="AA81" s="69" t="n">
        <f aca="false">250+0.6*(TblRezone[[#This Row],[Land]]-250)</f>
        <v>520</v>
      </c>
      <c r="AB81" s="245"/>
      <c r="AC81" s="150" t="n">
        <f aca="false">TblConstr[[#This Row],[Facs DB]]</f>
        <v>0</v>
      </c>
    </row>
    <row r="82" customFormat="false" ht="12.75" hidden="false" customHeight="false" outlineLevel="0" collapsed="false">
      <c r="A82" s="181" t="n">
        <f aca="false">TblConstr[[#This Row],[Land]]</f>
        <v>700</v>
      </c>
      <c r="B82" s="246" t="n">
        <f aca="false">TblConstr[[#This Row],[Plain]]</f>
        <v>0</v>
      </c>
      <c r="C82" s="193" t="n">
        <f aca="false">TblConstr[[#This Row],[Forest]]</f>
        <v>0</v>
      </c>
      <c r="D82" s="200" t="n">
        <f aca="false">TblConstr[[#This Row],[Mountain]]</f>
        <v>0</v>
      </c>
      <c r="E82" s="201" t="n">
        <f aca="false">TblConstr[[#This Row],[Hill]]</f>
        <v>0</v>
      </c>
      <c r="F82" s="202" t="n">
        <f aca="false">TblConstr[[#This Row],[Swamp]]</f>
        <v>0</v>
      </c>
      <c r="G82" s="197" t="n">
        <f aca="false">TblConstr[[#This Row],[Cavern]]</f>
        <v>0</v>
      </c>
      <c r="H82" s="198" t="n">
        <f aca="false">TblConstr[[#This Row],[Water]]</f>
        <v>0</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241816</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520</v>
      </c>
      <c r="Y82" s="69" t="n">
        <f aca="false">TblRezone[[#This Row],[Total acres]]*TblRezone[[#This Row],[Plat/acre]]</f>
        <v>0</v>
      </c>
      <c r="Z82" s="245"/>
      <c r="AA82" s="69" t="n">
        <f aca="false">250+0.6*(TblRezone[[#This Row],[Land]]-250)</f>
        <v>520</v>
      </c>
      <c r="AB82" s="245"/>
      <c r="AC82" s="150" t="n">
        <f aca="false">TblConstr[[#This Row],[Facs DB]]</f>
        <v>0</v>
      </c>
    </row>
    <row r="83" customFormat="false" ht="12.75" hidden="false" customHeight="false" outlineLevel="0" collapsed="false">
      <c r="A83" s="181" t="n">
        <f aca="false">TblConstr[[#This Row],[Land]]</f>
        <v>700</v>
      </c>
      <c r="B83" s="246" t="n">
        <f aca="false">TblConstr[[#This Row],[Plain]]</f>
        <v>0</v>
      </c>
      <c r="C83" s="193" t="n">
        <f aca="false">TblConstr[[#This Row],[Forest]]</f>
        <v>0</v>
      </c>
      <c r="D83" s="200" t="n">
        <f aca="false">TblConstr[[#This Row],[Mountain]]</f>
        <v>0</v>
      </c>
      <c r="E83" s="201" t="n">
        <f aca="false">TblConstr[[#This Row],[Hill]]</f>
        <v>0</v>
      </c>
      <c r="F83" s="202" t="n">
        <f aca="false">TblConstr[[#This Row],[Swamp]]</f>
        <v>0</v>
      </c>
      <c r="G83" s="197" t="n">
        <f aca="false">TblConstr[[#This Row],[Cavern]]</f>
        <v>0</v>
      </c>
      <c r="H83" s="198" t="n">
        <f aca="false">TblConstr[[#This Row],[Water]]</f>
        <v>0</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287570</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520</v>
      </c>
      <c r="Y83" s="69" t="n">
        <f aca="false">TblRezone[[#This Row],[Total acres]]*TblRezone[[#This Row],[Plat/acre]]</f>
        <v>0</v>
      </c>
      <c r="Z83" s="245"/>
      <c r="AA83" s="69" t="n">
        <f aca="false">250+0.6*(TblRezone[[#This Row],[Land]]-250)</f>
        <v>520</v>
      </c>
      <c r="AB83" s="245"/>
      <c r="AC83" s="150" t="n">
        <f aca="false">TblConstr[[#This Row],[Facs DB]]</f>
        <v>0</v>
      </c>
    </row>
    <row r="84" customFormat="false" ht="12.75" hidden="false" customHeight="false" outlineLevel="0" collapsed="false">
      <c r="A84" s="181" t="n">
        <f aca="false">TblConstr[[#This Row],[Land]]</f>
        <v>700</v>
      </c>
      <c r="B84" s="246" t="n">
        <f aca="false">TblConstr[[#This Row],[Plain]]</f>
        <v>0</v>
      </c>
      <c r="C84" s="193" t="n">
        <f aca="false">TblConstr[[#This Row],[Forest]]</f>
        <v>0</v>
      </c>
      <c r="D84" s="200" t="n">
        <f aca="false">TblConstr[[#This Row],[Mountain]]</f>
        <v>0</v>
      </c>
      <c r="E84" s="201" t="n">
        <f aca="false">TblConstr[[#This Row],[Hill]]</f>
        <v>0</v>
      </c>
      <c r="F84" s="202" t="n">
        <f aca="false">TblConstr[[#This Row],[Swamp]]</f>
        <v>0</v>
      </c>
      <c r="G84" s="197" t="n">
        <f aca="false">TblConstr[[#This Row],[Cavern]]</f>
        <v>0</v>
      </c>
      <c r="H84" s="198" t="n">
        <f aca="false">TblConstr[[#This Row],[Water]]</f>
        <v>0</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333041</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520</v>
      </c>
      <c r="Y84" s="69" t="n">
        <f aca="false">TblRezone[[#This Row],[Total acres]]*TblRezone[[#This Row],[Plat/acre]]</f>
        <v>0</v>
      </c>
      <c r="Z84" s="245"/>
      <c r="AA84" s="69" t="n">
        <f aca="false">250+0.6*(TblRezone[[#This Row],[Land]]-250)</f>
        <v>520</v>
      </c>
      <c r="AB84" s="245"/>
      <c r="AC84" s="150" t="n">
        <f aca="false">TblConstr[[#This Row],[Facs DB]]</f>
        <v>0</v>
      </c>
    </row>
    <row r="85" customFormat="false" ht="12.75" hidden="false" customHeight="false" outlineLevel="0" collapsed="false">
      <c r="A85" s="181" t="n">
        <f aca="false">TblConstr[[#This Row],[Land]]</f>
        <v>700</v>
      </c>
      <c r="B85" s="246" t="n">
        <f aca="false">TblConstr[[#This Row],[Plain]]</f>
        <v>0</v>
      </c>
      <c r="C85" s="193" t="n">
        <f aca="false">TblConstr[[#This Row],[Forest]]</f>
        <v>0</v>
      </c>
      <c r="D85" s="200" t="n">
        <f aca="false">TblConstr[[#This Row],[Mountain]]</f>
        <v>0</v>
      </c>
      <c r="E85" s="201" t="n">
        <f aca="false">TblConstr[[#This Row],[Hill]]</f>
        <v>0</v>
      </c>
      <c r="F85" s="202" t="n">
        <f aca="false">TblConstr[[#This Row],[Swamp]]</f>
        <v>0</v>
      </c>
      <c r="G85" s="197" t="n">
        <f aca="false">TblConstr[[#This Row],[Cavern]]</f>
        <v>0</v>
      </c>
      <c r="H85" s="198" t="n">
        <f aca="false">TblConstr[[#This Row],[Water]]</f>
        <v>0</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378233</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520</v>
      </c>
      <c r="Y85" s="69" t="n">
        <f aca="false">TblRezone[[#This Row],[Total acres]]*TblRezone[[#This Row],[Plat/acre]]</f>
        <v>0</v>
      </c>
      <c r="Z85" s="245"/>
      <c r="AA85" s="69" t="n">
        <f aca="false">250+0.6*(TblRezone[[#This Row],[Land]]-250)</f>
        <v>520</v>
      </c>
      <c r="AB85" s="245"/>
      <c r="AC85" s="150" t="n">
        <f aca="false">TblConstr[[#This Row],[Facs DB]]</f>
        <v>0</v>
      </c>
    </row>
    <row r="86" customFormat="false" ht="12.75" hidden="false" customHeight="false" outlineLevel="0" collapsed="false">
      <c r="A86" s="181" t="n">
        <f aca="false">TblConstr[[#This Row],[Land]]</f>
        <v>700</v>
      </c>
      <c r="B86" s="246" t="n">
        <f aca="false">TblConstr[[#This Row],[Plain]]</f>
        <v>0</v>
      </c>
      <c r="C86" s="193" t="n">
        <f aca="false">TblConstr[[#This Row],[Forest]]</f>
        <v>0</v>
      </c>
      <c r="D86" s="200" t="n">
        <f aca="false">TblConstr[[#This Row],[Mountain]]</f>
        <v>0</v>
      </c>
      <c r="E86" s="201" t="n">
        <f aca="false">TblConstr[[#This Row],[Hill]]</f>
        <v>0</v>
      </c>
      <c r="F86" s="202" t="n">
        <f aca="false">TblConstr[[#This Row],[Swamp]]</f>
        <v>0</v>
      </c>
      <c r="G86" s="197" t="n">
        <f aca="false">TblConstr[[#This Row],[Cavern]]</f>
        <v>0</v>
      </c>
      <c r="H86" s="198" t="n">
        <f aca="false">TblConstr[[#This Row],[Water]]</f>
        <v>0</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423149</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520</v>
      </c>
      <c r="Y86" s="69" t="n">
        <f aca="false">TblRezone[[#This Row],[Total acres]]*TblRezone[[#This Row],[Plat/acre]]</f>
        <v>0</v>
      </c>
      <c r="Z86" s="245"/>
      <c r="AA86" s="69" t="n">
        <f aca="false">250+0.6*(TblRezone[[#This Row],[Land]]-250)</f>
        <v>520</v>
      </c>
      <c r="AB86" s="245"/>
      <c r="AC86" s="150" t="n">
        <f aca="false">TblConstr[[#This Row],[Facs DB]]</f>
        <v>0</v>
      </c>
    </row>
    <row r="87" customFormat="false" ht="12.75" hidden="false" customHeight="false" outlineLevel="0" collapsed="false">
      <c r="A87" s="181" t="n">
        <f aca="false">TblConstr[[#This Row],[Land]]</f>
        <v>700</v>
      </c>
      <c r="B87" s="246" t="n">
        <f aca="false">TblConstr[[#This Row],[Plain]]</f>
        <v>0</v>
      </c>
      <c r="C87" s="193" t="n">
        <f aca="false">TblConstr[[#This Row],[Forest]]</f>
        <v>0</v>
      </c>
      <c r="D87" s="200" t="n">
        <f aca="false">TblConstr[[#This Row],[Mountain]]</f>
        <v>0</v>
      </c>
      <c r="E87" s="201" t="n">
        <f aca="false">TblConstr[[#This Row],[Hill]]</f>
        <v>0</v>
      </c>
      <c r="F87" s="202" t="n">
        <f aca="false">TblConstr[[#This Row],[Swamp]]</f>
        <v>0</v>
      </c>
      <c r="G87" s="197" t="n">
        <f aca="false">TblConstr[[#This Row],[Cavern]]</f>
        <v>0</v>
      </c>
      <c r="H87" s="198" t="n">
        <f aca="false">TblConstr[[#This Row],[Water]]</f>
        <v>0</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467792</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520</v>
      </c>
      <c r="Y87" s="69" t="n">
        <f aca="false">TblRezone[[#This Row],[Total acres]]*TblRezone[[#This Row],[Plat/acre]]</f>
        <v>0</v>
      </c>
      <c r="Z87" s="245"/>
      <c r="AA87" s="69" t="n">
        <f aca="false">250+0.6*(TblRezone[[#This Row],[Land]]-250)</f>
        <v>520</v>
      </c>
      <c r="AB87" s="245"/>
      <c r="AC87" s="150" t="n">
        <f aca="false">TblConstr[[#This Row],[Facs DB]]</f>
        <v>0</v>
      </c>
    </row>
    <row r="88" customFormat="false" ht="12.75" hidden="false" customHeight="false" outlineLevel="0" collapsed="false">
      <c r="A88" s="181" t="n">
        <f aca="false">TblConstr[[#This Row],[Land]]</f>
        <v>700</v>
      </c>
      <c r="B88" s="246" t="n">
        <f aca="false">TblConstr[[#This Row],[Plain]]</f>
        <v>0</v>
      </c>
      <c r="C88" s="193" t="n">
        <f aca="false">TblConstr[[#This Row],[Forest]]</f>
        <v>0</v>
      </c>
      <c r="D88" s="200" t="n">
        <f aca="false">TblConstr[[#This Row],[Mountain]]</f>
        <v>0</v>
      </c>
      <c r="E88" s="201" t="n">
        <f aca="false">TblConstr[[#This Row],[Hill]]</f>
        <v>0</v>
      </c>
      <c r="F88" s="202" t="n">
        <f aca="false">TblConstr[[#This Row],[Swamp]]</f>
        <v>0</v>
      </c>
      <c r="G88" s="197" t="n">
        <f aca="false">TblConstr[[#This Row],[Cavern]]</f>
        <v>0</v>
      </c>
      <c r="H88" s="198" t="n">
        <f aca="false">TblConstr[[#This Row],[Water]]</f>
        <v>0</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512165</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520</v>
      </c>
      <c r="Y88" s="69" t="n">
        <f aca="false">TblRezone[[#This Row],[Total acres]]*TblRezone[[#This Row],[Plat/acre]]</f>
        <v>0</v>
      </c>
      <c r="Z88" s="245"/>
      <c r="AA88" s="69" t="n">
        <f aca="false">250+0.6*(TblRezone[[#This Row],[Land]]-250)</f>
        <v>520</v>
      </c>
      <c r="AB88" s="245"/>
      <c r="AC88" s="150" t="n">
        <f aca="false">TblConstr[[#This Row],[Facs DB]]</f>
        <v>0</v>
      </c>
    </row>
    <row r="89" customFormat="false" ht="12.75" hidden="false" customHeight="false" outlineLevel="0" collapsed="false">
      <c r="A89" s="181" t="n">
        <f aca="false">TblConstr[[#This Row],[Land]]</f>
        <v>700</v>
      </c>
      <c r="B89" s="246" t="n">
        <f aca="false">TblConstr[[#This Row],[Plain]]</f>
        <v>0</v>
      </c>
      <c r="C89" s="193" t="n">
        <f aca="false">TblConstr[[#This Row],[Forest]]</f>
        <v>0</v>
      </c>
      <c r="D89" s="200" t="n">
        <f aca="false">TblConstr[[#This Row],[Mountain]]</f>
        <v>0</v>
      </c>
      <c r="E89" s="201" t="n">
        <f aca="false">TblConstr[[#This Row],[Hill]]</f>
        <v>0</v>
      </c>
      <c r="F89" s="202" t="n">
        <f aca="false">TblConstr[[#This Row],[Swamp]]</f>
        <v>0</v>
      </c>
      <c r="G89" s="197" t="n">
        <f aca="false">TblConstr[[#This Row],[Cavern]]</f>
        <v>0</v>
      </c>
      <c r="H89" s="198" t="n">
        <f aca="false">TblConstr[[#This Row],[Water]]</f>
        <v>0</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556270</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520</v>
      </c>
      <c r="Y89" s="69" t="n">
        <f aca="false">TblRezone[[#This Row],[Total acres]]*TblRezone[[#This Row],[Plat/acre]]</f>
        <v>0</v>
      </c>
      <c r="Z89" s="245"/>
      <c r="AA89" s="69" t="n">
        <f aca="false">250+0.6*(TblRezone[[#This Row],[Land]]-250)</f>
        <v>520</v>
      </c>
      <c r="AB89" s="245"/>
      <c r="AC89" s="150" t="n">
        <f aca="false">TblConstr[[#This Row],[Facs DB]]</f>
        <v>0</v>
      </c>
    </row>
    <row r="90" customFormat="false" ht="12.75" hidden="false" customHeight="false" outlineLevel="0" collapsed="false">
      <c r="A90" s="181" t="n">
        <f aca="false">TblConstr[[#This Row],[Land]]</f>
        <v>700</v>
      </c>
      <c r="B90" s="246" t="n">
        <f aca="false">TblConstr[[#This Row],[Plain]]</f>
        <v>0</v>
      </c>
      <c r="C90" s="193" t="n">
        <f aca="false">TblConstr[[#This Row],[Forest]]</f>
        <v>0</v>
      </c>
      <c r="D90" s="200" t="n">
        <f aca="false">TblConstr[[#This Row],[Mountain]]</f>
        <v>0</v>
      </c>
      <c r="E90" s="201" t="n">
        <f aca="false">TblConstr[[#This Row],[Hill]]</f>
        <v>0</v>
      </c>
      <c r="F90" s="202" t="n">
        <f aca="false">TblConstr[[#This Row],[Swamp]]</f>
        <v>0</v>
      </c>
      <c r="G90" s="197" t="n">
        <f aca="false">TblConstr[[#This Row],[Cavern]]</f>
        <v>0</v>
      </c>
      <c r="H90" s="198" t="n">
        <f aca="false">TblConstr[[#This Row],[Water]]</f>
        <v>0</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600111</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520</v>
      </c>
      <c r="Y90" s="69" t="n">
        <f aca="false">TblRezone[[#This Row],[Total acres]]*TblRezone[[#This Row],[Plat/acre]]</f>
        <v>0</v>
      </c>
      <c r="Z90" s="245"/>
      <c r="AA90" s="69" t="n">
        <f aca="false">250+0.6*(TblRezone[[#This Row],[Land]]-250)</f>
        <v>520</v>
      </c>
      <c r="AB90" s="245"/>
      <c r="AC90" s="150" t="n">
        <f aca="false">TblConstr[[#This Row],[Facs DB]]</f>
        <v>0</v>
      </c>
    </row>
    <row r="91" customFormat="false" ht="12.75" hidden="false" customHeight="false" outlineLevel="0" collapsed="false">
      <c r="A91" s="181" t="n">
        <f aca="false">TblConstr[[#This Row],[Land]]</f>
        <v>700</v>
      </c>
      <c r="B91" s="246" t="n">
        <f aca="false">TblConstr[[#This Row],[Plain]]</f>
        <v>0</v>
      </c>
      <c r="C91" s="193" t="n">
        <f aca="false">TblConstr[[#This Row],[Forest]]</f>
        <v>0</v>
      </c>
      <c r="D91" s="200" t="n">
        <f aca="false">TblConstr[[#This Row],[Mountain]]</f>
        <v>0</v>
      </c>
      <c r="E91" s="201" t="n">
        <f aca="false">TblConstr[[#This Row],[Hill]]</f>
        <v>0</v>
      </c>
      <c r="F91" s="202" t="n">
        <f aca="false">TblConstr[[#This Row],[Swamp]]</f>
        <v>0</v>
      </c>
      <c r="G91" s="197" t="n">
        <f aca="false">TblConstr[[#This Row],[Cavern]]</f>
        <v>0</v>
      </c>
      <c r="H91" s="198" t="n">
        <f aca="false">TblConstr[[#This Row],[Water]]</f>
        <v>0</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643688</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520</v>
      </c>
      <c r="Y91" s="69" t="n">
        <f aca="false">TblRezone[[#This Row],[Total acres]]*TblRezone[[#This Row],[Plat/acre]]</f>
        <v>0</v>
      </c>
      <c r="Z91" s="245"/>
      <c r="AA91" s="69" t="n">
        <f aca="false">250+0.6*(TblRezone[[#This Row],[Land]]-250)</f>
        <v>520</v>
      </c>
      <c r="AB91" s="245"/>
      <c r="AC91" s="150" t="n">
        <f aca="false">TblConstr[[#This Row],[Facs DB]]</f>
        <v>0</v>
      </c>
    </row>
    <row r="92" customFormat="false" ht="12.75" hidden="false" customHeight="false" outlineLevel="0" collapsed="false">
      <c r="A92" s="181" t="n">
        <f aca="false">TblConstr[[#This Row],[Land]]</f>
        <v>700</v>
      </c>
      <c r="B92" s="246" t="n">
        <f aca="false">TblConstr[[#This Row],[Plain]]</f>
        <v>0</v>
      </c>
      <c r="C92" s="193" t="n">
        <f aca="false">TblConstr[[#This Row],[Forest]]</f>
        <v>0</v>
      </c>
      <c r="D92" s="200" t="n">
        <f aca="false">TblConstr[[#This Row],[Mountain]]</f>
        <v>0</v>
      </c>
      <c r="E92" s="201" t="n">
        <f aca="false">TblConstr[[#This Row],[Hill]]</f>
        <v>0</v>
      </c>
      <c r="F92" s="202" t="n">
        <f aca="false">TblConstr[[#This Row],[Swamp]]</f>
        <v>0</v>
      </c>
      <c r="G92" s="197" t="n">
        <f aca="false">TblConstr[[#This Row],[Cavern]]</f>
        <v>0</v>
      </c>
      <c r="H92" s="198" t="n">
        <f aca="false">TblConstr[[#This Row],[Water]]</f>
        <v>0</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687003</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520</v>
      </c>
      <c r="Y92" s="69" t="n">
        <f aca="false">TblRezone[[#This Row],[Total acres]]*TblRezone[[#This Row],[Plat/acre]]</f>
        <v>0</v>
      </c>
      <c r="Z92" s="245"/>
      <c r="AA92" s="69" t="n">
        <f aca="false">250+0.6*(TblRezone[[#This Row],[Land]]-250)</f>
        <v>520</v>
      </c>
      <c r="AB92" s="245"/>
      <c r="AC92" s="150" t="n">
        <f aca="false">TblConstr[[#This Row],[Facs DB]]</f>
        <v>0</v>
      </c>
    </row>
    <row r="93" customFormat="false" ht="12.75" hidden="false" customHeight="false" outlineLevel="0" collapsed="false">
      <c r="A93" s="181" t="n">
        <f aca="false">TblConstr[[#This Row],[Land]]</f>
        <v>700</v>
      </c>
      <c r="B93" s="246" t="n">
        <f aca="false">TblConstr[[#This Row],[Plain]]</f>
        <v>0</v>
      </c>
      <c r="C93" s="193" t="n">
        <f aca="false">TblConstr[[#This Row],[Forest]]</f>
        <v>0</v>
      </c>
      <c r="D93" s="200" t="n">
        <f aca="false">TblConstr[[#This Row],[Mountain]]</f>
        <v>0</v>
      </c>
      <c r="E93" s="201" t="n">
        <f aca="false">TblConstr[[#This Row],[Hill]]</f>
        <v>0</v>
      </c>
      <c r="F93" s="202" t="n">
        <f aca="false">TblConstr[[#This Row],[Swamp]]</f>
        <v>0</v>
      </c>
      <c r="G93" s="197" t="n">
        <f aca="false">TblConstr[[#This Row],[Cavern]]</f>
        <v>0</v>
      </c>
      <c r="H93" s="198" t="n">
        <f aca="false">TblConstr[[#This Row],[Water]]</f>
        <v>0</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730060</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520</v>
      </c>
      <c r="Y93" s="69" t="n">
        <f aca="false">TblRezone[[#This Row],[Total acres]]*TblRezone[[#This Row],[Plat/acre]]</f>
        <v>0</v>
      </c>
      <c r="Z93" s="245"/>
      <c r="AA93" s="69" t="n">
        <f aca="false">250+0.6*(TblRezone[[#This Row],[Land]]-250)</f>
        <v>520</v>
      </c>
      <c r="AB93" s="245"/>
      <c r="AC93" s="150" t="n">
        <f aca="false">TblConstr[[#This Row],[Facs DB]]</f>
        <v>0</v>
      </c>
    </row>
    <row r="94" customFormat="false" ht="12.75" hidden="false" customHeight="false" outlineLevel="0" collapsed="false">
      <c r="A94" s="181" t="n">
        <f aca="false">TblConstr[[#This Row],[Land]]</f>
        <v>700</v>
      </c>
      <c r="B94" s="246" t="n">
        <f aca="false">TblConstr[[#This Row],[Plain]]</f>
        <v>0</v>
      </c>
      <c r="C94" s="193" t="n">
        <f aca="false">TblConstr[[#This Row],[Forest]]</f>
        <v>0</v>
      </c>
      <c r="D94" s="200" t="n">
        <f aca="false">TblConstr[[#This Row],[Mountain]]</f>
        <v>0</v>
      </c>
      <c r="E94" s="201" t="n">
        <f aca="false">TblConstr[[#This Row],[Hill]]</f>
        <v>0</v>
      </c>
      <c r="F94" s="202" t="n">
        <f aca="false">TblConstr[[#This Row],[Swamp]]</f>
        <v>0</v>
      </c>
      <c r="G94" s="197" t="n">
        <f aca="false">TblConstr[[#This Row],[Cavern]]</f>
        <v>0</v>
      </c>
      <c r="H94" s="198" t="n">
        <f aca="false">TblConstr[[#This Row],[Water]]</f>
        <v>0</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772861</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520</v>
      </c>
      <c r="Y94" s="69" t="n">
        <f aca="false">TblRezone[[#This Row],[Total acres]]*TblRezone[[#This Row],[Plat/acre]]</f>
        <v>0</v>
      </c>
      <c r="Z94" s="245"/>
      <c r="AA94" s="69" t="n">
        <f aca="false">250+0.6*(TblRezone[[#This Row],[Land]]-250)</f>
        <v>520</v>
      </c>
      <c r="AB94" s="245"/>
      <c r="AC94" s="150" t="n">
        <f aca="false">TblConstr[[#This Row],[Facs DB]]</f>
        <v>0</v>
      </c>
    </row>
    <row r="95" customFormat="false" ht="12.75" hidden="false" customHeight="false" outlineLevel="0" collapsed="false">
      <c r="A95" s="181" t="n">
        <f aca="false">TblConstr[[#This Row],[Land]]</f>
        <v>700</v>
      </c>
      <c r="B95" s="246" t="n">
        <f aca="false">TblConstr[[#This Row],[Plain]]</f>
        <v>0</v>
      </c>
      <c r="C95" s="193" t="n">
        <f aca="false">TblConstr[[#This Row],[Forest]]</f>
        <v>0</v>
      </c>
      <c r="D95" s="200" t="n">
        <f aca="false">TblConstr[[#This Row],[Mountain]]</f>
        <v>0</v>
      </c>
      <c r="E95" s="201" t="n">
        <f aca="false">TblConstr[[#This Row],[Hill]]</f>
        <v>0</v>
      </c>
      <c r="F95" s="202" t="n">
        <f aca="false">TblConstr[[#This Row],[Swamp]]</f>
        <v>0</v>
      </c>
      <c r="G95" s="197" t="n">
        <f aca="false">TblConstr[[#This Row],[Cavern]]</f>
        <v>0</v>
      </c>
      <c r="H95" s="198" t="n">
        <f aca="false">TblConstr[[#This Row],[Water]]</f>
        <v>0</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815410</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520</v>
      </c>
      <c r="Y95" s="69" t="n">
        <f aca="false">TblRezone[[#This Row],[Total acres]]*TblRezone[[#This Row],[Plat/acre]]</f>
        <v>0</v>
      </c>
      <c r="Z95" s="245"/>
      <c r="AA95" s="69" t="n">
        <f aca="false">250+0.6*(TblRezone[[#This Row],[Land]]-250)</f>
        <v>520</v>
      </c>
      <c r="AB95" s="245"/>
      <c r="AC95" s="150" t="n">
        <f aca="false">TblConstr[[#This Row],[Facs DB]]</f>
        <v>0</v>
      </c>
    </row>
    <row r="96" customFormat="false" ht="12.75" hidden="false" customHeight="false" outlineLevel="0" collapsed="false">
      <c r="A96" s="181" t="n">
        <f aca="false">TblConstr[[#This Row],[Land]]</f>
        <v>700</v>
      </c>
      <c r="B96" s="246" t="n">
        <f aca="false">TblConstr[[#This Row],[Plain]]</f>
        <v>0</v>
      </c>
      <c r="C96" s="193" t="n">
        <f aca="false">TblConstr[[#This Row],[Forest]]</f>
        <v>0</v>
      </c>
      <c r="D96" s="200" t="n">
        <f aca="false">TblConstr[[#This Row],[Mountain]]</f>
        <v>0</v>
      </c>
      <c r="E96" s="201" t="n">
        <f aca="false">TblConstr[[#This Row],[Hill]]</f>
        <v>0</v>
      </c>
      <c r="F96" s="202" t="n">
        <f aca="false">TblConstr[[#This Row],[Swamp]]</f>
        <v>0</v>
      </c>
      <c r="G96" s="197" t="n">
        <f aca="false">TblConstr[[#This Row],[Cavern]]</f>
        <v>0</v>
      </c>
      <c r="H96" s="198" t="n">
        <f aca="false">TblConstr[[#This Row],[Water]]</f>
        <v>0</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857709</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520</v>
      </c>
      <c r="Y96" s="69" t="n">
        <f aca="false">TblRezone[[#This Row],[Total acres]]*TblRezone[[#This Row],[Plat/acre]]</f>
        <v>0</v>
      </c>
      <c r="Z96" s="245"/>
      <c r="AA96" s="69" t="n">
        <f aca="false">250+0.6*(TblRezone[[#This Row],[Land]]-250)</f>
        <v>520</v>
      </c>
      <c r="AB96" s="245"/>
      <c r="AC96" s="150" t="n">
        <f aca="false">TblConstr[[#This Row],[Facs DB]]</f>
        <v>0</v>
      </c>
    </row>
    <row r="97" customFormat="false" ht="12.75" hidden="false" customHeight="false" outlineLevel="0" collapsed="false">
      <c r="A97" s="181" t="n">
        <f aca="false">TblConstr[[#This Row],[Land]]</f>
        <v>700</v>
      </c>
      <c r="B97" s="246" t="n">
        <f aca="false">TblConstr[[#This Row],[Plain]]</f>
        <v>0</v>
      </c>
      <c r="C97" s="193" t="n">
        <f aca="false">TblConstr[[#This Row],[Forest]]</f>
        <v>0</v>
      </c>
      <c r="D97" s="200" t="n">
        <f aca="false">TblConstr[[#This Row],[Mountain]]</f>
        <v>0</v>
      </c>
      <c r="E97" s="201" t="n">
        <f aca="false">TblConstr[[#This Row],[Hill]]</f>
        <v>0</v>
      </c>
      <c r="F97" s="202" t="n">
        <f aca="false">TblConstr[[#This Row],[Swamp]]</f>
        <v>0</v>
      </c>
      <c r="G97" s="197" t="n">
        <f aca="false">TblConstr[[#This Row],[Cavern]]</f>
        <v>0</v>
      </c>
      <c r="H97" s="198" t="n">
        <f aca="false">TblConstr[[#This Row],[Water]]</f>
        <v>0</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899762</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520</v>
      </c>
      <c r="Y97" s="69" t="n">
        <f aca="false">TblRezone[[#This Row],[Total acres]]*TblRezone[[#This Row],[Plat/acre]]</f>
        <v>0</v>
      </c>
      <c r="Z97" s="245"/>
      <c r="AA97" s="69" t="n">
        <f aca="false">250+0.6*(TblRezone[[#This Row],[Land]]-250)</f>
        <v>520</v>
      </c>
      <c r="AB97" s="245"/>
      <c r="AC97" s="150" t="n">
        <f aca="false">TblConstr[[#This Row],[Facs DB]]</f>
        <v>0</v>
      </c>
    </row>
    <row r="98" customFormat="false" ht="12.75" hidden="false" customHeight="false" outlineLevel="0" collapsed="false">
      <c r="A98" s="181" t="n">
        <f aca="false">TblConstr[[#This Row],[Land]]</f>
        <v>700</v>
      </c>
      <c r="B98" s="246" t="n">
        <f aca="false">TblConstr[[#This Row],[Plain]]</f>
        <v>0</v>
      </c>
      <c r="C98" s="193" t="n">
        <f aca="false">TblConstr[[#This Row],[Forest]]</f>
        <v>0</v>
      </c>
      <c r="D98" s="200" t="n">
        <f aca="false">TblConstr[[#This Row],[Mountain]]</f>
        <v>0</v>
      </c>
      <c r="E98" s="201" t="n">
        <f aca="false">TblConstr[[#This Row],[Hill]]</f>
        <v>0</v>
      </c>
      <c r="F98" s="202" t="n">
        <f aca="false">TblConstr[[#This Row],[Swamp]]</f>
        <v>0</v>
      </c>
      <c r="G98" s="197" t="n">
        <f aca="false">TblConstr[[#This Row],[Cavern]]</f>
        <v>0</v>
      </c>
      <c r="H98" s="198" t="n">
        <f aca="false">TblConstr[[#This Row],[Water]]</f>
        <v>0</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941568</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520</v>
      </c>
      <c r="Y98" s="69" t="n">
        <f aca="false">TblRezone[[#This Row],[Total acres]]*TblRezone[[#This Row],[Plat/acre]]</f>
        <v>0</v>
      </c>
      <c r="Z98" s="245"/>
      <c r="AA98" s="69" t="n">
        <f aca="false">250+0.6*(TblRezone[[#This Row],[Land]]-250)</f>
        <v>520</v>
      </c>
      <c r="AB98" s="245"/>
      <c r="AC98" s="150" t="n">
        <f aca="false">TblConstr[[#This Row],[Facs DB]]</f>
        <v>0</v>
      </c>
    </row>
    <row r="99" customFormat="false" ht="12.75" hidden="false" customHeight="false" outlineLevel="0" collapsed="false">
      <c r="A99" s="181" t="n">
        <f aca="false">TblConstr[[#This Row],[Land]]</f>
        <v>700</v>
      </c>
      <c r="B99" s="246" t="n">
        <f aca="false">TblConstr[[#This Row],[Plain]]</f>
        <v>0</v>
      </c>
      <c r="C99" s="193" t="n">
        <f aca="false">TblConstr[[#This Row],[Forest]]</f>
        <v>0</v>
      </c>
      <c r="D99" s="200" t="n">
        <f aca="false">TblConstr[[#This Row],[Mountain]]</f>
        <v>0</v>
      </c>
      <c r="E99" s="201" t="n">
        <f aca="false">TblConstr[[#This Row],[Hill]]</f>
        <v>0</v>
      </c>
      <c r="F99" s="202" t="n">
        <f aca="false">TblConstr[[#This Row],[Swamp]]</f>
        <v>0</v>
      </c>
      <c r="G99" s="197" t="n">
        <f aca="false">TblConstr[[#This Row],[Cavern]]</f>
        <v>0</v>
      </c>
      <c r="H99" s="198" t="n">
        <f aca="false">TblConstr[[#This Row],[Water]]</f>
        <v>0</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983131</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520</v>
      </c>
      <c r="Y99" s="69" t="n">
        <f aca="false">TblRezone[[#This Row],[Total acres]]*TblRezone[[#This Row],[Plat/acre]]</f>
        <v>0</v>
      </c>
      <c r="Z99" s="245"/>
      <c r="AA99" s="69" t="n">
        <f aca="false">250+0.6*(TblRezone[[#This Row],[Land]]-250)</f>
        <v>520</v>
      </c>
      <c r="AB99" s="245"/>
      <c r="AC99" s="150" t="n">
        <f aca="false">TblConstr[[#This Row],[Facs DB]]</f>
        <v>0</v>
      </c>
    </row>
    <row r="100" customFormat="false" ht="12.75" hidden="false" customHeight="false" outlineLevel="0" collapsed="false">
      <c r="A100" s="181" t="n">
        <f aca="false">TblConstr[[#This Row],[Land]]</f>
        <v>700</v>
      </c>
      <c r="B100" s="246" t="n">
        <f aca="false">TblConstr[[#This Row],[Plain]]</f>
        <v>0</v>
      </c>
      <c r="C100" s="193" t="n">
        <f aca="false">TblConstr[[#This Row],[Forest]]</f>
        <v>0</v>
      </c>
      <c r="D100" s="200" t="n">
        <f aca="false">TblConstr[[#This Row],[Mountain]]</f>
        <v>0</v>
      </c>
      <c r="E100" s="201" t="n">
        <f aca="false">TblConstr[[#This Row],[Hill]]</f>
        <v>0</v>
      </c>
      <c r="F100" s="202" t="n">
        <f aca="false">TblConstr[[#This Row],[Swamp]]</f>
        <v>0</v>
      </c>
      <c r="G100" s="197" t="n">
        <f aca="false">TblConstr[[#This Row],[Cavern]]</f>
        <v>0</v>
      </c>
      <c r="H100" s="198" t="n">
        <f aca="false">TblConstr[[#This Row],[Water]]</f>
        <v>0</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1024453</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520</v>
      </c>
      <c r="Y100" s="69" t="n">
        <f aca="false">TblRezone[[#This Row],[Total acres]]*TblRezone[[#This Row],[Plat/acre]]</f>
        <v>0</v>
      </c>
      <c r="Z100" s="245"/>
      <c r="AA100" s="69" t="n">
        <f aca="false">250+0.6*(TblRezone[[#This Row],[Land]]-250)</f>
        <v>520</v>
      </c>
      <c r="AB100" s="245"/>
      <c r="AC100" s="150" t="n">
        <f aca="false">TblConstr[[#This Row],[Facs DB]]</f>
        <v>0</v>
      </c>
    </row>
    <row r="101" customFormat="false" ht="12.75" hidden="false" customHeight="false" outlineLevel="0" collapsed="false">
      <c r="A101" s="181" t="n">
        <f aca="false">TblConstr[[#This Row],[Land]]</f>
        <v>700</v>
      </c>
      <c r="B101" s="246" t="n">
        <f aca="false">TblConstr[[#This Row],[Plain]]</f>
        <v>0</v>
      </c>
      <c r="C101" s="193" t="n">
        <f aca="false">TblConstr[[#This Row],[Forest]]</f>
        <v>0</v>
      </c>
      <c r="D101" s="200" t="n">
        <f aca="false">TblConstr[[#This Row],[Mountain]]</f>
        <v>0</v>
      </c>
      <c r="E101" s="201" t="n">
        <f aca="false">TblConstr[[#This Row],[Hill]]</f>
        <v>0</v>
      </c>
      <c r="F101" s="202" t="n">
        <f aca="false">TblConstr[[#This Row],[Swamp]]</f>
        <v>0</v>
      </c>
      <c r="G101" s="197" t="n">
        <f aca="false">TblConstr[[#This Row],[Cavern]]</f>
        <v>0</v>
      </c>
      <c r="H101" s="198" t="n">
        <f aca="false">TblConstr[[#This Row],[Water]]</f>
        <v>0</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1065538</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520</v>
      </c>
      <c r="Y101" s="69" t="n">
        <f aca="false">TblRezone[[#This Row],[Total acres]]*TblRezone[[#This Row],[Plat/acre]]</f>
        <v>0</v>
      </c>
      <c r="Z101" s="245"/>
      <c r="AA101" s="69" t="n">
        <f aca="false">250+0.6*(TblRezone[[#This Row],[Land]]-250)</f>
        <v>520</v>
      </c>
      <c r="AB101" s="245"/>
      <c r="AC101" s="150" t="n">
        <f aca="false">TblConstr[[#This Row],[Facs DB]]</f>
        <v>0</v>
      </c>
    </row>
    <row r="102" customFormat="false" ht="12.75" hidden="false" customHeight="false" outlineLevel="0" collapsed="false">
      <c r="A102" s="181" t="n">
        <f aca="false">TblConstr[[#This Row],[Land]]</f>
        <v>700</v>
      </c>
      <c r="B102" s="246" t="n">
        <f aca="false">TblConstr[[#This Row],[Plain]]</f>
        <v>0</v>
      </c>
      <c r="C102" s="193" t="n">
        <f aca="false">TblConstr[[#This Row],[Forest]]</f>
        <v>0</v>
      </c>
      <c r="D102" s="200" t="n">
        <f aca="false">TblConstr[[#This Row],[Mountain]]</f>
        <v>0</v>
      </c>
      <c r="E102" s="201" t="n">
        <f aca="false">TblConstr[[#This Row],[Hill]]</f>
        <v>0</v>
      </c>
      <c r="F102" s="202" t="n">
        <f aca="false">TblConstr[[#This Row],[Swamp]]</f>
        <v>0</v>
      </c>
      <c r="G102" s="197" t="n">
        <f aca="false">TblConstr[[#This Row],[Cavern]]</f>
        <v>0</v>
      </c>
      <c r="H102" s="198" t="n">
        <f aca="false">TblConstr[[#This Row],[Water]]</f>
        <v>0</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1106388</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520</v>
      </c>
      <c r="Y102" s="69" t="n">
        <f aca="false">TblRezone[[#This Row],[Total acres]]*TblRezone[[#This Row],[Plat/acre]]</f>
        <v>0</v>
      </c>
      <c r="Z102" s="245"/>
      <c r="AA102" s="69" t="n">
        <f aca="false">250+0.6*(TblRezone[[#This Row],[Land]]-250)</f>
        <v>520</v>
      </c>
      <c r="AB102" s="245"/>
      <c r="AC102" s="150" t="n">
        <f aca="false">TblConstr[[#This Row],[Facs DB]]</f>
        <v>0</v>
      </c>
    </row>
    <row r="103" customFormat="false" ht="12.75" hidden="false" customHeight="false" outlineLevel="0" collapsed="false">
      <c r="A103" s="181" t="n">
        <f aca="false">TblConstr[[#This Row],[Land]]</f>
        <v>700</v>
      </c>
      <c r="B103" s="246" t="n">
        <f aca="false">TblConstr[[#This Row],[Plain]]</f>
        <v>0</v>
      </c>
      <c r="C103" s="193" t="n">
        <f aca="false">TblConstr[[#This Row],[Forest]]</f>
        <v>0</v>
      </c>
      <c r="D103" s="200" t="n">
        <f aca="false">TblConstr[[#This Row],[Mountain]]</f>
        <v>0</v>
      </c>
      <c r="E103" s="201" t="n">
        <f aca="false">TblConstr[[#This Row],[Hill]]</f>
        <v>0</v>
      </c>
      <c r="F103" s="202" t="n">
        <f aca="false">TblConstr[[#This Row],[Swamp]]</f>
        <v>0</v>
      </c>
      <c r="G103" s="197" t="n">
        <f aca="false">TblConstr[[#This Row],[Cavern]]</f>
        <v>0</v>
      </c>
      <c r="H103" s="198" t="n">
        <f aca="false">TblConstr[[#This Row],[Water]]</f>
        <v>0</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1147006</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520</v>
      </c>
      <c r="Y103" s="69" t="n">
        <f aca="false">TblRezone[[#This Row],[Total acres]]*TblRezone[[#This Row],[Plat/acre]]</f>
        <v>0</v>
      </c>
      <c r="Z103" s="245"/>
      <c r="AA103" s="69" t="n">
        <f aca="false">250+0.6*(TblRezone[[#This Row],[Land]]-250)</f>
        <v>520</v>
      </c>
      <c r="AB103" s="245"/>
      <c r="AC103" s="150" t="n">
        <f aca="false">TblConstr[[#This Row],[Facs DB]]</f>
        <v>0</v>
      </c>
    </row>
    <row r="104" customFormat="false" ht="12.75" hidden="false" customHeight="false" outlineLevel="0" collapsed="false">
      <c r="A104" s="181" t="n">
        <f aca="false">TblConstr[[#This Row],[Land]]</f>
        <v>700</v>
      </c>
      <c r="B104" s="246" t="n">
        <f aca="false">TblConstr[[#This Row],[Plain]]</f>
        <v>0</v>
      </c>
      <c r="C104" s="193" t="n">
        <f aca="false">TblConstr[[#This Row],[Forest]]</f>
        <v>0</v>
      </c>
      <c r="D104" s="200" t="n">
        <f aca="false">TblConstr[[#This Row],[Mountain]]</f>
        <v>0</v>
      </c>
      <c r="E104" s="201" t="n">
        <f aca="false">TblConstr[[#This Row],[Hill]]</f>
        <v>0</v>
      </c>
      <c r="F104" s="202" t="n">
        <f aca="false">TblConstr[[#This Row],[Swamp]]</f>
        <v>0</v>
      </c>
      <c r="G104" s="197" t="n">
        <f aca="false">TblConstr[[#This Row],[Cavern]]</f>
        <v>0</v>
      </c>
      <c r="H104" s="198" t="n">
        <f aca="false">TblConstr[[#This Row],[Water]]</f>
        <v>0</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1187393</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520</v>
      </c>
      <c r="Y104" s="69" t="n">
        <f aca="false">TblRezone[[#This Row],[Total acres]]*TblRezone[[#This Row],[Plat/acre]]</f>
        <v>0</v>
      </c>
      <c r="Z104" s="245"/>
      <c r="AA104" s="69" t="n">
        <f aca="false">250+0.6*(TblRezone[[#This Row],[Land]]-250)</f>
        <v>520</v>
      </c>
      <c r="AB104" s="245"/>
      <c r="AC104" s="150" t="n">
        <f aca="false">TblConstr[[#This Row],[Facs DB]]</f>
        <v>0</v>
      </c>
    </row>
    <row r="105" customFormat="false" ht="12.75" hidden="false" customHeight="false" outlineLevel="0" collapsed="false">
      <c r="A105" s="181" t="n">
        <f aca="false">TblConstr[[#This Row],[Land]]</f>
        <v>700</v>
      </c>
      <c r="B105" s="246" t="n">
        <f aca="false">TblConstr[[#This Row],[Plain]]</f>
        <v>0</v>
      </c>
      <c r="C105" s="193" t="n">
        <f aca="false">TblConstr[[#This Row],[Forest]]</f>
        <v>0</v>
      </c>
      <c r="D105" s="200" t="n">
        <f aca="false">TblConstr[[#This Row],[Mountain]]</f>
        <v>0</v>
      </c>
      <c r="E105" s="201" t="n">
        <f aca="false">TblConstr[[#This Row],[Hill]]</f>
        <v>0</v>
      </c>
      <c r="F105" s="202" t="n">
        <f aca="false">TblConstr[[#This Row],[Swamp]]</f>
        <v>0</v>
      </c>
      <c r="G105" s="197" t="n">
        <f aca="false">TblConstr[[#This Row],[Cavern]]</f>
        <v>0</v>
      </c>
      <c r="H105" s="198" t="n">
        <f aca="false">TblConstr[[#This Row],[Water]]</f>
        <v>0</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1227551</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520</v>
      </c>
      <c r="Y105" s="69" t="n">
        <f aca="false">TblRezone[[#This Row],[Total acres]]*TblRezone[[#This Row],[Plat/acre]]</f>
        <v>0</v>
      </c>
      <c r="Z105" s="245"/>
      <c r="AA105" s="69" t="n">
        <f aca="false">250+0.6*(TblRezone[[#This Row],[Land]]-250)</f>
        <v>520</v>
      </c>
      <c r="AB105" s="245"/>
      <c r="AC105" s="150" t="n">
        <f aca="false">TblConstr[[#This Row],[Facs DB]]</f>
        <v>0</v>
      </c>
    </row>
    <row r="106" customFormat="false" ht="12.75" hidden="false" customHeight="false" outlineLevel="0" collapsed="false">
      <c r="A106" s="181" t="n">
        <f aca="false">TblConstr[[#This Row],[Land]]</f>
        <v>700</v>
      </c>
      <c r="B106" s="246" t="n">
        <f aca="false">TblConstr[[#This Row],[Plain]]</f>
        <v>0</v>
      </c>
      <c r="C106" s="193" t="n">
        <f aca="false">TblConstr[[#This Row],[Forest]]</f>
        <v>0</v>
      </c>
      <c r="D106" s="200" t="n">
        <f aca="false">TblConstr[[#This Row],[Mountain]]</f>
        <v>0</v>
      </c>
      <c r="E106" s="201" t="n">
        <f aca="false">TblConstr[[#This Row],[Hill]]</f>
        <v>0</v>
      </c>
      <c r="F106" s="202" t="n">
        <f aca="false">TblConstr[[#This Row],[Swamp]]</f>
        <v>0</v>
      </c>
      <c r="G106" s="197" t="n">
        <f aca="false">TblConstr[[#This Row],[Cavern]]</f>
        <v>0</v>
      </c>
      <c r="H106" s="198" t="n">
        <f aca="false">TblConstr[[#This Row],[Water]]</f>
        <v>0</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1267483</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520</v>
      </c>
      <c r="Y106" s="69" t="n">
        <f aca="false">TblRezone[[#This Row],[Total acres]]*TblRezone[[#This Row],[Plat/acre]]</f>
        <v>0</v>
      </c>
      <c r="Z106" s="245"/>
      <c r="AA106" s="69" t="n">
        <f aca="false">250+0.6*(TblRezone[[#This Row],[Land]]-250)</f>
        <v>520</v>
      </c>
      <c r="AB106" s="245"/>
      <c r="AC106" s="150" t="n">
        <f aca="false">TblConstr[[#This Row],[Facs DB]]</f>
        <v>0</v>
      </c>
    </row>
    <row r="107" customFormat="false" ht="12.75" hidden="false" customHeight="false" outlineLevel="0" collapsed="false">
      <c r="A107" s="181" t="n">
        <f aca="false">TblConstr[[#This Row],[Land]]</f>
        <v>700</v>
      </c>
      <c r="B107" s="246" t="n">
        <f aca="false">TblConstr[[#This Row],[Plain]]</f>
        <v>0</v>
      </c>
      <c r="C107" s="193" t="n">
        <f aca="false">TblConstr[[#This Row],[Forest]]</f>
        <v>0</v>
      </c>
      <c r="D107" s="200" t="n">
        <f aca="false">TblConstr[[#This Row],[Mountain]]</f>
        <v>0</v>
      </c>
      <c r="E107" s="201" t="n">
        <f aca="false">TblConstr[[#This Row],[Hill]]</f>
        <v>0</v>
      </c>
      <c r="F107" s="202" t="n">
        <f aca="false">TblConstr[[#This Row],[Swamp]]</f>
        <v>0</v>
      </c>
      <c r="G107" s="197" t="n">
        <f aca="false">TblConstr[[#This Row],[Cavern]]</f>
        <v>0</v>
      </c>
      <c r="H107" s="198" t="n">
        <f aca="false">TblConstr[[#This Row],[Water]]</f>
        <v>0</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1307193</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520</v>
      </c>
      <c r="Y107" s="69" t="n">
        <f aca="false">TblRezone[[#This Row],[Total acres]]*TblRezone[[#This Row],[Plat/acre]]</f>
        <v>0</v>
      </c>
      <c r="Z107" s="245"/>
      <c r="AA107" s="69" t="n">
        <f aca="false">250+0.6*(TblRezone[[#This Row],[Land]]-250)</f>
        <v>520</v>
      </c>
      <c r="AB107" s="245"/>
      <c r="AC107" s="150" t="n">
        <f aca="false">TblConstr[[#This Row],[Facs DB]]</f>
        <v>0</v>
      </c>
    </row>
    <row r="108" customFormat="false" ht="12.75" hidden="false" customHeight="false" outlineLevel="0" collapsed="false">
      <c r="A108" s="181" t="n">
        <f aca="false">TblConstr[[#This Row],[Land]]</f>
        <v>700</v>
      </c>
      <c r="B108" s="246" t="n">
        <f aca="false">TblConstr[[#This Row],[Plain]]</f>
        <v>0</v>
      </c>
      <c r="C108" s="193" t="n">
        <f aca="false">TblConstr[[#This Row],[Forest]]</f>
        <v>0</v>
      </c>
      <c r="D108" s="200" t="n">
        <f aca="false">TblConstr[[#This Row],[Mountain]]</f>
        <v>0</v>
      </c>
      <c r="E108" s="201" t="n">
        <f aca="false">TblConstr[[#This Row],[Hill]]</f>
        <v>0</v>
      </c>
      <c r="F108" s="202" t="n">
        <f aca="false">TblConstr[[#This Row],[Swamp]]</f>
        <v>0</v>
      </c>
      <c r="G108" s="197" t="n">
        <f aca="false">TblConstr[[#This Row],[Cavern]]</f>
        <v>0</v>
      </c>
      <c r="H108" s="198" t="n">
        <f aca="false">TblConstr[[#This Row],[Water]]</f>
        <v>0</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1346680</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520</v>
      </c>
      <c r="Y108" s="69" t="n">
        <f aca="false">TblRezone[[#This Row],[Total acres]]*TblRezone[[#This Row],[Plat/acre]]</f>
        <v>0</v>
      </c>
      <c r="Z108" s="245"/>
      <c r="AA108" s="69" t="n">
        <f aca="false">250+0.6*(TblRezone[[#This Row],[Land]]-250)</f>
        <v>520</v>
      </c>
      <c r="AB108" s="245"/>
      <c r="AC108" s="150" t="n">
        <f aca="false">TblConstr[[#This Row],[Facs DB]]</f>
        <v>0</v>
      </c>
    </row>
    <row r="109" customFormat="false" ht="12.75" hidden="false" customHeight="false" outlineLevel="0" collapsed="false">
      <c r="A109" s="181" t="n">
        <f aca="false">TblConstr[[#This Row],[Land]]</f>
        <v>700</v>
      </c>
      <c r="B109" s="246" t="n">
        <f aca="false">TblConstr[[#This Row],[Plain]]</f>
        <v>0</v>
      </c>
      <c r="C109" s="193" t="n">
        <f aca="false">TblConstr[[#This Row],[Forest]]</f>
        <v>0</v>
      </c>
      <c r="D109" s="200" t="n">
        <f aca="false">TblConstr[[#This Row],[Mountain]]</f>
        <v>0</v>
      </c>
      <c r="E109" s="201" t="n">
        <f aca="false">TblConstr[[#This Row],[Hill]]</f>
        <v>0</v>
      </c>
      <c r="F109" s="202" t="n">
        <f aca="false">TblConstr[[#This Row],[Swamp]]</f>
        <v>0</v>
      </c>
      <c r="G109" s="197" t="n">
        <f aca="false">TblConstr[[#This Row],[Cavern]]</f>
        <v>0</v>
      </c>
      <c r="H109" s="198" t="n">
        <f aca="false">TblConstr[[#This Row],[Water]]</f>
        <v>0</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1385947</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520</v>
      </c>
      <c r="Y109" s="69" t="n">
        <f aca="false">TblRezone[[#This Row],[Total acres]]*TblRezone[[#This Row],[Plat/acre]]</f>
        <v>0</v>
      </c>
      <c r="Z109" s="245"/>
      <c r="AA109" s="69" t="n">
        <f aca="false">250+0.6*(TblRezone[[#This Row],[Land]]-250)</f>
        <v>520</v>
      </c>
      <c r="AB109" s="245"/>
      <c r="AC109" s="150" t="n">
        <f aca="false">TblConstr[[#This Row],[Facs DB]]</f>
        <v>0</v>
      </c>
    </row>
    <row r="110" customFormat="false" ht="12.75" hidden="false" customHeight="false" outlineLevel="0" collapsed="false">
      <c r="A110" s="181" t="n">
        <f aca="false">TblConstr[[#This Row],[Land]]</f>
        <v>700</v>
      </c>
      <c r="B110" s="246" t="n">
        <f aca="false">TblConstr[[#This Row],[Plain]]</f>
        <v>0</v>
      </c>
      <c r="C110" s="193" t="n">
        <f aca="false">TblConstr[[#This Row],[Forest]]</f>
        <v>0</v>
      </c>
      <c r="D110" s="200" t="n">
        <f aca="false">TblConstr[[#This Row],[Mountain]]</f>
        <v>0</v>
      </c>
      <c r="E110" s="201" t="n">
        <f aca="false">TblConstr[[#This Row],[Hill]]</f>
        <v>0</v>
      </c>
      <c r="F110" s="202" t="n">
        <f aca="false">TblConstr[[#This Row],[Swamp]]</f>
        <v>0</v>
      </c>
      <c r="G110" s="197" t="n">
        <f aca="false">TblConstr[[#This Row],[Cavern]]</f>
        <v>0</v>
      </c>
      <c r="H110" s="198" t="n">
        <f aca="false">TblConstr[[#This Row],[Water]]</f>
        <v>0</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1424997</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520</v>
      </c>
      <c r="Y110" s="69" t="n">
        <f aca="false">TblRezone[[#This Row],[Total acres]]*TblRezone[[#This Row],[Plat/acre]]</f>
        <v>0</v>
      </c>
      <c r="Z110" s="245"/>
      <c r="AA110" s="69" t="n">
        <f aca="false">250+0.6*(TblRezone[[#This Row],[Land]]-250)</f>
        <v>520</v>
      </c>
      <c r="AB110" s="245"/>
      <c r="AC110" s="150" t="n">
        <f aca="false">TblConstr[[#This Row],[Facs DB]]</f>
        <v>0</v>
      </c>
    </row>
    <row r="111" customFormat="false" ht="12.75" hidden="false" customHeight="false" outlineLevel="0" collapsed="false">
      <c r="A111" s="181" t="n">
        <f aca="false">TblConstr[[#This Row],[Land]]</f>
        <v>700</v>
      </c>
      <c r="B111" s="246" t="n">
        <f aca="false">TblConstr[[#This Row],[Plain]]</f>
        <v>0</v>
      </c>
      <c r="C111" s="193" t="n">
        <f aca="false">TblConstr[[#This Row],[Forest]]</f>
        <v>0</v>
      </c>
      <c r="D111" s="200" t="n">
        <f aca="false">TblConstr[[#This Row],[Mountain]]</f>
        <v>0</v>
      </c>
      <c r="E111" s="201" t="n">
        <f aca="false">TblConstr[[#This Row],[Hill]]</f>
        <v>0</v>
      </c>
      <c r="F111" s="202" t="n">
        <f aca="false">TblConstr[[#This Row],[Swamp]]</f>
        <v>0</v>
      </c>
      <c r="G111" s="197" t="n">
        <f aca="false">TblConstr[[#This Row],[Cavern]]</f>
        <v>0</v>
      </c>
      <c r="H111" s="198" t="n">
        <f aca="false">TblConstr[[#This Row],[Water]]</f>
        <v>0</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1463833</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520</v>
      </c>
      <c r="Y111" s="69" t="n">
        <f aca="false">TblRezone[[#This Row],[Total acres]]*TblRezone[[#This Row],[Plat/acre]]</f>
        <v>0</v>
      </c>
      <c r="Z111" s="245"/>
      <c r="AA111" s="69" t="n">
        <f aca="false">250+0.6*(TblRezone[[#This Row],[Land]]-250)</f>
        <v>520</v>
      </c>
      <c r="AB111" s="245"/>
      <c r="AC111" s="150" t="n">
        <f aca="false">TblConstr[[#This Row],[Facs DB]]</f>
        <v>0</v>
      </c>
    </row>
    <row r="112" customFormat="false" ht="12.75" hidden="false" customHeight="false" outlineLevel="0" collapsed="false">
      <c r="A112" s="181" t="n">
        <f aca="false">TblConstr[[#This Row],[Land]]</f>
        <v>700</v>
      </c>
      <c r="B112" s="246" t="n">
        <f aca="false">TblConstr[[#This Row],[Plain]]</f>
        <v>0</v>
      </c>
      <c r="C112" s="193" t="n">
        <f aca="false">TblConstr[[#This Row],[Forest]]</f>
        <v>0</v>
      </c>
      <c r="D112" s="200" t="n">
        <f aca="false">TblConstr[[#This Row],[Mountain]]</f>
        <v>0</v>
      </c>
      <c r="E112" s="201" t="n">
        <f aca="false">TblConstr[[#This Row],[Hill]]</f>
        <v>0</v>
      </c>
      <c r="F112" s="202" t="n">
        <f aca="false">TblConstr[[#This Row],[Swamp]]</f>
        <v>0</v>
      </c>
      <c r="G112" s="197" t="n">
        <f aca="false">TblConstr[[#This Row],[Cavern]]</f>
        <v>0</v>
      </c>
      <c r="H112" s="198" t="n">
        <f aca="false">TblConstr[[#This Row],[Water]]</f>
        <v>0</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1502456</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520</v>
      </c>
      <c r="Y112" s="69" t="n">
        <f aca="false">TblRezone[[#This Row],[Total acres]]*TblRezone[[#This Row],[Plat/acre]]</f>
        <v>0</v>
      </c>
      <c r="Z112" s="245"/>
      <c r="AA112" s="69" t="n">
        <f aca="false">250+0.6*(TblRezone[[#This Row],[Land]]-250)</f>
        <v>520</v>
      </c>
      <c r="AB112" s="245"/>
      <c r="AC112" s="150" t="n">
        <f aca="false">TblConstr[[#This Row],[Facs DB]]</f>
        <v>0</v>
      </c>
    </row>
    <row r="113" customFormat="false" ht="12.75" hidden="false" customHeight="false" outlineLevel="0" collapsed="false">
      <c r="A113" s="181" t="n">
        <f aca="false">TblConstr[[#This Row],[Land]]</f>
        <v>700</v>
      </c>
      <c r="B113" s="246" t="n">
        <f aca="false">TblConstr[[#This Row],[Plain]]</f>
        <v>0</v>
      </c>
      <c r="C113" s="193" t="n">
        <f aca="false">TblConstr[[#This Row],[Forest]]</f>
        <v>0</v>
      </c>
      <c r="D113" s="200" t="n">
        <f aca="false">TblConstr[[#This Row],[Mountain]]</f>
        <v>0</v>
      </c>
      <c r="E113" s="201" t="n">
        <f aca="false">TblConstr[[#This Row],[Hill]]</f>
        <v>0</v>
      </c>
      <c r="F113" s="202" t="n">
        <f aca="false">TblConstr[[#This Row],[Swamp]]</f>
        <v>0</v>
      </c>
      <c r="G113" s="197" t="n">
        <f aca="false">TblConstr[[#This Row],[Cavern]]</f>
        <v>0</v>
      </c>
      <c r="H113" s="198" t="n">
        <f aca="false">TblConstr[[#This Row],[Water]]</f>
        <v>0</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1533801</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520</v>
      </c>
      <c r="Y113" s="69" t="n">
        <f aca="false">TblRezone[[#This Row],[Total acres]]*TblRezone[[#This Row],[Plat/acre]]</f>
        <v>0</v>
      </c>
      <c r="Z113" s="245"/>
      <c r="AA113" s="69" t="n">
        <f aca="false">250+0.6*(TblRezone[[#This Row],[Land]]-250)</f>
        <v>520</v>
      </c>
      <c r="AB113" s="245"/>
      <c r="AC113" s="150" t="n">
        <f aca="false">TblConstr[[#This Row],[Facs DB]]</f>
        <v>0</v>
      </c>
    </row>
    <row r="114" customFormat="false" ht="12.75" hidden="false" customHeight="false" outlineLevel="0" collapsed="false">
      <c r="A114" s="181" t="n">
        <f aca="false">TblConstr[[#This Row],[Land]]</f>
        <v>700</v>
      </c>
      <c r="B114" s="246" t="n">
        <f aca="false">TblConstr[[#This Row],[Plain]]</f>
        <v>0</v>
      </c>
      <c r="C114" s="193" t="n">
        <f aca="false">TblConstr[[#This Row],[Forest]]</f>
        <v>0</v>
      </c>
      <c r="D114" s="200" t="n">
        <f aca="false">TblConstr[[#This Row],[Mountain]]</f>
        <v>0</v>
      </c>
      <c r="E114" s="201" t="n">
        <f aca="false">TblConstr[[#This Row],[Hill]]</f>
        <v>0</v>
      </c>
      <c r="F114" s="202" t="n">
        <f aca="false">TblConstr[[#This Row],[Swamp]]</f>
        <v>0</v>
      </c>
      <c r="G114" s="197" t="n">
        <f aca="false">TblConstr[[#This Row],[Cavern]]</f>
        <v>0</v>
      </c>
      <c r="H114" s="198" t="n">
        <f aca="false">TblConstr[[#This Row],[Water]]</f>
        <v>0</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1564957</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520</v>
      </c>
      <c r="Y114" s="69" t="n">
        <f aca="false">TblRezone[[#This Row],[Total acres]]*TblRezone[[#This Row],[Plat/acre]]</f>
        <v>0</v>
      </c>
      <c r="Z114" s="245"/>
      <c r="AA114" s="69" t="n">
        <f aca="false">250+0.6*(TblRezone[[#This Row],[Land]]-250)</f>
        <v>520</v>
      </c>
      <c r="AB114" s="245"/>
      <c r="AC114" s="150" t="n">
        <f aca="false">TblConstr[[#This Row],[Facs DB]]</f>
        <v>0</v>
      </c>
    </row>
    <row r="115" customFormat="false" ht="12.75" hidden="false" customHeight="false" outlineLevel="0" collapsed="false">
      <c r="A115" s="181" t="n">
        <f aca="false">TblConstr[[#This Row],[Land]]</f>
        <v>700</v>
      </c>
      <c r="B115" s="246" t="n">
        <f aca="false">TblConstr[[#This Row],[Plain]]</f>
        <v>0</v>
      </c>
      <c r="C115" s="193" t="n">
        <f aca="false">TblConstr[[#This Row],[Forest]]</f>
        <v>0</v>
      </c>
      <c r="D115" s="200" t="n">
        <f aca="false">TblConstr[[#This Row],[Mountain]]</f>
        <v>0</v>
      </c>
      <c r="E115" s="201" t="n">
        <f aca="false">TblConstr[[#This Row],[Hill]]</f>
        <v>0</v>
      </c>
      <c r="F115" s="202" t="n">
        <f aca="false">TblConstr[[#This Row],[Swamp]]</f>
        <v>0</v>
      </c>
      <c r="G115" s="197" t="n">
        <f aca="false">TblConstr[[#This Row],[Cavern]]</f>
        <v>0</v>
      </c>
      <c r="H115" s="198" t="n">
        <f aca="false">TblConstr[[#This Row],[Water]]</f>
        <v>0</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1595924</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520</v>
      </c>
      <c r="Y115" s="69" t="n">
        <f aca="false">TblRezone[[#This Row],[Total acres]]*TblRezone[[#This Row],[Plat/acre]]</f>
        <v>0</v>
      </c>
      <c r="Z115" s="245"/>
      <c r="AA115" s="69" t="n">
        <f aca="false">250+0.6*(TblRezone[[#This Row],[Land]]-250)</f>
        <v>520</v>
      </c>
      <c r="AB115" s="245"/>
      <c r="AC115" s="150" t="n">
        <f aca="false">TblConstr[[#This Row],[Facs DB]]</f>
        <v>0</v>
      </c>
    </row>
    <row r="116" customFormat="false" ht="12.75" hidden="false" customHeight="false" outlineLevel="0" collapsed="false">
      <c r="A116" s="181" t="n">
        <f aca="false">TblConstr[[#This Row],[Land]]</f>
        <v>700</v>
      </c>
      <c r="B116" s="246" t="n">
        <f aca="false">TblConstr[[#This Row],[Plain]]</f>
        <v>0</v>
      </c>
      <c r="C116" s="193" t="n">
        <f aca="false">TblConstr[[#This Row],[Forest]]</f>
        <v>0</v>
      </c>
      <c r="D116" s="200" t="n">
        <f aca="false">TblConstr[[#This Row],[Mountain]]</f>
        <v>0</v>
      </c>
      <c r="E116" s="201" t="n">
        <f aca="false">TblConstr[[#This Row],[Hill]]</f>
        <v>0</v>
      </c>
      <c r="F116" s="202" t="n">
        <f aca="false">TblConstr[[#This Row],[Swamp]]</f>
        <v>0</v>
      </c>
      <c r="G116" s="197" t="n">
        <f aca="false">TblConstr[[#This Row],[Cavern]]</f>
        <v>0</v>
      </c>
      <c r="H116" s="198" t="n">
        <f aca="false">TblConstr[[#This Row],[Water]]</f>
        <v>0</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1626704</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520</v>
      </c>
      <c r="Y116" s="69" t="n">
        <f aca="false">TblRezone[[#This Row],[Total acres]]*TblRezone[[#This Row],[Plat/acre]]</f>
        <v>0</v>
      </c>
      <c r="Z116" s="245"/>
      <c r="AA116" s="69" t="n">
        <f aca="false">250+0.6*(TblRezone[[#This Row],[Land]]-250)</f>
        <v>520</v>
      </c>
      <c r="AB116" s="245"/>
      <c r="AC116" s="150" t="n">
        <f aca="false">TblConstr[[#This Row],[Facs DB]]</f>
        <v>0</v>
      </c>
    </row>
    <row r="117" customFormat="false" ht="12.75" hidden="false" customHeight="false" outlineLevel="0" collapsed="false">
      <c r="A117" s="181" t="n">
        <f aca="false">TblConstr[[#This Row],[Land]]</f>
        <v>700</v>
      </c>
      <c r="B117" s="246" t="n">
        <f aca="false">TblConstr[[#This Row],[Plain]]</f>
        <v>0</v>
      </c>
      <c r="C117" s="193" t="n">
        <f aca="false">TblConstr[[#This Row],[Forest]]</f>
        <v>0</v>
      </c>
      <c r="D117" s="200" t="n">
        <f aca="false">TblConstr[[#This Row],[Mountain]]</f>
        <v>0</v>
      </c>
      <c r="E117" s="201" t="n">
        <f aca="false">TblConstr[[#This Row],[Hill]]</f>
        <v>0</v>
      </c>
      <c r="F117" s="202" t="n">
        <f aca="false">TblConstr[[#This Row],[Swamp]]</f>
        <v>0</v>
      </c>
      <c r="G117" s="197" t="n">
        <f aca="false">TblConstr[[#This Row],[Cavern]]</f>
        <v>0</v>
      </c>
      <c r="H117" s="198" t="n">
        <f aca="false">TblConstr[[#This Row],[Water]]</f>
        <v>0</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1657301</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520</v>
      </c>
      <c r="Y117" s="69" t="n">
        <f aca="false">TblRezone[[#This Row],[Total acres]]*TblRezone[[#This Row],[Plat/acre]]</f>
        <v>0</v>
      </c>
      <c r="Z117" s="245"/>
      <c r="AA117" s="69" t="n">
        <f aca="false">250+0.6*(TblRezone[[#This Row],[Land]]-250)</f>
        <v>520</v>
      </c>
      <c r="AB117" s="245"/>
      <c r="AC117" s="150" t="n">
        <f aca="false">TblConstr[[#This Row],[Facs DB]]</f>
        <v>0</v>
      </c>
    </row>
    <row r="118" customFormat="false" ht="12.75" hidden="false" customHeight="false" outlineLevel="0" collapsed="false">
      <c r="A118" s="181" t="n">
        <f aca="false">TblConstr[[#This Row],[Land]]</f>
        <v>700</v>
      </c>
      <c r="B118" s="246" t="n">
        <f aca="false">TblConstr[[#This Row],[Plain]]</f>
        <v>0</v>
      </c>
      <c r="C118" s="193" t="n">
        <f aca="false">TblConstr[[#This Row],[Forest]]</f>
        <v>0</v>
      </c>
      <c r="D118" s="200" t="n">
        <f aca="false">TblConstr[[#This Row],[Mountain]]</f>
        <v>0</v>
      </c>
      <c r="E118" s="201" t="n">
        <f aca="false">TblConstr[[#This Row],[Hill]]</f>
        <v>0</v>
      </c>
      <c r="F118" s="202" t="n">
        <f aca="false">TblConstr[[#This Row],[Swamp]]</f>
        <v>0</v>
      </c>
      <c r="G118" s="197" t="n">
        <f aca="false">TblConstr[[#This Row],[Cavern]]</f>
        <v>0</v>
      </c>
      <c r="H118" s="198" t="n">
        <f aca="false">TblConstr[[#This Row],[Water]]</f>
        <v>0</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1687717</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520</v>
      </c>
      <c r="Y118" s="69" t="n">
        <f aca="false">TblRezone[[#This Row],[Total acres]]*TblRezone[[#This Row],[Plat/acre]]</f>
        <v>0</v>
      </c>
      <c r="Z118" s="245"/>
      <c r="AA118" s="69" t="n">
        <f aca="false">250+0.6*(TblRezone[[#This Row],[Land]]-250)</f>
        <v>520</v>
      </c>
      <c r="AB118" s="245"/>
      <c r="AC118" s="150" t="n">
        <f aca="false">TblConstr[[#This Row],[Facs DB]]</f>
        <v>0</v>
      </c>
    </row>
    <row r="119" customFormat="false" ht="12.75" hidden="false" customHeight="false" outlineLevel="0" collapsed="false">
      <c r="A119" s="181" t="n">
        <f aca="false">TblConstr[[#This Row],[Land]]</f>
        <v>700</v>
      </c>
      <c r="B119" s="246" t="n">
        <f aca="false">TblConstr[[#This Row],[Plain]]</f>
        <v>0</v>
      </c>
      <c r="C119" s="193" t="n">
        <f aca="false">TblConstr[[#This Row],[Forest]]</f>
        <v>0</v>
      </c>
      <c r="D119" s="200" t="n">
        <f aca="false">TblConstr[[#This Row],[Mountain]]</f>
        <v>0</v>
      </c>
      <c r="E119" s="201" t="n">
        <f aca="false">TblConstr[[#This Row],[Hill]]</f>
        <v>0</v>
      </c>
      <c r="F119" s="202" t="n">
        <f aca="false">TblConstr[[#This Row],[Swamp]]</f>
        <v>0</v>
      </c>
      <c r="G119" s="197" t="n">
        <f aca="false">TblConstr[[#This Row],[Cavern]]</f>
        <v>0</v>
      </c>
      <c r="H119" s="198" t="n">
        <f aca="false">TblConstr[[#This Row],[Water]]</f>
        <v>0</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1717952</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520</v>
      </c>
      <c r="Y119" s="69" t="n">
        <f aca="false">TblRezone[[#This Row],[Total acres]]*TblRezone[[#This Row],[Plat/acre]]</f>
        <v>0</v>
      </c>
      <c r="Z119" s="245"/>
      <c r="AA119" s="69" t="n">
        <f aca="false">250+0.6*(TblRezone[[#This Row],[Land]]-250)</f>
        <v>520</v>
      </c>
      <c r="AB119" s="245"/>
      <c r="AC119" s="150" t="n">
        <f aca="false">TblConstr[[#This Row],[Facs DB]]</f>
        <v>0</v>
      </c>
    </row>
    <row r="120" customFormat="false" ht="12.75" hidden="false" customHeight="false" outlineLevel="0" collapsed="false">
      <c r="A120" s="181" t="n">
        <f aca="false">TblConstr[[#This Row],[Land]]</f>
        <v>700</v>
      </c>
      <c r="B120" s="246" t="n">
        <f aca="false">TblConstr[[#This Row],[Plain]]</f>
        <v>0</v>
      </c>
      <c r="C120" s="193" t="n">
        <f aca="false">TblConstr[[#This Row],[Forest]]</f>
        <v>0</v>
      </c>
      <c r="D120" s="200" t="n">
        <f aca="false">TblConstr[[#This Row],[Mountain]]</f>
        <v>0</v>
      </c>
      <c r="E120" s="201" t="n">
        <f aca="false">TblConstr[[#This Row],[Hill]]</f>
        <v>0</v>
      </c>
      <c r="F120" s="202" t="n">
        <f aca="false">TblConstr[[#This Row],[Swamp]]</f>
        <v>0</v>
      </c>
      <c r="G120" s="197" t="n">
        <f aca="false">TblConstr[[#This Row],[Cavern]]</f>
        <v>0</v>
      </c>
      <c r="H120" s="198" t="n">
        <f aca="false">TblConstr[[#This Row],[Water]]</f>
        <v>0</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1748009</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520</v>
      </c>
      <c r="Y120" s="69" t="n">
        <f aca="false">TblRezone[[#This Row],[Total acres]]*TblRezone[[#This Row],[Plat/acre]]</f>
        <v>0</v>
      </c>
      <c r="Z120" s="245"/>
      <c r="AA120" s="69" t="n">
        <f aca="false">250+0.6*(TblRezone[[#This Row],[Land]]-250)</f>
        <v>520</v>
      </c>
      <c r="AB120" s="245"/>
      <c r="AC120" s="150" t="n">
        <f aca="false">TblConstr[[#This Row],[Facs DB]]</f>
        <v>0</v>
      </c>
    </row>
    <row r="121" customFormat="false" ht="12.75" hidden="false" customHeight="false" outlineLevel="0" collapsed="false">
      <c r="A121" s="181" t="n">
        <f aca="false">TblConstr[[#This Row],[Land]]</f>
        <v>700</v>
      </c>
      <c r="B121" s="246" t="n">
        <f aca="false">TblConstr[[#This Row],[Plain]]</f>
        <v>0</v>
      </c>
      <c r="C121" s="193" t="n">
        <f aca="false">TblConstr[[#This Row],[Forest]]</f>
        <v>0</v>
      </c>
      <c r="D121" s="200" t="n">
        <f aca="false">TblConstr[[#This Row],[Mountain]]</f>
        <v>0</v>
      </c>
      <c r="E121" s="201" t="n">
        <f aca="false">TblConstr[[#This Row],[Hill]]</f>
        <v>0</v>
      </c>
      <c r="F121" s="202" t="n">
        <f aca="false">TblConstr[[#This Row],[Swamp]]</f>
        <v>0</v>
      </c>
      <c r="G121" s="197" t="n">
        <f aca="false">TblConstr[[#This Row],[Cavern]]</f>
        <v>0</v>
      </c>
      <c r="H121" s="198" t="n">
        <f aca="false">TblConstr[[#This Row],[Water]]</f>
        <v>0</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1777890</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520</v>
      </c>
      <c r="Y121" s="69" t="n">
        <f aca="false">TblRezone[[#This Row],[Total acres]]*TblRezone[[#This Row],[Plat/acre]]</f>
        <v>0</v>
      </c>
      <c r="Z121" s="245"/>
      <c r="AA121" s="69" t="n">
        <f aca="false">250+0.6*(TblRezone[[#This Row],[Land]]-250)</f>
        <v>520</v>
      </c>
      <c r="AB121" s="245"/>
      <c r="AC121" s="150" t="n">
        <f aca="false">TblConstr[[#This Row],[Facs DB]]</f>
        <v>0</v>
      </c>
    </row>
    <row r="122" customFormat="false" ht="12.75" hidden="false" customHeight="false" outlineLevel="0" collapsed="false">
      <c r="A122" s="181" t="n">
        <f aca="false">TblConstr[[#This Row],[Land]]</f>
        <v>700</v>
      </c>
      <c r="B122" s="246" t="n">
        <f aca="false">TblConstr[[#This Row],[Plain]]</f>
        <v>0</v>
      </c>
      <c r="C122" s="193" t="n">
        <f aca="false">TblConstr[[#This Row],[Forest]]</f>
        <v>0</v>
      </c>
      <c r="D122" s="200" t="n">
        <f aca="false">TblConstr[[#This Row],[Mountain]]</f>
        <v>0</v>
      </c>
      <c r="E122" s="201" t="n">
        <f aca="false">TblConstr[[#This Row],[Hill]]</f>
        <v>0</v>
      </c>
      <c r="F122" s="202" t="n">
        <f aca="false">TblConstr[[#This Row],[Swamp]]</f>
        <v>0</v>
      </c>
      <c r="G122" s="197" t="n">
        <f aca="false">TblConstr[[#This Row],[Cavern]]</f>
        <v>0</v>
      </c>
      <c r="H122" s="198" t="n">
        <f aca="false">TblConstr[[#This Row],[Water]]</f>
        <v>0</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1807596</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520</v>
      </c>
      <c r="Y122" s="69" t="n">
        <f aca="false">TblRezone[[#This Row],[Total acres]]*TblRezone[[#This Row],[Plat/acre]]</f>
        <v>0</v>
      </c>
      <c r="Z122" s="245"/>
      <c r="AA122" s="69" t="n">
        <f aca="false">250+0.6*(TblRezone[[#This Row],[Land]]-250)</f>
        <v>520</v>
      </c>
      <c r="AB122" s="245"/>
      <c r="AC122" s="150" t="n">
        <f aca="false">TblConstr[[#This Row],[Facs DB]]</f>
        <v>0</v>
      </c>
    </row>
    <row r="123" customFormat="false" ht="12.75" hidden="false" customHeight="false" outlineLevel="0" collapsed="false">
      <c r="A123" s="181" t="n">
        <f aca="false">TblConstr[[#This Row],[Land]]</f>
        <v>700</v>
      </c>
      <c r="B123" s="246" t="n">
        <f aca="false">TblConstr[[#This Row],[Plain]]</f>
        <v>0</v>
      </c>
      <c r="C123" s="193" t="n">
        <f aca="false">TblConstr[[#This Row],[Forest]]</f>
        <v>0</v>
      </c>
      <c r="D123" s="200" t="n">
        <f aca="false">TblConstr[[#This Row],[Mountain]]</f>
        <v>0</v>
      </c>
      <c r="E123" s="201" t="n">
        <f aca="false">TblConstr[[#This Row],[Hill]]</f>
        <v>0</v>
      </c>
      <c r="F123" s="202" t="n">
        <f aca="false">TblConstr[[#This Row],[Swamp]]</f>
        <v>0</v>
      </c>
      <c r="G123" s="197" t="n">
        <f aca="false">TblConstr[[#This Row],[Cavern]]</f>
        <v>0</v>
      </c>
      <c r="H123" s="198" t="n">
        <f aca="false">TblConstr[[#This Row],[Water]]</f>
        <v>0</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1837129</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520</v>
      </c>
      <c r="Y123" s="69" t="n">
        <f aca="false">TblRezone[[#This Row],[Total acres]]*TblRezone[[#This Row],[Plat/acre]]</f>
        <v>0</v>
      </c>
      <c r="Z123" s="245"/>
      <c r="AA123" s="69" t="n">
        <f aca="false">250+0.6*(TblRezone[[#This Row],[Land]]-250)</f>
        <v>520</v>
      </c>
      <c r="AB123" s="245"/>
      <c r="AC123" s="150" t="n">
        <f aca="false">TblConstr[[#This Row],[Facs DB]]</f>
        <v>0</v>
      </c>
    </row>
    <row r="124" customFormat="false" ht="12.75" hidden="false" customHeight="false" outlineLevel="0" collapsed="false">
      <c r="A124" s="181" t="n">
        <f aca="false">TblConstr[[#This Row],[Land]]</f>
        <v>700</v>
      </c>
      <c r="B124" s="246" t="n">
        <f aca="false">TblConstr[[#This Row],[Plain]]</f>
        <v>0</v>
      </c>
      <c r="C124" s="193" t="n">
        <f aca="false">TblConstr[[#This Row],[Forest]]</f>
        <v>0</v>
      </c>
      <c r="D124" s="200" t="n">
        <f aca="false">TblConstr[[#This Row],[Mountain]]</f>
        <v>0</v>
      </c>
      <c r="E124" s="201" t="n">
        <f aca="false">TblConstr[[#This Row],[Hill]]</f>
        <v>0</v>
      </c>
      <c r="F124" s="202" t="n">
        <f aca="false">TblConstr[[#This Row],[Swamp]]</f>
        <v>0</v>
      </c>
      <c r="G124" s="197" t="n">
        <f aca="false">TblConstr[[#This Row],[Cavern]]</f>
        <v>0</v>
      </c>
      <c r="H124" s="198" t="n">
        <f aca="false">TblConstr[[#This Row],[Water]]</f>
        <v>0</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1866489</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520</v>
      </c>
      <c r="Y124" s="69" t="n">
        <f aca="false">TblRezone[[#This Row],[Total acres]]*TblRezone[[#This Row],[Plat/acre]]</f>
        <v>0</v>
      </c>
      <c r="Z124" s="245"/>
      <c r="AA124" s="69" t="n">
        <f aca="false">250+0.6*(TblRezone[[#This Row],[Land]]-250)</f>
        <v>520</v>
      </c>
      <c r="AB124" s="245"/>
      <c r="AC124" s="150" t="n">
        <f aca="false">TblConstr[[#This Row],[Facs DB]]</f>
        <v>0</v>
      </c>
    </row>
    <row r="125" customFormat="false" ht="12.75" hidden="false" customHeight="false" outlineLevel="0" collapsed="false">
      <c r="A125" s="181" t="n">
        <f aca="false">TblConstr[[#This Row],[Land]]</f>
        <v>700</v>
      </c>
      <c r="B125" s="246" t="n">
        <f aca="false">TblConstr[[#This Row],[Plain]]</f>
        <v>0</v>
      </c>
      <c r="C125" s="193" t="n">
        <f aca="false">TblConstr[[#This Row],[Forest]]</f>
        <v>0</v>
      </c>
      <c r="D125" s="200" t="n">
        <f aca="false">TblConstr[[#This Row],[Mountain]]</f>
        <v>0</v>
      </c>
      <c r="E125" s="201" t="n">
        <f aca="false">TblConstr[[#This Row],[Hill]]</f>
        <v>0</v>
      </c>
      <c r="F125" s="202" t="n">
        <f aca="false">TblConstr[[#This Row],[Swamp]]</f>
        <v>0</v>
      </c>
      <c r="G125" s="197" t="n">
        <f aca="false">TblConstr[[#This Row],[Cavern]]</f>
        <v>0</v>
      </c>
      <c r="H125" s="198" t="n">
        <f aca="false">TblConstr[[#This Row],[Water]]</f>
        <v>0</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1895679</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520</v>
      </c>
      <c r="Y125" s="69" t="n">
        <f aca="false">TblRezone[[#This Row],[Total acres]]*TblRezone[[#This Row],[Plat/acre]]</f>
        <v>0</v>
      </c>
      <c r="Z125" s="245"/>
      <c r="AA125" s="69" t="n">
        <f aca="false">250+0.6*(TblRezone[[#This Row],[Land]]-250)</f>
        <v>520</v>
      </c>
      <c r="AB125" s="245"/>
      <c r="AC125" s="150" t="n">
        <f aca="false">TblConstr[[#This Row],[Facs DB]]</f>
        <v>0</v>
      </c>
    </row>
    <row r="126" customFormat="false" ht="12.75" hidden="false" customHeight="false" outlineLevel="0" collapsed="false">
      <c r="A126" s="181" t="n">
        <f aca="false">TblConstr[[#This Row],[Land]]</f>
        <v>700</v>
      </c>
      <c r="B126" s="246" t="n">
        <f aca="false">TblConstr[[#This Row],[Plain]]</f>
        <v>0</v>
      </c>
      <c r="C126" s="193" t="n">
        <f aca="false">TblConstr[[#This Row],[Forest]]</f>
        <v>0</v>
      </c>
      <c r="D126" s="200" t="n">
        <f aca="false">TblConstr[[#This Row],[Mountain]]</f>
        <v>0</v>
      </c>
      <c r="E126" s="201" t="n">
        <f aca="false">TblConstr[[#This Row],[Hill]]</f>
        <v>0</v>
      </c>
      <c r="F126" s="202" t="n">
        <f aca="false">TblConstr[[#This Row],[Swamp]]</f>
        <v>0</v>
      </c>
      <c r="G126" s="197" t="n">
        <f aca="false">TblConstr[[#This Row],[Cavern]]</f>
        <v>0</v>
      </c>
      <c r="H126" s="198" t="n">
        <f aca="false">TblConstr[[#This Row],[Water]]</f>
        <v>0</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1924702</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520</v>
      </c>
      <c r="Y126" s="69" t="n">
        <f aca="false">TblRezone[[#This Row],[Total acres]]*TblRezone[[#This Row],[Plat/acre]]</f>
        <v>0</v>
      </c>
      <c r="Z126" s="245"/>
      <c r="AA126" s="69" t="n">
        <f aca="false">250+0.6*(TblRezone[[#This Row],[Land]]-250)</f>
        <v>520</v>
      </c>
      <c r="AB126" s="245"/>
      <c r="AC126" s="150" t="n">
        <f aca="false">TblConstr[[#This Row],[Facs DB]]</f>
        <v>0</v>
      </c>
    </row>
    <row r="127" customFormat="false" ht="12.75" hidden="false" customHeight="false" outlineLevel="0" collapsed="false">
      <c r="A127" s="181" t="n">
        <f aca="false">TblConstr[[#This Row],[Land]]</f>
        <v>700</v>
      </c>
      <c r="B127" s="246" t="n">
        <f aca="false">TblConstr[[#This Row],[Plain]]</f>
        <v>0</v>
      </c>
      <c r="C127" s="193" t="n">
        <f aca="false">TblConstr[[#This Row],[Forest]]</f>
        <v>0</v>
      </c>
      <c r="D127" s="200" t="n">
        <f aca="false">TblConstr[[#This Row],[Mountain]]</f>
        <v>0</v>
      </c>
      <c r="E127" s="201" t="n">
        <f aca="false">TblConstr[[#This Row],[Hill]]</f>
        <v>0</v>
      </c>
      <c r="F127" s="202" t="n">
        <f aca="false">TblConstr[[#This Row],[Swamp]]</f>
        <v>0</v>
      </c>
      <c r="G127" s="197" t="n">
        <f aca="false">TblConstr[[#This Row],[Cavern]]</f>
        <v>0</v>
      </c>
      <c r="H127" s="198" t="n">
        <f aca="false">TblConstr[[#This Row],[Water]]</f>
        <v>0</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1953557</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520</v>
      </c>
      <c r="Y127" s="69" t="n">
        <f aca="false">TblRezone[[#This Row],[Total acres]]*TblRezone[[#This Row],[Plat/acre]]</f>
        <v>0</v>
      </c>
      <c r="Z127" s="245"/>
      <c r="AA127" s="69" t="n">
        <f aca="false">250+0.6*(TblRezone[[#This Row],[Land]]-250)</f>
        <v>520</v>
      </c>
      <c r="AB127" s="245"/>
      <c r="AC127" s="150" t="n">
        <f aca="false">TblConstr[[#This Row],[Facs DB]]</f>
        <v>0</v>
      </c>
    </row>
    <row r="128" customFormat="false" ht="12.75" hidden="false" customHeight="false" outlineLevel="0" collapsed="false">
      <c r="A128" s="181" t="n">
        <f aca="false">TblConstr[[#This Row],[Land]]</f>
        <v>700</v>
      </c>
      <c r="B128" s="246" t="n">
        <f aca="false">TblConstr[[#This Row],[Plain]]</f>
        <v>0</v>
      </c>
      <c r="C128" s="193" t="n">
        <f aca="false">TblConstr[[#This Row],[Forest]]</f>
        <v>0</v>
      </c>
      <c r="D128" s="200" t="n">
        <f aca="false">TblConstr[[#This Row],[Mountain]]</f>
        <v>0</v>
      </c>
      <c r="E128" s="201" t="n">
        <f aca="false">TblConstr[[#This Row],[Hill]]</f>
        <v>0</v>
      </c>
      <c r="F128" s="202" t="n">
        <f aca="false">TblConstr[[#This Row],[Swamp]]</f>
        <v>0</v>
      </c>
      <c r="G128" s="197" t="n">
        <f aca="false">TblConstr[[#This Row],[Cavern]]</f>
        <v>0</v>
      </c>
      <c r="H128" s="198" t="n">
        <f aca="false">TblConstr[[#This Row],[Water]]</f>
        <v>0</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1982248</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520</v>
      </c>
      <c r="Y128" s="69" t="n">
        <f aca="false">TblRezone[[#This Row],[Total acres]]*TblRezone[[#This Row],[Plat/acre]]</f>
        <v>0</v>
      </c>
      <c r="Z128" s="245"/>
      <c r="AA128" s="69" t="n">
        <f aca="false">250+0.6*(TblRezone[[#This Row],[Land]]-250)</f>
        <v>520</v>
      </c>
      <c r="AB128" s="245"/>
      <c r="AC128" s="150" t="n">
        <f aca="false">TblConstr[[#This Row],[Facs DB]]</f>
        <v>0</v>
      </c>
    </row>
    <row r="129" customFormat="false" ht="12.75" hidden="false" customHeight="false" outlineLevel="0" collapsed="false">
      <c r="A129" s="181" t="n">
        <f aca="false">TblConstr[[#This Row],[Land]]</f>
        <v>700</v>
      </c>
      <c r="B129" s="246" t="n">
        <f aca="false">TblConstr[[#This Row],[Plain]]</f>
        <v>0</v>
      </c>
      <c r="C129" s="193" t="n">
        <f aca="false">TblConstr[[#This Row],[Forest]]</f>
        <v>0</v>
      </c>
      <c r="D129" s="200" t="n">
        <f aca="false">TblConstr[[#This Row],[Mountain]]</f>
        <v>0</v>
      </c>
      <c r="E129" s="201" t="n">
        <f aca="false">TblConstr[[#This Row],[Hill]]</f>
        <v>0</v>
      </c>
      <c r="F129" s="202" t="n">
        <f aca="false">TblConstr[[#This Row],[Swamp]]</f>
        <v>0</v>
      </c>
      <c r="G129" s="197" t="n">
        <f aca="false">TblConstr[[#This Row],[Cavern]]</f>
        <v>0</v>
      </c>
      <c r="H129" s="198" t="n">
        <f aca="false">TblConstr[[#This Row],[Water]]</f>
        <v>0</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2010777</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520</v>
      </c>
      <c r="Y129" s="69" t="n">
        <f aca="false">TblRezone[[#This Row],[Total acres]]*TblRezone[[#This Row],[Plat/acre]]</f>
        <v>0</v>
      </c>
      <c r="Z129" s="245"/>
      <c r="AA129" s="69" t="n">
        <f aca="false">250+0.6*(TblRezone[[#This Row],[Land]]-250)</f>
        <v>520</v>
      </c>
      <c r="AB129" s="245"/>
      <c r="AC129" s="150" t="n">
        <f aca="false">TblConstr[[#This Row],[Facs DB]]</f>
        <v>0</v>
      </c>
    </row>
    <row r="130" customFormat="false" ht="12.75" hidden="false" customHeight="false" outlineLevel="0" collapsed="false">
      <c r="A130" s="181" t="n">
        <f aca="false">TblConstr[[#This Row],[Land]]</f>
        <v>700</v>
      </c>
      <c r="B130" s="246" t="n">
        <f aca="false">TblConstr[[#This Row],[Plain]]</f>
        <v>0</v>
      </c>
      <c r="C130" s="193" t="n">
        <f aca="false">TblConstr[[#This Row],[Forest]]</f>
        <v>0</v>
      </c>
      <c r="D130" s="200" t="n">
        <f aca="false">TblConstr[[#This Row],[Mountain]]</f>
        <v>0</v>
      </c>
      <c r="E130" s="201" t="n">
        <f aca="false">TblConstr[[#This Row],[Hill]]</f>
        <v>0</v>
      </c>
      <c r="F130" s="202" t="n">
        <f aca="false">TblConstr[[#This Row],[Swamp]]</f>
        <v>0</v>
      </c>
      <c r="G130" s="197" t="n">
        <f aca="false">TblConstr[[#This Row],[Cavern]]</f>
        <v>0</v>
      </c>
      <c r="H130" s="198" t="n">
        <f aca="false">TblConstr[[#This Row],[Water]]</f>
        <v>0</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2039144</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520</v>
      </c>
      <c r="Y130" s="69" t="n">
        <f aca="false">TblRezone[[#This Row],[Total acres]]*TblRezone[[#This Row],[Plat/acre]]</f>
        <v>0</v>
      </c>
      <c r="Z130" s="245"/>
      <c r="AA130" s="69" t="n">
        <f aca="false">250+0.6*(TblRezone[[#This Row],[Land]]-250)</f>
        <v>520</v>
      </c>
      <c r="AB130" s="245"/>
      <c r="AC130" s="150" t="n">
        <f aca="false">TblConstr[[#This Row],[Facs DB]]</f>
        <v>0</v>
      </c>
    </row>
    <row r="131" customFormat="false" ht="12.75" hidden="false" customHeight="false" outlineLevel="0" collapsed="false">
      <c r="A131" s="181" t="n">
        <f aca="false">TblConstr[[#This Row],[Land]]</f>
        <v>700</v>
      </c>
      <c r="B131" s="246" t="n">
        <f aca="false">TblConstr[[#This Row],[Plain]]</f>
        <v>0</v>
      </c>
      <c r="C131" s="193" t="n">
        <f aca="false">TblConstr[[#This Row],[Forest]]</f>
        <v>0</v>
      </c>
      <c r="D131" s="200" t="n">
        <f aca="false">TblConstr[[#This Row],[Mountain]]</f>
        <v>0</v>
      </c>
      <c r="E131" s="201" t="n">
        <f aca="false">TblConstr[[#This Row],[Hill]]</f>
        <v>0</v>
      </c>
      <c r="F131" s="202" t="n">
        <f aca="false">TblConstr[[#This Row],[Swamp]]</f>
        <v>0</v>
      </c>
      <c r="G131" s="197" t="n">
        <f aca="false">TblConstr[[#This Row],[Cavern]]</f>
        <v>0</v>
      </c>
      <c r="H131" s="198" t="n">
        <f aca="false">TblConstr[[#This Row],[Water]]</f>
        <v>0</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2067351</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520</v>
      </c>
      <c r="Y131" s="69" t="n">
        <f aca="false">TblRezone[[#This Row],[Total acres]]*TblRezone[[#This Row],[Plat/acre]]</f>
        <v>0</v>
      </c>
      <c r="Z131" s="245"/>
      <c r="AA131" s="69" t="n">
        <f aca="false">250+0.6*(TblRezone[[#This Row],[Land]]-250)</f>
        <v>520</v>
      </c>
      <c r="AB131" s="245"/>
      <c r="AC131" s="150" t="n">
        <f aca="false">TblConstr[[#This Row],[Facs DB]]</f>
        <v>0</v>
      </c>
    </row>
    <row r="132" customFormat="false" ht="12.75" hidden="false" customHeight="false" outlineLevel="0" collapsed="false">
      <c r="A132" s="181" t="n">
        <f aca="false">TblConstr[[#This Row],[Land]]</f>
        <v>700</v>
      </c>
      <c r="B132" s="246" t="n">
        <f aca="false">TblConstr[[#This Row],[Plain]]</f>
        <v>0</v>
      </c>
      <c r="C132" s="193" t="n">
        <f aca="false">TblConstr[[#This Row],[Forest]]</f>
        <v>0</v>
      </c>
      <c r="D132" s="200" t="n">
        <f aca="false">TblConstr[[#This Row],[Mountain]]</f>
        <v>0</v>
      </c>
      <c r="E132" s="201" t="n">
        <f aca="false">TblConstr[[#This Row],[Hill]]</f>
        <v>0</v>
      </c>
      <c r="F132" s="202" t="n">
        <f aca="false">TblConstr[[#This Row],[Swamp]]</f>
        <v>0</v>
      </c>
      <c r="G132" s="197" t="n">
        <f aca="false">TblConstr[[#This Row],[Cavern]]</f>
        <v>0</v>
      </c>
      <c r="H132" s="198" t="n">
        <f aca="false">TblConstr[[#This Row],[Water]]</f>
        <v>0</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2095399</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520</v>
      </c>
      <c r="Y132" s="69" t="n">
        <f aca="false">TblRezone[[#This Row],[Total acres]]*TblRezone[[#This Row],[Plat/acre]]</f>
        <v>0</v>
      </c>
      <c r="Z132" s="245"/>
      <c r="AA132" s="69" t="n">
        <f aca="false">250+0.6*(TblRezone[[#This Row],[Land]]-250)</f>
        <v>520</v>
      </c>
      <c r="AB132" s="245"/>
      <c r="AC132" s="150" t="n">
        <f aca="false">TblConstr[[#This Row],[Facs DB]]</f>
        <v>0</v>
      </c>
    </row>
    <row r="133" customFormat="false" ht="12.75" hidden="false" customHeight="false" outlineLevel="0" collapsed="false">
      <c r="A133" s="181" t="n">
        <f aca="false">TblConstr[[#This Row],[Land]]</f>
        <v>700</v>
      </c>
      <c r="B133" s="246" t="n">
        <f aca="false">TblConstr[[#This Row],[Plain]]</f>
        <v>0</v>
      </c>
      <c r="C133" s="193" t="n">
        <f aca="false">TblConstr[[#This Row],[Forest]]</f>
        <v>0</v>
      </c>
      <c r="D133" s="200" t="n">
        <f aca="false">TblConstr[[#This Row],[Mountain]]</f>
        <v>0</v>
      </c>
      <c r="E133" s="201" t="n">
        <f aca="false">TblConstr[[#This Row],[Hill]]</f>
        <v>0</v>
      </c>
      <c r="F133" s="202" t="n">
        <f aca="false">TblConstr[[#This Row],[Swamp]]</f>
        <v>0</v>
      </c>
      <c r="G133" s="197" t="n">
        <f aca="false">TblConstr[[#This Row],[Cavern]]</f>
        <v>0</v>
      </c>
      <c r="H133" s="198" t="n">
        <f aca="false">TblConstr[[#This Row],[Water]]</f>
        <v>0</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2123290</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520</v>
      </c>
      <c r="Y133" s="69" t="n">
        <f aca="false">TblRezone[[#This Row],[Total acres]]*TblRezone[[#This Row],[Plat/acre]]</f>
        <v>0</v>
      </c>
      <c r="Z133" s="245"/>
      <c r="AA133" s="69" t="n">
        <f aca="false">250+0.6*(TblRezone[[#This Row],[Land]]-250)</f>
        <v>520</v>
      </c>
      <c r="AB133" s="245"/>
      <c r="AC133" s="150" t="n">
        <f aca="false">TblConstr[[#This Row],[Facs DB]]</f>
        <v>0</v>
      </c>
    </row>
    <row r="134" customFormat="false" ht="12.75" hidden="false" customHeight="false" outlineLevel="0" collapsed="false">
      <c r="A134" s="181" t="n">
        <f aca="false">TblConstr[[#This Row],[Land]]</f>
        <v>700</v>
      </c>
      <c r="B134" s="246" t="n">
        <f aca="false">TblConstr[[#This Row],[Plain]]</f>
        <v>0</v>
      </c>
      <c r="C134" s="193" t="n">
        <f aca="false">TblConstr[[#This Row],[Forest]]</f>
        <v>0</v>
      </c>
      <c r="D134" s="200" t="n">
        <f aca="false">TblConstr[[#This Row],[Mountain]]</f>
        <v>0</v>
      </c>
      <c r="E134" s="201" t="n">
        <f aca="false">TblConstr[[#This Row],[Hill]]</f>
        <v>0</v>
      </c>
      <c r="F134" s="202" t="n">
        <f aca="false">TblConstr[[#This Row],[Swamp]]</f>
        <v>0</v>
      </c>
      <c r="G134" s="197" t="n">
        <f aca="false">TblConstr[[#This Row],[Cavern]]</f>
        <v>0</v>
      </c>
      <c r="H134" s="198" t="n">
        <f aca="false">TblConstr[[#This Row],[Water]]</f>
        <v>0</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2151028</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520</v>
      </c>
      <c r="Y134" s="69" t="n">
        <f aca="false">TblRezone[[#This Row],[Total acres]]*TblRezone[[#This Row],[Plat/acre]]</f>
        <v>0</v>
      </c>
      <c r="Z134" s="245"/>
      <c r="AA134" s="69" t="n">
        <f aca="false">250+0.6*(TblRezone[[#This Row],[Land]]-250)</f>
        <v>520</v>
      </c>
      <c r="AB134" s="245"/>
      <c r="AC134" s="150" t="n">
        <f aca="false">TblConstr[[#This Row],[Facs DB]]</f>
        <v>0</v>
      </c>
    </row>
    <row r="135" customFormat="false" ht="12.75" hidden="false" customHeight="false" outlineLevel="0" collapsed="false">
      <c r="A135" s="181" t="n">
        <f aca="false">TblConstr[[#This Row],[Land]]</f>
        <v>700</v>
      </c>
      <c r="B135" s="246" t="n">
        <f aca="false">TblConstr[[#This Row],[Plain]]</f>
        <v>0</v>
      </c>
      <c r="C135" s="193" t="n">
        <f aca="false">TblConstr[[#This Row],[Forest]]</f>
        <v>0</v>
      </c>
      <c r="D135" s="200" t="n">
        <f aca="false">TblConstr[[#This Row],[Mountain]]</f>
        <v>0</v>
      </c>
      <c r="E135" s="201" t="n">
        <f aca="false">TblConstr[[#This Row],[Hill]]</f>
        <v>0</v>
      </c>
      <c r="F135" s="202" t="n">
        <f aca="false">TblConstr[[#This Row],[Swamp]]</f>
        <v>0</v>
      </c>
      <c r="G135" s="197" t="n">
        <f aca="false">TblConstr[[#This Row],[Cavern]]</f>
        <v>0</v>
      </c>
      <c r="H135" s="198" t="n">
        <f aca="false">TblConstr[[#This Row],[Water]]</f>
        <v>0</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2178612</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520</v>
      </c>
      <c r="Y135" s="69" t="n">
        <f aca="false">TblRezone[[#This Row],[Total acres]]*TblRezone[[#This Row],[Plat/acre]]</f>
        <v>0</v>
      </c>
      <c r="Z135" s="245"/>
      <c r="AA135" s="69" t="n">
        <f aca="false">250+0.6*(TblRezone[[#This Row],[Land]]-250)</f>
        <v>520</v>
      </c>
      <c r="AB135" s="245"/>
      <c r="AC135" s="150" t="n">
        <f aca="false">TblConstr[[#This Row],[Facs DB]]</f>
        <v>0</v>
      </c>
    </row>
    <row r="136" customFormat="false" ht="12.75" hidden="false" customHeight="false" outlineLevel="0" collapsed="false">
      <c r="A136" s="181" t="n">
        <f aca="false">TblConstr[[#This Row],[Land]]</f>
        <v>700</v>
      </c>
      <c r="B136" s="246" t="n">
        <f aca="false">TblConstr[[#This Row],[Plain]]</f>
        <v>0</v>
      </c>
      <c r="C136" s="193" t="n">
        <f aca="false">TblConstr[[#This Row],[Forest]]</f>
        <v>0</v>
      </c>
      <c r="D136" s="200" t="n">
        <f aca="false">TblConstr[[#This Row],[Mountain]]</f>
        <v>0</v>
      </c>
      <c r="E136" s="201" t="n">
        <f aca="false">TblConstr[[#This Row],[Hill]]</f>
        <v>0</v>
      </c>
      <c r="F136" s="202" t="n">
        <f aca="false">TblConstr[[#This Row],[Swamp]]</f>
        <v>0</v>
      </c>
      <c r="G136" s="197" t="n">
        <f aca="false">TblConstr[[#This Row],[Cavern]]</f>
        <v>0</v>
      </c>
      <c r="H136" s="198" t="n">
        <f aca="false">TblConstr[[#This Row],[Water]]</f>
        <v>0</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2206044</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520</v>
      </c>
      <c r="Y136" s="69" t="n">
        <f aca="false">TblRezone[[#This Row],[Total acres]]*TblRezone[[#This Row],[Plat/acre]]</f>
        <v>0</v>
      </c>
      <c r="Z136" s="245"/>
      <c r="AA136" s="69" t="n">
        <f aca="false">250+0.6*(TblRezone[[#This Row],[Land]]-250)</f>
        <v>520</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8">
      <formula>ROW()-3=$A$1270</formula>
    </cfRule>
    <cfRule type="expression" priority="3" aboveAverage="0" equalAverage="0" bottom="0" percent="0" rank="0" text="" dxfId="79">
      <formula>OR(AND(ROW()-3=$A$1270,A4="Ok",XFD4&lt;&gt;0),A4="Nope")</formula>
    </cfRule>
    <cfRule type="expression" priority="4" aboveAverage="0" equalAverage="0" bottom="0" percent="0" rank="0" text="" dxfId="80">
      <formula>$J4=73</formula>
    </cfRule>
    <cfRule type="expression" priority="5" aboveAverage="0" equalAverage="0" bottom="0" percent="0" rank="0" text="" dxfId="81">
      <formula>ROUND(($J4-1)/12,0)=INT($J4-1)/12</formula>
    </cfRule>
  </conditionalFormatting>
  <conditionalFormatting sqref="B4:H136">
    <cfRule type="cellIs" priority="6" operator="lessThan" aboveAverage="0" equalAverage="0" bottom="0" percent="0" rank="0" text="" dxfId="82">
      <formula>0</formula>
    </cfRule>
  </conditionalFormatting>
  <conditionalFormatting sqref="T76">
    <cfRule type="expression" priority="7" aboveAverage="0" equalAverage="0" bottom="0" percent="0" rank="0" text="" dxfId="83">
      <formula>S76=0</formula>
    </cfRule>
  </conditionalFormatting>
  <conditionalFormatting sqref="A1271:AC60158 A137:AC1268">
    <cfRule type="expression" priority="8" aboveAverage="0" equalAverage="0" bottom="0" percent="0" rank="0" text="" dxfId="84">
      <formula>ROW(-2=#ref!)</formula>
    </cfRule>
  </conditionalFormatting>
  <conditionalFormatting sqref="A1269:AC1270">
    <cfRule type="expression" priority="9" aboveAverage="0" equalAverage="0" bottom="0" percent="0" rank="0" text="" dxfId="85">
      <formula>$A$1270&gt;144</formula>
    </cfRule>
  </conditionalFormatting>
  <conditionalFormatting sqref="A1:AC3">
    <cfRule type="expression" priority="10" aboveAverage="0" equalAverage="0" bottom="0" percent="0" rank="0" text="" dxfId="86">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false" showOutlineSymbols="true" defaultGridColor="true" view="normal" topLeftCell="AN1" colorId="64" zoomScale="85" zoomScaleNormal="85" zoomScalePageLayoutView="100" workbookViewId="0">
      <pane xSplit="0" ySplit="3" topLeftCell="A4" activePane="bottomLeft" state="frozen"/>
      <selection pane="topLeft" activeCell="AN1" activeCellId="0" sqref="AN1"/>
      <selection pane="bottomLeft" activeCell="AW5" activeCellId="0" sqref="AW5"/>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0.1</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0.1</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0.1</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32177</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0.1</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38394</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0.1</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44502.5</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0.1</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53587</v>
      </c>
      <c r="AQ15" s="69" t="n">
        <f aca="false">INDEX(TblProd[[#Headers],[Lumber]]:TblProd[[#This Row],[Ore]],COUNTA(TblProd[[#Headers],[Lumber]]:TblProd[[#This Row],[Lumber]]),MATCH(Military!$AQ$2,TblProd[[#Headers],[Lumber]:[Ore]],0))</f>
        <v>-357</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0.1</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39408</v>
      </c>
      <c r="AQ16" s="69" t="n">
        <f aca="false">INDEX(TblProd[[#Headers],[Lumber]]:TblProd[[#This Row],[Ore]],COUNTA(TblProd[[#Headers],[Lumber]]:TblProd[[#This Row],[Lumber]]),MATCH(Military!$AQ$2,TblProd[[#Headers],[Lumber]:[Ore]],0))</f>
        <v>-357</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0.1</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49346</v>
      </c>
      <c r="AQ17" s="69" t="n">
        <f aca="false">INDEX(TblProd[[#Headers],[Lumber]]:TblProd[[#This Row],[Ore]],COUNTA(TblProd[[#Headers],[Lumber]]:TblProd[[#This Row],[Lumber]]),MATCH(Military!$AQ$2,TblProd[[#Headers],[Lumber]:[Ore]],0))</f>
        <v>-357</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0.172747252747253</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0.1</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59563</v>
      </c>
      <c r="AQ18" s="69" t="n">
        <f aca="false">INDEX(TblProd[[#Headers],[Lumber]]:TblProd[[#This Row],[Ore]],COUNTA(TblProd[[#Headers],[Lumber]]:TblProd[[#This Row],[Lumber]]),MATCH(Military!$AQ$2,TblProd[[#Headers],[Lumber]:[Ore]],0))</f>
        <v>-357</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0.172096908939014</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0.1</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70075</v>
      </c>
      <c r="AQ19" s="69" t="n">
        <f aca="false">INDEX(TblProd[[#Headers],[Lumber]]:TblProd[[#This Row],[Ore]],COUNTA(TblProd[[#Headers],[Lumber]]:TblProd[[#This Row],[Lumber]]),MATCH(Military!$AQ$2,TblProd[[#Headers],[Lumber]:[Ore]],0))</f>
        <v>-357</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0.171496625645097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0.1</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80898</v>
      </c>
      <c r="AQ20" s="69" t="n">
        <f aca="false">INDEX(TblProd[[#Headers],[Lumber]]:TblProd[[#This Row],[Ore]],COUNTA(TblProd[[#Headers],[Lumber]]:TblProd[[#This Row],[Lumber]]),MATCH(Military!$AQ$2,TblProd[[#Headers],[Lumber]:[Ore]],0))</f>
        <v>-357</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173</v>
      </c>
      <c r="C21" s="150" t="n">
        <f aca="false">TblPop[[#This Row],[Military%]]</f>
        <v>0.0731501057082453</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0.1</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173</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21929</v>
      </c>
      <c r="AQ21" s="69" t="n">
        <f aca="false">INDEX(TblProd[[#Headers],[Lumber]]:TblProd[[#This Row],[Ore]],COUNTA(TblProd[[#Headers],[Lumber]]:TblProd[[#This Row],[Lumber]]),MATCH(Military!$AQ$2,TblProd[[#Headers],[Lumber]:[Ore]],0))</f>
        <v>-357</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173</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151</v>
      </c>
      <c r="C22" s="150" t="n">
        <f aca="false">TblPop[[#This Row],[Military%]]</f>
        <v>0.0615572768039136</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0</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151</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23317</v>
      </c>
      <c r="AQ22" s="69" t="n">
        <f aca="false">INDEX(TblProd[[#Headers],[Lumber]]:TblProd[[#This Row],[Ore]],COUNTA(TblProd[[#Headers],[Lumber]]:TblProd[[#This Row],[Lumber]]),MATCH(Military!$AQ$2,TblProd[[#Headers],[Lumber]:[Ore]],0))</f>
        <v>-357</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151</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126</v>
      </c>
      <c r="C23" s="150" t="n">
        <f aca="false">TblPop[[#This Row],[Military%]]</f>
        <v>0.049547778214707</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0</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126</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24112</v>
      </c>
      <c r="AQ23" s="69" t="n">
        <f aca="false">INDEX(TblProd[[#Headers],[Lumber]]:TblProd[[#This Row],[Ore]],COUNTA(TblProd[[#Headers],[Lumber]]:TblProd[[#This Row],[Lumber]]),MATCH(Military!$AQ$2,TblProd[[#Headers],[Lumber]:[Ore]],0))</f>
        <v>-357</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126</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102</v>
      </c>
      <c r="C24" s="150" t="n">
        <f aca="false">TblPop[[#This Row],[Military%]]</f>
        <v>0.0386363636363636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0</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102</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23628</v>
      </c>
      <c r="AQ24" s="69" t="n">
        <f aca="false">INDEX(TblProd[[#Headers],[Lumber]]:TblProd[[#This Row],[Ore]],COUNTA(TblProd[[#Headers],[Lumber]]:TblProd[[#This Row],[Lumber]]),MATCH(Military!$AQ$2,TblProd[[#Headers],[Lumber]:[Ore]],0))</f>
        <v>-357</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102</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115</v>
      </c>
      <c r="C25" s="150" t="n">
        <f aca="false">TblPop[[#This Row],[Military%]]</f>
        <v>0.0413669064748201</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0</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115</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30585</v>
      </c>
      <c r="AQ25" s="69" t="n">
        <f aca="false">INDEX(TblProd[[#Headers],[Lumber]]:TblProd[[#This Row],[Ore]],COUNTA(TblProd[[#Headers],[Lumber]]:TblProd[[#This Row],[Lumber]]),MATCH(Military!$AQ$2,TblProd[[#Headers],[Lumber]:[Ore]],0))</f>
        <v>-357</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115</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134</v>
      </c>
      <c r="C26" s="150" t="n">
        <f aca="false">TblPop[[#This Row],[Military%]]</f>
        <v>0.0457181849198226</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0</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134</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38772</v>
      </c>
      <c r="AQ26" s="69" t="n">
        <f aca="false">INDEX(TblProd[[#Headers],[Lumber]]:TblProd[[#This Row],[Ore]],COUNTA(TblProd[[#Headers],[Lumber]]:TblProd[[#This Row],[Lumber]]),MATCH(Military!$AQ$2,TblProd[[#Headers],[Lumber]:[Ore]],0))</f>
        <v>-357</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134</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122</v>
      </c>
      <c r="C27" s="150" t="n">
        <f aca="false">TblPop[[#This Row],[Military%]]</f>
        <v>0.039895356442119</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0</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122</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41357</v>
      </c>
      <c r="AQ27" s="69" t="n">
        <f aca="false">INDEX(TblProd[[#Headers],[Lumber]]:TblProd[[#This Row],[Ore]],COUNTA(TblProd[[#Headers],[Lumber]]:TblProd[[#This Row],[Lumber]]),MATCH(Military!$AQ$2,TblProd[[#Headers],[Lumber]:[Ore]],0))</f>
        <v>-357</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122</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151</v>
      </c>
      <c r="C28" s="150" t="n">
        <f aca="false">TblPop[[#This Row],[Military%]]</f>
        <v>0.0461632528278814</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0</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151</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54909</v>
      </c>
      <c r="AQ28" s="69" t="n">
        <f aca="false">INDEX(TblProd[[#Headers],[Lumber]]:TblProd[[#This Row],[Ore]],COUNTA(TblProd[[#Headers],[Lumber]]:TblProd[[#This Row],[Lumber]]),MATCH(Military!$AQ$2,TblProd[[#Headers],[Lumber]:[Ore]],0))</f>
        <v>-357</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151</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182</v>
      </c>
      <c r="C29" s="150" t="n">
        <f aca="false">TblPop[[#This Row],[Military%]]</f>
        <v>0.0520446096654275</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0</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182</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68958</v>
      </c>
      <c r="AQ29" s="69" t="n">
        <f aca="false">INDEX(TblProd[[#Headers],[Lumber]]:TblProd[[#This Row],[Ore]],COUNTA(TblProd[[#Headers],[Lumber]]:TblProd[[#This Row],[Lumber]]),MATCH(Military!$AQ$2,TblProd[[#Headers],[Lumber]:[Ore]],0))</f>
        <v>-357</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182</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215</v>
      </c>
      <c r="C30" s="150" t="n">
        <f aca="false">TblPop[[#This Row],[Military%]]</f>
        <v>0.0575173889780631</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0</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215</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85158</v>
      </c>
      <c r="AQ30" s="69" t="n">
        <f aca="false">INDEX(TblProd[[#Headers],[Lumber]]:TblProd[[#This Row],[Ore]],COUNTA(TblProd[[#Headers],[Lumber]]:TblProd[[#This Row],[Lumber]]),MATCH(Military!$AQ$2,TblProd[[#Headers],[Lumber]:[Ore]],0))</f>
        <v>-357</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215</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250</v>
      </c>
      <c r="C31" s="150" t="n">
        <f aca="false">TblPop[[#This Row],[Military%]]</f>
        <v>0.0625938908362544</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0</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250</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101920</v>
      </c>
      <c r="AQ31" s="69" t="n">
        <f aca="false">INDEX(TblProd[[#Headers],[Lumber]]:TblProd[[#This Row],[Ore]],COUNTA(TblProd[[#Headers],[Lumber]]:TblProd[[#This Row],[Lumber]]),MATCH(Military!$AQ$2,TblProd[[#Headers],[Lumber]:[Ore]],0))</f>
        <v>-357</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250</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-41</v>
      </c>
      <c r="C32" s="150" t="n">
        <f aca="false">TblPop[[#This Row],[Military%]]</f>
        <v>-0.010411376333164</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0</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-41</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40162</v>
      </c>
      <c r="AQ32" s="69" t="n">
        <f aca="false">INDEX(TblProd[[#Headers],[Lumber]]:TblProd[[#This Row],[Ore]],COUNTA(TblProd[[#Headers],[Lumber]]:TblProd[[#This Row],[Lumber]]),MATCH(Military!$AQ$2,TblProd[[#Headers],[Lumber]:[Ore]],0))</f>
        <v>-357</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-41</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-46</v>
      </c>
      <c r="C33" s="150" t="n">
        <f aca="false">TblPop[[#This Row],[Military%]]</f>
        <v>-0.0110550348473925</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0</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-46</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21126</v>
      </c>
      <c r="AQ33" s="69" t="n">
        <f aca="false">INDEX(TblProd[[#Headers],[Lumber]]:TblProd[[#This Row],[Ore]],COUNTA(TblProd[[#Headers],[Lumber]]:TblProd[[#This Row],[Lumber]]),MATCH(Military!$AQ$2,TblProd[[#Headers],[Lumber]:[Ore]],0))</f>
        <v>-357</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-46</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-54</v>
      </c>
      <c r="C34" s="150" t="n">
        <f aca="false">TblPop[[#This Row],[Military%]]</f>
        <v>-0.0122978820314279</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0</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-54</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24436</v>
      </c>
      <c r="AQ34" s="69" t="n">
        <f aca="false">INDEX(TblProd[[#Headers],[Lumber]]:TblProd[[#This Row],[Ore]],COUNTA(TblProd[[#Headers],[Lumber]]:TblProd[[#This Row],[Lumber]]),MATCH(Military!$AQ$2,TblProd[[#Headers],[Lumber]:[Ore]],0))</f>
        <v>-357</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-54</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-60</v>
      </c>
      <c r="C35" s="150" t="n">
        <f aca="false">TblPop[[#This Row],[Military%]]</f>
        <v>-0.0129477772982305</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0</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-60</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27426</v>
      </c>
      <c r="AQ35" s="69" t="n">
        <f aca="false">INDEX(TblProd[[#Headers],[Lumber]]:TblProd[[#This Row],[Ore]],COUNTA(TblProd[[#Headers],[Lumber]]:TblProd[[#This Row],[Lumber]]),MATCH(Military!$AQ$2,TblProd[[#Headers],[Lumber]:[Ore]],0))</f>
        <v>-357</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-60</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-63</v>
      </c>
      <c r="C36" s="150" t="n">
        <f aca="false">TblPop[[#This Row],[Military%]]</f>
        <v>-0.0128834355828221</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0</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-63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30523</v>
      </c>
      <c r="AQ36" s="69" t="n">
        <f aca="false">INDEX(TblProd[[#Headers],[Lumber]]:TblProd[[#This Row],[Ore]],COUNTA(TblProd[[#Headers],[Lumber]]:TblProd[[#This Row],[Lumber]]),MATCH(Military!$AQ$2,TblProd[[#Headers],[Lumber]:[Ore]],0))</f>
        <v>-357</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-63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-68</v>
      </c>
      <c r="C37" s="150" t="n">
        <f aca="false">TblPop[[#This Row],[Military%]]</f>
        <v>-0.013183404420318</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0</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-68</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36528</v>
      </c>
      <c r="AQ37" s="69" t="n">
        <f aca="false">INDEX(TblProd[[#Headers],[Lumber]]:TblProd[[#This Row],[Ore]],COUNTA(TblProd[[#Headers],[Lumber]]:TblProd[[#This Row],[Lumber]]),MATCH(Military!$AQ$2,TblProd[[#Headers],[Lumber]:[Ore]],0))</f>
        <v>-357</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-68</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-76</v>
      </c>
      <c r="C38" s="150" t="n">
        <f aca="false">TblPop[[#This Row],[Military%]]</f>
        <v>-0.013975726369989</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0</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-76</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42167</v>
      </c>
      <c r="AQ38" s="69" t="n">
        <f aca="false">INDEX(TblProd[[#Headers],[Lumber]]:TblProd[[#This Row],[Ore]],COUNTA(TblProd[[#Headers],[Lumber]]:TblProd[[#This Row],[Lumber]]),MATCH(Military!$AQ$2,TblProd[[#Headers],[Lumber]:[Ore]],0))</f>
        <v>-357</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-76</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-86</v>
      </c>
      <c r="C39" s="150" t="n">
        <f aca="false">TblPop[[#This Row],[Military%]]</f>
        <v>-0.0150113457846046</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0</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-86</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43805</v>
      </c>
      <c r="AQ39" s="69" t="n">
        <f aca="false">INDEX(TblProd[[#Headers],[Lumber]]:TblProd[[#This Row],[Ore]],COUNTA(TblProd[[#Headers],[Lumber]]:TblProd[[#This Row],[Lumber]]),MATCH(Military!$AQ$2,TblProd[[#Headers],[Lumber]:[Ore]],0))</f>
        <v>-357</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-86</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-93</v>
      </c>
      <c r="C40" s="150" t="n">
        <f aca="false">TblPop[[#This Row],[Military%]]</f>
        <v>-0.0153999006458023</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0</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-93</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50577</v>
      </c>
      <c r="AQ40" s="69" t="n">
        <f aca="false">INDEX(TblProd[[#Headers],[Lumber]]:TblProd[[#This Row],[Ore]],COUNTA(TblProd[[#Headers],[Lumber]]:TblProd[[#This Row],[Lumber]]),MATCH(Military!$AQ$2,TblProd[[#Headers],[Lumber]:[Ore]],0))</f>
        <v>-357</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-93</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-97</v>
      </c>
      <c r="C41" s="150" t="n">
        <f aca="false">TblPop[[#This Row],[Military%]]</f>
        <v>-0.0152276295133438</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0</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-97</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58290</v>
      </c>
      <c r="AQ41" s="69" t="n">
        <f aca="false">INDEX(TblProd[[#Headers],[Lumber]]:TblProd[[#This Row],[Ore]],COUNTA(TblProd[[#Headers],[Lumber]]:TblProd[[#This Row],[Lumber]]),MATCH(Military!$AQ$2,TblProd[[#Headers],[Lumber]:[Ore]],0))</f>
        <v>-357</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-97</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-102</v>
      </c>
      <c r="C42" s="150" t="n">
        <f aca="false">TblPop[[#This Row],[Military%]]</f>
        <v>-0.0152375261428145</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0</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-102</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64780</v>
      </c>
      <c r="AQ42" s="69" t="n">
        <f aca="false">INDEX(TblProd[[#Headers],[Lumber]]:TblProd[[#This Row],[Ore]],COUNTA(TblProd[[#Headers],[Lumber]]:TblProd[[#This Row],[Lumber]]),MATCH(Military!$AQ$2,TblProd[[#Headers],[Lumber]:[Ore]],0))</f>
        <v>-357</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-102</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-99</v>
      </c>
      <c r="C43" s="150" t="n">
        <f aca="false">TblPop[[#This Row],[Military%]]</f>
        <v>-0.0147783251231527</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0</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-99</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72799</v>
      </c>
      <c r="AQ43" s="69" t="n">
        <f aca="false">INDEX(TblProd[[#Headers],[Lumber]]:TblProd[[#This Row],[Ore]],COUNTA(TblProd[[#Headers],[Lumber]]:TblProd[[#This Row],[Lumber]]),MATCH(Military!$AQ$2,TblProd[[#Headers],[Lumber]:[Ore]],0))</f>
        <v>-357</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-99</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-97</v>
      </c>
      <c r="C44" s="150" t="n">
        <f aca="false">TblPop[[#This Row],[Military%]]</f>
        <v>-0.0137608171371826</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0</v>
      </c>
      <c r="V44" s="274" t="e">
        <f aca="false">TblMili[[#This Row],[Non Draft]] * (1 + TblMili[[#This Row],[Mods_Def]])</f>
        <v>#VALUE!</v>
      </c>
      <c r="W44" s="285" t="e">
        <f aca="false">TblMili[[#This Row],[Draft]] * (1 + TblMili[[#This Row],[Mods_Def]])</f>
        <v>#VALUE!</v>
      </c>
      <c r="X44" s="285" t="n">
        <f aca="false">TblConstr[[#This Row],[Land]]</f>
        <v>501</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-97</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41346</v>
      </c>
      <c r="AQ44" s="69" t="n">
        <f aca="false">INDEX(TblProd[[#Headers],[Lumber]]:TblProd[[#This Row],[Ore]],COUNTA(TblProd[[#Headers],[Lumber]]:TblProd[[#This Row],[Lumber]]),MATCH(Military!$AQ$2,TblProd[[#Headers],[Lumber]:[Ore]],0))</f>
        <v>-357</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-97</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-98</v>
      </c>
      <c r="C45" s="150" t="n">
        <f aca="false">TblPop[[#This Row],[Military%]]</f>
        <v>-0.0132200188857413</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0</v>
      </c>
      <c r="V45" s="274" t="e">
        <f aca="false">TblMili[[#This Row],[Non Draft]] * (1 + TblMili[[#This Row],[Mods_Def]])</f>
        <v>#VALUE!</v>
      </c>
      <c r="W45" s="285" t="e">
        <f aca="false">TblMili[[#This Row],[Draft]] * (1 + TblMili[[#This Row],[Mods_Def]])</f>
        <v>#VALUE!</v>
      </c>
      <c r="X45" s="285" t="n">
        <f aca="false">TblConstr[[#This Row],[Land]]</f>
        <v>510</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-98</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47794</v>
      </c>
      <c r="AQ45" s="69" t="n">
        <f aca="false">INDEX(TblProd[[#Headers],[Lumber]]:TblProd[[#This Row],[Ore]],COUNTA(TblProd[[#Headers],[Lumber]]:TblProd[[#This Row],[Lumber]]),MATCH(Military!$AQ$2,TblProd[[#Headers],[Lumber]:[Ore]],0))</f>
        <v>-357</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-98</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-71</v>
      </c>
      <c r="C46" s="150" t="n">
        <f aca="false">TblPop[[#This Row],[Military%]]</f>
        <v>-0.00907812300217364</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0</v>
      </c>
      <c r="V46" s="274" t="e">
        <f aca="false">TblMili[[#This Row],[Non Draft]] * (1 + TblMili[[#This Row],[Mods_Def]])</f>
        <v>#VALUE!</v>
      </c>
      <c r="W46" s="285" t="e">
        <f aca="false">TblMili[[#This Row],[Draft]] * (1 + TblMili[[#This Row],[Mods_Def]])</f>
        <v>#VALUE!</v>
      </c>
      <c r="X46" s="285" t="n">
        <f aca="false">TblConstr[[#This Row],[Land]]</f>
        <v>520</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-71</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62940</v>
      </c>
      <c r="AQ46" s="69" t="n">
        <f aca="false">INDEX(TblProd[[#Headers],[Lumber]]:TblProd[[#This Row],[Ore]],COUNTA(TblProd[[#Headers],[Lumber]]:TblProd[[#This Row],[Lumber]]),MATCH(Military!$AQ$2,TblProd[[#Headers],[Lumber]:[Ore]],0))</f>
        <v>-357</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-71</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8</v>
      </c>
      <c r="C47" s="150" t="n">
        <f aca="false">TblPop[[#This Row],[Military%]]</f>
        <v>0.000964203929131011</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0</v>
      </c>
      <c r="V47" s="274" t="e">
        <f aca="false">TblMili[[#This Row],[Non Draft]] * (1 + TblMili[[#This Row],[Mods_Def]])</f>
        <v>#VALUE!</v>
      </c>
      <c r="W47" s="285" t="e">
        <f aca="false">TblMili[[#This Row],[Draft]] * (1 + TblMili[[#This Row],[Mods_Def]])</f>
        <v>#VALUE!</v>
      </c>
      <c r="X47" s="285" t="n">
        <f aca="false">TblConstr[[#This Row],[Land]]</f>
        <v>530</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8</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95998</v>
      </c>
      <c r="AQ47" s="69" t="n">
        <f aca="false">INDEX(TblProd[[#Headers],[Lumber]]:TblProd[[#This Row],[Ore]],COUNTA(TblProd[[#Headers],[Lumber]]:TblProd[[#This Row],[Lumber]]),MATCH(Military!$AQ$2,TblProd[[#Headers],[Lumber]:[Ore]],0))</f>
        <v>-357</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8</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91</v>
      </c>
      <c r="C48" s="150" t="n">
        <f aca="false">TblPop[[#This Row],[Military%]]</f>
        <v>0.0105691056910569</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0</v>
      </c>
      <c r="V48" s="274" t="e">
        <f aca="false">TblMili[[#This Row],[Non Draft]] * (1 + TblMili[[#This Row],[Mods_Def]])</f>
        <v>#VALUE!</v>
      </c>
      <c r="W48" s="285" t="e">
        <f aca="false">TblMili[[#This Row],[Draft]] * (1 + TblMili[[#This Row],[Mods_Def]])</f>
        <v>#VALUE!</v>
      </c>
      <c r="X48" s="285" t="n">
        <f aca="false">TblConstr[[#This Row],[Land]]</f>
        <v>540</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91</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130185</v>
      </c>
      <c r="AQ48" s="69" t="n">
        <f aca="false">INDEX(TblProd[[#Headers],[Lumber]]:TblProd[[#This Row],[Ore]],COUNTA(TblProd[[#Headers],[Lumber]]:TblProd[[#This Row],[Lumber]]),MATCH(Military!$AQ$2,TblProd[[#Headers],[Lumber]:[Ore]],0))</f>
        <v>-357</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91</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176</v>
      </c>
      <c r="C49" s="150" t="n">
        <f aca="false">TblPop[[#This Row],[Military%]]</f>
        <v>0.0200524097071892</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0</v>
      </c>
      <c r="V49" s="274" t="e">
        <f aca="false">TblMili[[#This Row],[Non Draft]] * (1 + TblMili[[#This Row],[Mods_Def]])</f>
        <v>#VALUE!</v>
      </c>
      <c r="W49" s="285" t="e">
        <f aca="false">TblMili[[#This Row],[Draft]] * (1 + TblMili[[#This Row],[Mods_Def]])</f>
        <v>#VALUE!</v>
      </c>
      <c r="X49" s="285" t="n">
        <f aca="false">TblConstr[[#This Row],[Land]]</f>
        <v>551</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176</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164221</v>
      </c>
      <c r="AQ49" s="69" t="n">
        <f aca="false">INDEX(TblProd[[#Headers],[Lumber]]:TblProd[[#This Row],[Ore]],COUNTA(TblProd[[#Headers],[Lumber]]:TblProd[[#This Row],[Lumber]]),MATCH(Military!$AQ$2,TblProd[[#Headers],[Lumber]:[Ore]],0))</f>
        <v>-357</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176</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262</v>
      </c>
      <c r="C50" s="150" t="n">
        <f aca="false">TblPop[[#This Row],[Military%]]</f>
        <v>0.0292410714285714</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0</v>
      </c>
      <c r="V50" s="274" t="e">
        <f aca="false">TblMili[[#This Row],[Non Draft]] * (1 + TblMili[[#This Row],[Mods_Def]])</f>
        <v>#VALUE!</v>
      </c>
      <c r="W50" s="285" t="e">
        <f aca="false">TblMili[[#This Row],[Draft]] * (1 + TblMili[[#This Row],[Mods_Def]])</f>
        <v>#VALUE!</v>
      </c>
      <c r="X50" s="285" t="n">
        <f aca="false">TblConstr[[#This Row],[Land]]</f>
        <v>563</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262</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197828</v>
      </c>
      <c r="AQ50" s="69" t="n">
        <f aca="false">INDEX(TblProd[[#Headers],[Lumber]]:TblProd[[#This Row],[Ore]],COUNTA(TblProd[[#Headers],[Lumber]]:TblProd[[#This Row],[Lumber]]),MATCH(Military!$AQ$2,TblProd[[#Headers],[Lumber]:[Ore]],0))</f>
        <v>-357</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262</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349</v>
      </c>
      <c r="C51" s="150" t="n">
        <f aca="false">TblPop[[#This Row],[Military%]]</f>
        <v>0.0381045965716781</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0</v>
      </c>
      <c r="V51" s="274" t="e">
        <f aca="false">TblMili[[#This Row],[Non Draft]] * (1 + TblMili[[#This Row],[Mods_Def]])</f>
        <v>#VALUE!</v>
      </c>
      <c r="W51" s="285" t="e">
        <f aca="false">TblMili[[#This Row],[Draft]] * (1 + TblMili[[#This Row],[Mods_Def]])</f>
        <v>#VALUE!</v>
      </c>
      <c r="X51" s="285" t="n">
        <f aca="false">TblConstr[[#This Row],[Land]]</f>
        <v>596</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349</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256520</v>
      </c>
      <c r="AQ51" s="69" t="n">
        <f aca="false">INDEX(TblProd[[#Headers],[Lumber]]:TblProd[[#This Row],[Ore]],COUNTA(TblProd[[#Headers],[Lumber]]:TblProd[[#This Row],[Lumber]]),MATCH(Military!$AQ$2,TblProd[[#Headers],[Lumber]:[Ore]],0))</f>
        <v>-357</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349</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437</v>
      </c>
      <c r="C52" s="150" t="n">
        <f aca="false">TblPop[[#This Row],[Military%]]</f>
        <v>0.0451772976325855</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0</v>
      </c>
      <c r="V52" s="274" t="e">
        <f aca="false">TblMili[[#This Row],[Non Draft]] * (1 + TblMili[[#This Row],[Mods_Def]])</f>
        <v>#VALUE!</v>
      </c>
      <c r="W52" s="285" t="e">
        <f aca="false">TblMili[[#This Row],[Draft]] * (1 + TblMili[[#This Row],[Mods_Def]])</f>
        <v>#VALUE!</v>
      </c>
      <c r="X52" s="285" t="n">
        <f aca="false">TblConstr[[#This Row],[Land]]</f>
        <v>629</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437</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279495</v>
      </c>
      <c r="AQ52" s="69" t="n">
        <f aca="false">INDEX(TblProd[[#Headers],[Lumber]]:TblProd[[#This Row],[Ore]],COUNTA(TblProd[[#Headers],[Lumber]]:TblProd[[#This Row],[Lumber]]),MATCH(Military!$AQ$2,TblProd[[#Headers],[Lumber]:[Ore]],0))</f>
        <v>-357</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437</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529</v>
      </c>
      <c r="C53" s="150" t="n">
        <f aca="false">TblPop[[#This Row],[Military%]]</f>
        <v>0.0518373346398824</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0</v>
      </c>
      <c r="V53" s="274" t="e">
        <f aca="false">TblMili[[#This Row],[Non Draft]] * (1 + TblMili[[#This Row],[Mods_Def]])</f>
        <v>#VALUE!</v>
      </c>
      <c r="W53" s="285" t="e">
        <f aca="false">TblMili[[#This Row],[Draft]] * (1 + TblMili[[#This Row],[Mods_Def]])</f>
        <v>#VALUE!</v>
      </c>
      <c r="X53" s="285" t="n">
        <f aca="false">TblConstr[[#This Row],[Land]]</f>
        <v>642</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529</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312829</v>
      </c>
      <c r="AQ53" s="69" t="n">
        <f aca="false">INDEX(TblProd[[#Headers],[Lumber]]:TblProd[[#This Row],[Ore]],COUNTA(TblProd[[#Headers],[Lumber]]:TblProd[[#This Row],[Lumber]]),MATCH(Military!$AQ$2,TblProd[[#Headers],[Lumber]:[Ore]],0))</f>
        <v>-357</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529</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626</v>
      </c>
      <c r="C54" s="150" t="n">
        <f aca="false">TblPop[[#This Row],[Military%]]</f>
        <v>0.0599616858237548</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0</v>
      </c>
      <c r="V54" s="274" t="e">
        <f aca="false">TblMili[[#This Row],[Non Draft]] * (1 + TblMili[[#This Row],[Mods_Def]])</f>
        <v>#VALUE!</v>
      </c>
      <c r="W54" s="285" t="e">
        <f aca="false">TblMili[[#This Row],[Draft]] * (1 + TblMili[[#This Row],[Mods_Def]])</f>
        <v>#VALUE!</v>
      </c>
      <c r="X54" s="285" t="n">
        <f aca="false">TblConstr[[#This Row],[Land]]</f>
        <v>656</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626</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345529</v>
      </c>
      <c r="AQ54" s="69" t="n">
        <f aca="false">INDEX(TblProd[[#Headers],[Lumber]]:TblProd[[#This Row],[Ore]],COUNTA(TblProd[[#Headers],[Lumber]]:TblProd[[#This Row],[Lumber]]),MATCH(Military!$AQ$2,TblProd[[#Headers],[Lumber]:[Ore]],0))</f>
        <v>-357</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626</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724</v>
      </c>
      <c r="C55" s="150" t="n">
        <f aca="false">TblPop[[#This Row],[Military%]]</f>
        <v>0.0679174484052533</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0</v>
      </c>
      <c r="V55" s="274" t="e">
        <f aca="false">TblMili[[#This Row],[Non Draft]] * (1 + TblMili[[#This Row],[Mods_Def]])</f>
        <v>#VALUE!</v>
      </c>
      <c r="W55" s="285" t="e">
        <f aca="false">TblMili[[#This Row],[Draft]] * (1 + TblMili[[#This Row],[Mods_Def]])</f>
        <v>#VALUE!</v>
      </c>
      <c r="X55" s="285" t="n">
        <f aca="false">TblConstr[[#This Row],[Land]]</f>
        <v>669</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724</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378694</v>
      </c>
      <c r="AQ55" s="69" t="n">
        <f aca="false">INDEX(TblProd[[#Headers],[Lumber]]:TblProd[[#This Row],[Ore]],COUNTA(TblProd[[#Headers],[Lumber]]:TblProd[[#This Row],[Lumber]]),MATCH(Military!$AQ$2,TblProd[[#Headers],[Lumber]:[Ore]],0))</f>
        <v>-357</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724</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823</v>
      </c>
      <c r="C56" s="150" t="n">
        <f aca="false">TblPop[[#This Row],[Military%]]</f>
        <v>0.0757896675568653</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0</v>
      </c>
      <c r="V56" s="274" t="e">
        <f aca="false">TblMili[[#This Row],[Non Draft]] * (1 + TblMili[[#This Row],[Mods_Def]])</f>
        <v>#VALUE!</v>
      </c>
      <c r="W56" s="285" t="e">
        <f aca="false">TblMili[[#This Row],[Draft]] * (1 + TblMili[[#This Row],[Mods_Def]])</f>
        <v>#VALUE!</v>
      </c>
      <c r="X56" s="285" t="n">
        <f aca="false">TblConstr[[#This Row],[Land]]</f>
        <v>680</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823</v>
      </c>
      <c r="AB56" s="146"/>
      <c r="AC56" s="130" t="n">
        <f aca="false">(TblConstr[[#This Row],[Tot Smi]]+TblConstr[[#This Row],[Dest Smi]])/(TblConstr[[#This Row],[Land]]-TblExplore[[#This Row],[Land Bonus]]*20)</f>
        <v>0.0691176470588235</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418640</v>
      </c>
      <c r="AQ56" s="69" t="n">
        <f aca="false">INDEX(TblProd[[#Headers],[Lumber]]:TblProd[[#This Row],[Ore]],COUNTA(TblProd[[#Headers],[Lumber]]:TblProd[[#This Row],[Lumber]]),MATCH(Military!$AQ$2,TblProd[[#Headers],[Lumber]:[Ore]],0))</f>
        <v>-357</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823</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259</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259</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798</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819</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923</v>
      </c>
      <c r="C57" s="150" t="n">
        <f aca="false">TblPop[[#This Row],[Military%]]</f>
        <v>0.0835899293606231</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0</v>
      </c>
      <c r="V57" s="274" t="e">
        <f aca="false">TblMili[[#This Row],[Non Draft]] * (1 + TblMili[[#This Row],[Mods_Def]])</f>
        <v>#VALUE!</v>
      </c>
      <c r="W57" s="285" t="e">
        <f aca="false">TblMili[[#This Row],[Draft]] * (1 + TblMili[[#This Row],[Mods_Def]])</f>
        <v>#VALUE!</v>
      </c>
      <c r="X57" s="285" t="n">
        <f aca="false">TblConstr[[#This Row],[Land]]</f>
        <v>692</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923</v>
      </c>
      <c r="AB57" s="146"/>
      <c r="AC57" s="130" t="n">
        <f aca="false">(TblConstr[[#This Row],[Tot Smi]]+TblConstr[[#This Row],[Dest Smi]])/(TblConstr[[#This Row],[Land]]-TblExplore[[#This Row],[Land Bonus]]*20)</f>
        <v>0.0794797687861272</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458166</v>
      </c>
      <c r="AQ57" s="69" t="n">
        <f aca="false">INDEX(TblProd[[#Headers],[Lumber]]:TblProd[[#This Row],[Ore]],COUNTA(TblProd[[#Headers],[Lumber]]:TblProd[[#This Row],[Lumber]]),MATCH(Military!$AQ$2,TblProd[[#Headers],[Lumber]:[Ore]],0))</f>
        <v>-357</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923</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253</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253</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778</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799</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1024</v>
      </c>
      <c r="C58" s="150" t="n">
        <f aca="false">TblPop[[#This Row],[Military%]]</f>
        <v>0.0913062862238074</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0</v>
      </c>
      <c r="V58" s="274" t="e">
        <f aca="false">TblMili[[#This Row],[Non Draft]] * (1 + TblMili[[#This Row],[Mods_Def]])</f>
        <v>#VALUE!</v>
      </c>
      <c r="W58" s="285" t="e">
        <f aca="false">TblMili[[#This Row],[Draft]] * (1 + TblMili[[#This Row],[Mods_Def]])</f>
        <v>#VALUE!</v>
      </c>
      <c r="X58" s="285" t="n">
        <f aca="false">TblConstr[[#This Row],[Land]]</f>
        <v>700</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1024</v>
      </c>
      <c r="AB58" s="146"/>
      <c r="AC58" s="130" t="n">
        <f aca="false">(TblConstr[[#This Row],[Tot Smi]]+TblConstr[[#This Row],[Dest Smi]])/(TblConstr[[#This Row],[Land]]-TblExplore[[#This Row],[Land Bonus]]*20)</f>
        <v>0.0914285714285714</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500238</v>
      </c>
      <c r="AQ58" s="69" t="n">
        <f aca="false">INDEX(TblProd[[#Headers],[Lumber]]:TblProd[[#This Row],[Ore]],COUNTA(TblProd[[#Headers],[Lumber]]:TblProd[[#This Row],[Lumber]]),MATCH(Military!$AQ$2,TblProd[[#Headers],[Lumber]:[Ore]],0))</f>
        <v>-357</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1024</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246</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246</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756</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777</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1126</v>
      </c>
      <c r="C59" s="150" t="n">
        <f aca="false">TblPop[[#This Row],[Military%]]</f>
        <v>0.0996372002477657</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0</v>
      </c>
      <c r="V59" s="274" t="e">
        <f aca="false">TblMili[[#This Row],[Non Draft]] * (1 + TblMili[[#This Row],[Mods_Def]])</f>
        <v>#VALUE!</v>
      </c>
      <c r="W59" s="285" t="e">
        <f aca="false">TblMili[[#This Row],[Draft]] * (1 + TblMili[[#This Row],[Mods_Def]])</f>
        <v>#VALUE!</v>
      </c>
      <c r="X59" s="285" t="n">
        <f aca="false">TblConstr[[#This Row],[Land]]</f>
        <v>700</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1126</v>
      </c>
      <c r="AB59" s="146"/>
      <c r="AC59" s="130" t="n">
        <f aca="false">(TblConstr[[#This Row],[Tot Smi]]+TblConstr[[#This Row],[Dest Smi]])/(TblConstr[[#This Row],[Land]]-TblExplore[[#This Row],[Land Bonus]]*20)</f>
        <v>0.104285714285714</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546753</v>
      </c>
      <c r="AQ59" s="69" t="n">
        <f aca="false">INDEX(TblProd[[#Headers],[Lumber]]:TblProd[[#This Row],[Ore]],COUNTA(TblProd[[#Headers],[Lumber]]:TblProd[[#This Row],[Lumber]]),MATCH(Military!$AQ$2,TblProd[[#Headers],[Lumber]:[Ore]],0))</f>
        <v>-357</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1126</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238</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238</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733</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752</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1228</v>
      </c>
      <c r="C60" s="150" t="n">
        <f aca="false">TblPop[[#This Row],[Military%]]</f>
        <v>0.1086629501814</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0</v>
      </c>
      <c r="V60" s="274" t="e">
        <f aca="false">TblMili[[#This Row],[Non Draft]] * (1 + TblMili[[#This Row],[Mods_Def]])</f>
        <v>#VALUE!</v>
      </c>
      <c r="W60" s="285" t="e">
        <f aca="false">TblMili[[#This Row],[Draft]] * (1 + TblMili[[#This Row],[Mods_Def]])</f>
        <v>#VALUE!</v>
      </c>
      <c r="X60" s="285" t="n">
        <f aca="false">TblConstr[[#This Row],[Land]]</f>
        <v>700</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1228</v>
      </c>
      <c r="AB60" s="146"/>
      <c r="AC60" s="130" t="n">
        <f aca="false">(TblConstr[[#This Row],[Tot Smi]]+TblConstr[[#This Row],[Dest Smi]])/(TblConstr[[#This Row],[Land]]-TblExplore[[#This Row],[Land Bonus]]*20)</f>
        <v>0.117142857142857</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593274</v>
      </c>
      <c r="AQ60" s="69" t="n">
        <f aca="false">INDEX(TblProd[[#Headers],[Lumber]]:TblProd[[#This Row],[Ore]],COUNTA(TblProd[[#Headers],[Lumber]]:TblProd[[#This Row],[Lumber]]),MATCH(Military!$AQ$2,TblProd[[#Headers],[Lumber]:[Ore]],0))</f>
        <v>-357</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1228</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230</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230</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709</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728</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1329</v>
      </c>
      <c r="C61" s="150" t="n">
        <f aca="false">TblPop[[#This Row],[Military%]]</f>
        <v>0.117600212370587</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0</v>
      </c>
      <c r="V61" s="274" t="e">
        <f aca="false">TblMili[[#This Row],[Non Draft]] * (1 + TblMili[[#This Row],[Mods_Def]])</f>
        <v>#VALUE!</v>
      </c>
      <c r="W61" s="285" t="e">
        <f aca="false">TblMili[[#This Row],[Draft]] * (1 + TblMili[[#This Row],[Mods_Def]])</f>
        <v>#VALUE!</v>
      </c>
      <c r="X61" s="285" t="n">
        <f aca="false">TblConstr[[#This Row],[Land]]</f>
        <v>700</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1329</v>
      </c>
      <c r="AB61" s="146"/>
      <c r="AC61" s="130" t="n">
        <f aca="false">(TblConstr[[#This Row],[Tot Smi]]+TblConstr[[#This Row],[Dest Smi]])/(TblConstr[[#This Row],[Land]]-TblExplore[[#This Row],[Land Bonus]]*20)</f>
        <v>0.131428571428571</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639546</v>
      </c>
      <c r="AQ61" s="69" t="n">
        <f aca="false">INDEX(TblProd[[#Headers],[Lumber]]:TblProd[[#This Row],[Ore]],COUNTA(TblProd[[#Headers],[Lumber]]:TblProd[[#This Row],[Lumber]]),MATCH(Military!$AQ$2,TblProd[[#Headers],[Lumber]:[Ore]],0))</f>
        <v>-357</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1329</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222</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222</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682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701</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1429</v>
      </c>
      <c r="C62" s="150" t="n">
        <f aca="false">TblPop[[#This Row],[Military%]]</f>
        <v>0.126448986815326</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0</v>
      </c>
      <c r="V62" s="274" t="e">
        <f aca="false">TblMili[[#This Row],[Non Draft]] * (1 + TblMili[[#This Row],[Mods_Def]])</f>
        <v>#VALUE!</v>
      </c>
      <c r="W62" s="285" t="e">
        <f aca="false">TblMili[[#This Row],[Draft]] * (1 + TblMili[[#This Row],[Mods_Def]])</f>
        <v>#VALUE!</v>
      </c>
      <c r="X62" s="285" t="n">
        <f aca="false">TblConstr[[#This Row],[Land]]</f>
        <v>700</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1429</v>
      </c>
      <c r="AB62" s="146"/>
      <c r="AC62" s="130" t="n">
        <f aca="false">(TblConstr[[#This Row],[Tot Smi]]+TblConstr[[#This Row],[Dest Smi]])/(TblConstr[[#This Row],[Land]]-TblExplore[[#This Row],[Land Bonus]]*20)</f>
        <v>0.145714285714286</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685636</v>
      </c>
      <c r="AQ62" s="69" t="n">
        <f aca="false">INDEX(TblProd[[#Headers],[Lumber]]:TblProd[[#This Row],[Ore]],COUNTA(TblProd[[#Headers],[Lumber]]:TblProd[[#This Row],[Lumber]]),MATCH(Military!$AQ$2,TblProd[[#Headers],[Lumber]:[Ore]],0))</f>
        <v>-357</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1429</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213</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213</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656</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674</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1528</v>
      </c>
      <c r="C63" s="150" t="n">
        <f aca="false">TblPop[[#This Row],[Military%]]</f>
        <v>0.131452167928424</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0</v>
      </c>
      <c r="V63" s="274" t="e">
        <f aca="false">TblMili[[#This Row],[Non Draft]] * (1 + TblMili[[#This Row],[Mods_Def]])</f>
        <v>#VALUE!</v>
      </c>
      <c r="W63" s="285" t="e">
        <f aca="false">TblMili[[#This Row],[Draft]] * (1 + TblMili[[#This Row],[Mods_Def]])</f>
        <v>#VALUE!</v>
      </c>
      <c r="X63" s="285" t="n">
        <f aca="false">TblConstr[[#This Row],[Land]]</f>
        <v>700</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1528</v>
      </c>
      <c r="AB63" s="146"/>
      <c r="AC63" s="130" t="n">
        <f aca="false">(TblConstr[[#This Row],[Tot Smi]]+TblConstr[[#This Row],[Dest Smi]])/(TblConstr[[#This Row],[Land]]-TblExplore[[#This Row],[Land Bonus]]*20)</f>
        <v>0.162857142857143</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731483</v>
      </c>
      <c r="AQ63" s="69" t="n">
        <f aca="false">INDEX(TblProd[[#Headers],[Lumber]]:TblProd[[#This Row],[Ore]],COUNTA(TblProd[[#Headers],[Lumber]]:TblProd[[#This Row],[Lumber]]),MATCH(Military!$AQ$2,TblProd[[#Headers],[Lumber]:[Ore]],0))</f>
        <v>-357</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1528</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203</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203</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624</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641</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1629</v>
      </c>
      <c r="C64" s="150" t="n">
        <f aca="false">TblPop[[#This Row],[Military%]]</f>
        <v>0.136363636363636</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0</v>
      </c>
      <c r="J64" s="151" t="n">
        <f aca="false">OFFSET(TblMili[[#This Row],[Archspies]],-1,0) + OFFSET(TblMili[[#This Row],[Train AS]],-12,0) - TblMili[[#This Row],[Release AS]]</f>
        <v>0</v>
      </c>
      <c r="K64" s="151" t="n">
        <f aca="false">OFFSET(TblMili[[#This Row],[Wizards]],-1,0) + OFFSET(TblMili[[#This Row],[Train Wiz]],-12,0) - TblMili[[#This Row],[Release Wizards]]-TblMili[[#This Row],[Train AM]]</f>
        <v>0</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0</v>
      </c>
      <c r="V64" s="274" t="e">
        <f aca="false">TblMili[[#This Row],[Non Draft]] * (1 + TblMili[[#This Row],[Mods_Def]])</f>
        <v>#VALUE!</v>
      </c>
      <c r="W64" s="285" t="e">
        <f aca="false">TblMili[[#This Row],[Draft]] * (1 + TblMili[[#This Row],[Mods_Def]])</f>
        <v>#VALUE!</v>
      </c>
      <c r="X64" s="285" t="n">
        <f aca="false">TblConstr[[#This Row],[Land]]</f>
        <v>700</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316</v>
      </c>
      <c r="AB64" s="146"/>
      <c r="AC64" s="130" t="n">
        <f aca="false">(TblConstr[[#This Row],[Tot Smi]]+TblConstr[[#This Row],[Dest Smi]])/(TblConstr[[#This Row],[Land]]-TblExplore[[#This Row],[Land Bonus]]*20)</f>
        <v>0.18</v>
      </c>
      <c r="AD64" s="282"/>
      <c r="AE64" s="282" t="n">
        <f aca="false">TblMili[[#This Row],[Hour]]</f>
        <v>61</v>
      </c>
      <c r="AF64" s="129" t="n">
        <f aca="false">TblExplore[[#This Row],[Time]]</f>
        <v>45432.25</v>
      </c>
      <c r="AG64" s="182"/>
      <c r="AH64" s="152"/>
      <c r="AI64" s="182" t="n">
        <v>625</v>
      </c>
      <c r="AJ64" s="152" t="n">
        <v>638</v>
      </c>
      <c r="AK64" s="152" t="n">
        <v>25</v>
      </c>
      <c r="AL64" s="152"/>
      <c r="AM64" s="152" t="n">
        <v>25</v>
      </c>
      <c r="AN64" s="182"/>
      <c r="AO64" s="132"/>
      <c r="AP64" s="69" t="n">
        <f aca="false">TblProd[[#This Row],[Platinum]]</f>
        <v>4808</v>
      </c>
      <c r="AQ64" s="69" t="n">
        <f aca="false">INDEX(TblProd[[#Headers],[Lumber]]:TblProd[[#This Row],[Ore]],COUNTA(TblProd[[#Headers],[Lumber]]:TblProd[[#This Row],[Lumber]]),MATCH(Military!$AQ$2,TblProd[[#Headers],[Lumber]:[Ore]],0))</f>
        <v>-357</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782904</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316</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v>
      </c>
      <c r="DF64" s="291" t="n">
        <f aca="false">TblMili[[#This Row],[Raw (2)]]*(1+race_wizard_strength+IF(TblMili[[#This Row],[Hour]]&gt;72,tech_magical_weaponry_wiz*TblTech[[#This Row],[3-5]],0))</f>
        <v>0</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1732</v>
      </c>
      <c r="C65" s="150" t="n">
        <f aca="false">TblPop[[#This Row],[Military%]]</f>
        <v>0.144985769295162</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0</v>
      </c>
      <c r="J65" s="151" t="n">
        <f aca="false">OFFSET(TblMili[[#This Row],[Archspies]],-1,0) + OFFSET(TblMili[[#This Row],[Train AS]],-12,0) - TblMili[[#This Row],[Release AS]]</f>
        <v>0</v>
      </c>
      <c r="K65" s="151" t="n">
        <f aca="false">OFFSET(TblMili[[#This Row],[Wizards]],-1,0) + OFFSET(TblMili[[#This Row],[Train Wiz]],-12,0) - TblMili[[#This Row],[Release Wizards]]-TblMili[[#This Row],[Train AM]]</f>
        <v>0</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0</v>
      </c>
      <c r="V65" s="274" t="e">
        <f aca="false">TblMili[[#This Row],[Non Draft]] * (1 + TblMili[[#This Row],[Mods_Def]])</f>
        <v>#VALUE!</v>
      </c>
      <c r="W65" s="285" t="e">
        <f aca="false">TblMili[[#This Row],[Draft]] * (1 + TblMili[[#This Row],[Mods_Def]])</f>
        <v>#VALUE!</v>
      </c>
      <c r="X65" s="285" t="n">
        <f aca="false">TblConstr[[#This Row],[Land]]</f>
        <v>700</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419</v>
      </c>
      <c r="AB65" s="146"/>
      <c r="AC65" s="130" t="n">
        <f aca="false">(TblConstr[[#This Row],[Tot Smi]]+TblConstr[[#This Row],[Dest Smi]])/(TblConstr[[#This Row],[Land]]-TblExplore[[#This Row],[Land Bonus]]*20)</f>
        <v>0.18</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47244</v>
      </c>
      <c r="AQ65" s="69" t="n">
        <f aca="false">INDEX(TblProd[[#Headers],[Lumber]]:TblProd[[#This Row],[Ore]],COUNTA(TblProd[[#Headers],[Lumber]]:TblProd[[#This Row],[Lumber]]),MATCH(Military!$AQ$2,TblProd[[#Headers],[Lumber]:[Ore]],0))</f>
        <v>-357</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419</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v>
      </c>
      <c r="DF65" s="291" t="n">
        <f aca="false">TblMili[[#This Row],[Raw (2)]]*(1+race_wizard_strength+IF(TblMili[[#This Row],[Hour]]&gt;72,tech_magical_weaponry_wiz*TblTech[[#This Row],[3-5]],0))</f>
        <v>0</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1834</v>
      </c>
      <c r="C66" s="150" t="n">
        <f aca="false">TblPop[[#This Row],[Military%]]</f>
        <v>0.153524192198225</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0</v>
      </c>
      <c r="J66" s="151" t="n">
        <f aca="false">OFFSET(TblMili[[#This Row],[Archspies]],-1,0) + OFFSET(TblMili[[#This Row],[Train AS]],-12,0) - TblMili[[#This Row],[Release AS]]</f>
        <v>0</v>
      </c>
      <c r="K66" s="151" t="n">
        <f aca="false">OFFSET(TblMili[[#This Row],[Wizards]],-1,0) + OFFSET(TblMili[[#This Row],[Train Wiz]],-12,0) - TblMili[[#This Row],[Release Wizards]]-TblMili[[#This Row],[Train AM]]</f>
        <v>0</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0</v>
      </c>
      <c r="V66" s="274" t="e">
        <f aca="false">TblMili[[#This Row],[Non Draft]] * (1 + TblMili[[#This Row],[Mods_Def]])</f>
        <v>#VALUE!</v>
      </c>
      <c r="W66" s="285" t="e">
        <f aca="false">TblMili[[#This Row],[Draft]] * (1 + TblMili[[#This Row],[Mods_Def]])</f>
        <v>#VALUE!</v>
      </c>
      <c r="X66" s="285" t="n">
        <f aca="false">TblConstr[[#This Row],[Land]]</f>
        <v>700</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521</v>
      </c>
      <c r="AB66" s="146"/>
      <c r="AC66" s="130" t="n">
        <f aca="false">(TblConstr[[#This Row],[Tot Smi]]+TblConstr[[#This Row],[Dest Smi]])/(TblConstr[[#This Row],[Land]]-TblExplore[[#This Row],[Land Bonus]]*20)</f>
        <v>0.18</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89119</v>
      </c>
      <c r="AQ66" s="69" t="n">
        <f aca="false">INDEX(TblProd[[#Headers],[Lumber]]:TblProd[[#This Row],[Ore]],COUNTA(TblProd[[#Headers],[Lumber]]:TblProd[[#This Row],[Lumber]]),MATCH(Military!$AQ$2,TblProd[[#Headers],[Lumber]:[Ore]],0))</f>
        <v>-357</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521</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v>
      </c>
      <c r="DF66" s="291" t="n">
        <f aca="false">TblMili[[#This Row],[Raw (2)]]*(1+race_wizard_strength+IF(TblMili[[#This Row],[Hour]]&gt;72,tech_magical_weaponry_wiz*TblTech[[#This Row],[3-5]],0))</f>
        <v>0</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1935</v>
      </c>
      <c r="C67" s="150" t="n">
        <f aca="false">TblPop[[#This Row],[Military%]]</f>
        <v>0.159062885326757</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0</v>
      </c>
      <c r="J67" s="151" t="n">
        <f aca="false">OFFSET(TblMili[[#This Row],[Archspies]],-1,0) + OFFSET(TblMili[[#This Row],[Train AS]],-12,0) - TblMili[[#This Row],[Release AS]]</f>
        <v>0</v>
      </c>
      <c r="K67" s="151" t="n">
        <f aca="false">OFFSET(TblMili[[#This Row],[Wizards]],-1,0) + OFFSET(TblMili[[#This Row],[Train Wiz]],-12,0) - TblMili[[#This Row],[Release Wizards]]-TblMili[[#This Row],[Train AM]]</f>
        <v>0</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0</v>
      </c>
      <c r="V67" s="274" t="e">
        <f aca="false">TblMili[[#This Row],[Non Draft]] * (1 + TblMili[[#This Row],[Mods_Def]])</f>
        <v>#VALUE!</v>
      </c>
      <c r="W67" s="285" t="e">
        <f aca="false">TblMili[[#This Row],[Draft]] * (1 + TblMili[[#This Row],[Mods_Def]])</f>
        <v>#VALUE!</v>
      </c>
      <c r="X67" s="285" t="n">
        <f aca="false">TblConstr[[#This Row],[Land]]</f>
        <v>700</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-77</v>
      </c>
      <c r="AB67" s="146"/>
      <c r="AC67" s="130" t="n">
        <f aca="false">(TblConstr[[#This Row],[Tot Smi]]+TblConstr[[#This Row],[Dest Smi]])/(TblConstr[[#This Row],[Land]]-TblExplore[[#This Row],[Land Bonus]]*20)</f>
        <v>0.18</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-14</v>
      </c>
      <c r="AQ67" s="69" t="n">
        <f aca="false">INDEX(TblProd[[#Headers],[Lumber]]:TblProd[[#This Row],[Ore]],COUNTA(TblProd[[#Headers],[Lumber]]:TblProd[[#This Row],[Lumber]]),MATCH(Military!$AQ$2,TblProd[[#Headers],[Lumber]:[Ore]],0))</f>
        <v>-357</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-77</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v>
      </c>
      <c r="DF67" s="291" t="n">
        <f aca="false">TblMili[[#This Row],[Raw (2)]]*(1+race_wizard_strength+IF(TblMili[[#This Row],[Hour]]&gt;72,tech_magical_weaponry_wiz*TblTech[[#This Row],[3-5]],0))</f>
        <v>0</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2037</v>
      </c>
      <c r="C68" s="150" t="n">
        <f aca="false">TblPop[[#This Row],[Military%]]</f>
        <v>0.164499717354438</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0</v>
      </c>
      <c r="J68" s="151" t="n">
        <f aca="false">OFFSET(TblMili[[#This Row],[Archspies]],-1,0) + OFFSET(TblMili[[#This Row],[Train AS]],-12,0) - TblMili[[#This Row],[Release AS]]</f>
        <v>0</v>
      </c>
      <c r="K68" s="151" t="n">
        <f aca="false">OFFSET(TblMili[[#This Row],[Wizards]],-1,0) + OFFSET(TblMili[[#This Row],[Train Wiz]],-12,0) - TblMili[[#This Row],[Release Wizards]]-TblMili[[#This Row],[Train AM]]</f>
        <v>0</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0</v>
      </c>
      <c r="V68" s="274" t="e">
        <f aca="false">TblMili[[#This Row],[Non Draft]] * (1 + TblMili[[#This Row],[Mods_Def]])</f>
        <v>#VALUE!</v>
      </c>
      <c r="W68" s="285" t="e">
        <f aca="false">TblMili[[#This Row],[Draft]] * (1 + TblMili[[#This Row],[Mods_Def]])</f>
        <v>#VALUE!</v>
      </c>
      <c r="X68" s="285" t="n">
        <f aca="false">TblConstr[[#This Row],[Land]]</f>
        <v>700</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-74</v>
      </c>
      <c r="AB68" s="146"/>
      <c r="AC68" s="130" t="n">
        <f aca="false">(TblConstr[[#This Row],[Tot Smi]]+TblConstr[[#This Row],[Dest Smi]])/(TblConstr[[#This Row],[Land]]-TblExplore[[#This Row],[Land Bonus]]*20)</f>
        <v>0.18</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28906</v>
      </c>
      <c r="AQ68" s="69" t="n">
        <f aca="false">INDEX(TblProd[[#Headers],[Lumber]]:TblProd[[#This Row],[Ore]],COUNTA(TblProd[[#Headers],[Lumber]]:TblProd[[#This Row],[Lumber]]),MATCH(Military!$AQ$2,TblProd[[#Headers],[Lumber]:[Ore]],0))</f>
        <v>-357</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-74</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v>
      </c>
      <c r="DF68" s="291" t="n">
        <f aca="false">TblMili[[#This Row],[Raw (2)]]*(1+race_wizard_strength+IF(TblMili[[#This Row],[Hour]]&gt;72,tech_magical_weaponry_wiz*TblTech[[#This Row],[3-5]],0))</f>
        <v>0</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2140</v>
      </c>
      <c r="C69" s="150" t="n">
        <f aca="false">TblPop[[#This Row],[Military%]]</f>
        <v>0.169558672054512</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0</v>
      </c>
      <c r="J69" s="151" t="n">
        <f aca="false">OFFSET(TblMili[[#This Row],[Archspies]],-1,0) + OFFSET(TblMili[[#This Row],[Train AS]],-12,0) - TblMili[[#This Row],[Release AS]]</f>
        <v>0</v>
      </c>
      <c r="K69" s="151" t="n">
        <f aca="false">OFFSET(TblMili[[#This Row],[Wizards]],-1,0) + OFFSET(TblMili[[#This Row],[Train Wiz]],-12,0) - TblMili[[#This Row],[Release Wizards]]-TblMili[[#This Row],[Train AM]]</f>
        <v>0</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0</v>
      </c>
      <c r="V69" s="274" t="e">
        <f aca="false">TblMili[[#This Row],[Non Draft]] * (1 + TblMili[[#This Row],[Mods_Def]])</f>
        <v>#VALUE!</v>
      </c>
      <c r="W69" s="285" t="e">
        <f aca="false">TblMili[[#This Row],[Draft]] * (1 + TblMili[[#This Row],[Mods_Def]])</f>
        <v>#VALUE!</v>
      </c>
      <c r="X69" s="285" t="n">
        <f aca="false">TblConstr[[#This Row],[Land]]</f>
        <v>700</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-71</v>
      </c>
      <c r="AB69" s="146"/>
      <c r="AC69" s="130" t="n">
        <f aca="false">(TblConstr[[#This Row],[Tot Smi]]+TblConstr[[#This Row],[Dest Smi]])/(TblConstr[[#This Row],[Land]]-TblExplore[[#This Row],[Land Bonus]]*20)</f>
        <v>0.18</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57978</v>
      </c>
      <c r="AQ69" s="69" t="n">
        <f aca="false">INDEX(TblProd[[#Headers],[Lumber]]:TblProd[[#This Row],[Ore]],COUNTA(TblProd[[#Headers],[Lumber]]:TblProd[[#This Row],[Lumber]]),MATCH(Military!$AQ$2,TblProd[[#Headers],[Lumber]:[Ore]],0))</f>
        <v>-357</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-71</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v>
      </c>
      <c r="DF69" s="291" t="n">
        <f aca="false">TblMili[[#This Row],[Raw (2)]]*(1+race_wizard_strength+IF(TblMili[[#This Row],[Hour]]&gt;72,tech_magical_weaponry_wiz*TblTech[[#This Row],[3-5]],0))</f>
        <v>0</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2245</v>
      </c>
      <c r="C70" s="150" t="n">
        <f aca="false">TblPop[[#This Row],[Military%]]</f>
        <v>0.176757735611369</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0</v>
      </c>
      <c r="J70" s="151" t="n">
        <f aca="false">OFFSET(TblMili[[#This Row],[Archspies]],-1,0) + OFFSET(TblMili[[#This Row],[Train AS]],-12,0) - TblMili[[#This Row],[Release AS]]</f>
        <v>0</v>
      </c>
      <c r="K70" s="151" t="n">
        <f aca="false">OFFSET(TblMili[[#This Row],[Wizards]],-1,0) + OFFSET(TblMili[[#This Row],[Train Wiz]],-12,0) - TblMili[[#This Row],[Release Wizards]]-TblMili[[#This Row],[Train AM]]</f>
        <v>0</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0</v>
      </c>
      <c r="V70" s="274" t="e">
        <f aca="false">TblMili[[#This Row],[Non Draft]] * (1 + TblMili[[#This Row],[Mods_Def]])</f>
        <v>#VALUE!</v>
      </c>
      <c r="W70" s="285" t="e">
        <f aca="false">TblMili[[#This Row],[Draft]] * (1 + TblMili[[#This Row],[Mods_Def]])</f>
        <v>#VALUE!</v>
      </c>
      <c r="X70" s="285" t="n">
        <f aca="false">TblConstr[[#This Row],[Land]]</f>
        <v>700</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-76</v>
      </c>
      <c r="AB70" s="146"/>
      <c r="AC70" s="130" t="n">
        <f aca="false">(TblConstr[[#This Row],[Tot Smi]]+TblConstr[[#This Row],[Dest Smi]])/(TblConstr[[#This Row],[Land]]-TblExplore[[#This Row],[Land Bonus]]*20)</f>
        <v>0.18</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61403</v>
      </c>
      <c r="AQ70" s="69" t="n">
        <f aca="false">INDEX(TblProd[[#Headers],[Lumber]]:TblProd[[#This Row],[Ore]],COUNTA(TblProd[[#Headers],[Lumber]]:TblProd[[#This Row],[Lumber]]),MATCH(Military!$AQ$2,TblProd[[#Headers],[Lumber]:[Ore]],0))</f>
        <v>-357</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-76</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v>
      </c>
      <c r="DF70" s="291" t="n">
        <f aca="false">TblMili[[#This Row],[Raw (2)]]*(1+race_wizard_strength+IF(TblMili[[#This Row],[Hour]]&gt;72,tech_magical_weaponry_wiz*TblTech[[#This Row],[3-5]],0))</f>
        <v>0</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2350</v>
      </c>
      <c r="C71" s="150" t="n">
        <f aca="false">TblPop[[#This Row],[Military%]]</f>
        <v>0.185024801196756</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0</v>
      </c>
      <c r="J71" s="151" t="n">
        <f aca="false">OFFSET(TblMili[[#This Row],[Archspies]],-1,0) + OFFSET(TblMili[[#This Row],[Train AS]],-12,0) - TblMili[[#This Row],[Release AS]]</f>
        <v>0</v>
      </c>
      <c r="K71" s="151" t="n">
        <f aca="false">OFFSET(TblMili[[#This Row],[Wizards]],-1,0) + OFFSET(TblMili[[#This Row],[Train Wiz]],-12,0) - TblMili[[#This Row],[Release Wizards]]-TblMili[[#This Row],[Train AM]]</f>
        <v>0</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0.0025</v>
      </c>
      <c r="V71" s="274" t="e">
        <f aca="false">TblMili[[#This Row],[Non Draft]] * (1 + TblMili[[#This Row],[Mods_Def]])</f>
        <v>#VALUE!</v>
      </c>
      <c r="W71" s="285" t="e">
        <f aca="false">TblMili[[#This Row],[Draft]] * (1 + TblMili[[#This Row],[Mods_Def]])</f>
        <v>#VALUE!</v>
      </c>
      <c r="X71" s="285" t="n">
        <f aca="false">TblConstr[[#This Row],[Land]]</f>
        <v>700</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-75</v>
      </c>
      <c r="AB71" s="146"/>
      <c r="AC71" s="130" t="n">
        <f aca="false">(TblConstr[[#This Row],[Tot Smi]]+TblConstr[[#This Row],[Dest Smi]])/(TblConstr[[#This Row],[Land]]-TblExplore[[#This Row],[Land Bonus]]*20)</f>
        <v>0.18</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68402</v>
      </c>
      <c r="AQ71" s="69" t="n">
        <f aca="false">INDEX(TblProd[[#Headers],[Lumber]]:TblProd[[#This Row],[Ore]],COUNTA(TblProd[[#Headers],[Lumber]]:TblProd[[#This Row],[Lumber]]),MATCH(Military!$AQ$2,TblProd[[#Headers],[Lumber]:[Ore]],0))</f>
        <v>-357</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-75</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v>
      </c>
      <c r="DF71" s="291" t="n">
        <f aca="false">TblMili[[#This Row],[Raw (2)]]*(1+race_wizard_strength+IF(TblMili[[#This Row],[Hour]]&gt;72,tech_magical_weaponry_wiz*TblTech[[#This Row],[3-5]],0))</f>
        <v>0</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2454</v>
      </c>
      <c r="C72" s="150" t="n">
        <f aca="false">TblPop[[#This Row],[Military%]]</f>
        <v>0.193213132824187</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0</v>
      </c>
      <c r="J72" s="151" t="n">
        <f aca="false">OFFSET(TblMili[[#This Row],[Archspies]],-1,0) + OFFSET(TblMili[[#This Row],[Train AS]],-12,0) - TblMili[[#This Row],[Release AS]]</f>
        <v>0</v>
      </c>
      <c r="K72" s="151" t="n">
        <f aca="false">OFFSET(TblMili[[#This Row],[Wizards]],-1,0) + OFFSET(TblMili[[#This Row],[Train Wiz]],-12,0) - TblMili[[#This Row],[Release Wizards]]-TblMili[[#This Row],[Train AM]]</f>
        <v>0</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v>
      </c>
      <c r="V72" s="274" t="e">
        <f aca="false">TblMili[[#This Row],[Non Draft]] * (1 + TblMili[[#This Row],[Mods_Def]])</f>
        <v>#VALUE!</v>
      </c>
      <c r="W72" s="285" t="e">
        <f aca="false">TblMili[[#This Row],[Draft]] * (1 + TblMili[[#This Row],[Mods_Def]])</f>
        <v>#VALUE!</v>
      </c>
      <c r="X72" s="285" t="n">
        <f aca="false">TblConstr[[#This Row],[Land]]</f>
        <v>700</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-74</v>
      </c>
      <c r="AB72" s="146"/>
      <c r="AC72" s="130" t="n">
        <f aca="false">(TblConstr[[#This Row],[Tot Smi]]+TblConstr[[#This Row],[Dest Smi]])/(TblConstr[[#This Row],[Land]]-TblExplore[[#This Row],[Land Bonus]]*20)</f>
        <v>0.18</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54065</v>
      </c>
      <c r="AQ72" s="69" t="n">
        <f aca="false">INDEX(TblProd[[#Headers],[Lumber]]:TblProd[[#This Row],[Ore]],COUNTA(TblProd[[#Headers],[Lumber]]:TblProd[[#This Row],[Lumber]]),MATCH(Military!$AQ$2,TblProd[[#Headers],[Lumber]:[Ore]],0))</f>
        <v>-357</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-74</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v>
      </c>
      <c r="DF72" s="291" t="n">
        <f aca="false">TblMili[[#This Row],[Raw (2)]]*(1+race_wizard_strength+IF(TblMili[[#This Row],[Hour]]&gt;72,tech_magical_weaponry_wiz*TblTech[[#This Row],[3-5]],0))</f>
        <v>0</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2556</v>
      </c>
      <c r="C73" s="150" t="n">
        <f aca="false">TblPop[[#This Row],[Military%]]</f>
        <v>0.201243996535706</v>
      </c>
      <c r="D73" s="132"/>
      <c r="E73" s="151" t="n">
        <f aca="false">OFFSET(TblMili[[#This Row],[Unit 1]],-1,0) + OFFSET(TblMili[[#This Row],[Train Unit 1]],-9,0) - TblMili[[#This Row],[Release Unit 1]]</f>
        <v>0</v>
      </c>
      <c r="F73" s="151" t="n">
        <f aca="false">OFFSET(TblMili[[#This Row],[Unit 2]],-1,0) + OFFSET(TblMili[[#This Row],[Train Unit 2]],-9,0)-TblMili[[#This Row],[Release Unit 2]]</f>
        <v>0</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0</v>
      </c>
      <c r="J73" s="151" t="n">
        <f aca="false">OFFSET(TblMili[[#This Row],[Archspies]],-1,0) + OFFSET(TblMili[[#This Row],[Train AS]],-12,0) - TblMili[[#This Row],[Release AS]]</f>
        <v>0</v>
      </c>
      <c r="K73" s="151" t="n">
        <f aca="false">OFFSET(TblMili[[#This Row],[Wizards]],-1,0) + OFFSET(TblMili[[#This Row],[Train Wiz]],-12,0) - TblMili[[#This Row],[Release Wizards]]-TblMili[[#This Row],[Train AM]]</f>
        <v>0</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0.0075</v>
      </c>
      <c r="V73" s="274" t="e">
        <f aca="false">TblMili[[#This Row],[Non Draft]] * (1 + TblMili[[#This Row],[Mods_Def]])</f>
        <v>#VALUE!</v>
      </c>
      <c r="W73" s="285" t="e">
        <f aca="false">TblMili[[#This Row],[Draft]] * (1 + TblMili[[#This Row],[Mods_Def]])</f>
        <v>#VALUE!</v>
      </c>
      <c r="X73" s="285" t="n">
        <f aca="false">TblConstr[[#This Row],[Land]]</f>
        <v>700</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-74</v>
      </c>
      <c r="AB73" s="146"/>
      <c r="AC73" s="130" t="n">
        <f aca="false">(TblConstr[[#This Row],[Tot Smi]]+TblConstr[[#This Row],[Dest Smi]])/(TblConstr[[#This Row],[Land]]-TblExplore[[#This Row],[Land Bonus]]*20)</f>
        <v>0.18</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40027</v>
      </c>
      <c r="AQ73" s="69" t="n">
        <f aca="false">INDEX(TblProd[[#Headers],[Lumber]]:TblProd[[#This Row],[Ore]],COUNTA(TblProd[[#Headers],[Lumber]]:TblProd[[#This Row],[Lumber]]),MATCH(Military!$AQ$2,TblProd[[#Headers],[Lumber]:[Ore]],0))</f>
        <v>-357</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-74</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v>
      </c>
      <c r="DF73" s="291" t="n">
        <f aca="false">TblMili[[#This Row],[Raw (2)]]*(1+race_wizard_strength+IF(TblMili[[#This Row],[Hour]]&gt;72,tech_magical_weaponry_wiz*TblTech[[#This Row],[3-5]],0))</f>
        <v>0</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2657</v>
      </c>
      <c r="C74" s="150" t="n">
        <f aca="false">TblPop[[#This Row],[Military%]]</f>
        <v>0.209196126289269</v>
      </c>
      <c r="D74" s="132"/>
      <c r="E74" s="151" t="n">
        <f aca="false">OFFSET(TblMili[[#This Row],[Unit 1]],-1,0) + OFFSET(TblMili[[#This Row],[Train Unit 1]],-9,0) - TblMili[[#This Row],[Release Unit 1]]</f>
        <v>0</v>
      </c>
      <c r="F74" s="151" t="n">
        <f aca="false">OFFSET(TblMili[[#This Row],[Unit 2]],-1,0) + OFFSET(TblMili[[#This Row],[Train Unit 2]],-9,0)-TblMili[[#This Row],[Release Unit 2]]</f>
        <v>0</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0</v>
      </c>
      <c r="J74" s="151" t="n">
        <f aca="false">OFFSET(TblMili[[#This Row],[Archspies]],-1,0) + OFFSET(TblMili[[#This Row],[Train AS]],-12,0) - TblMili[[#This Row],[Release AS]]</f>
        <v>0</v>
      </c>
      <c r="K74" s="151" t="n">
        <f aca="false">OFFSET(TblMili[[#This Row],[Wizards]],-1,0) + OFFSET(TblMili[[#This Row],[Train Wiz]],-12,0) - TblMili[[#This Row],[Release Wizards]]-TblMili[[#This Row],[Train AM]]</f>
        <v>0</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v>
      </c>
      <c r="V74" s="274" t="e">
        <f aca="false">TblMili[[#This Row],[Non Draft]] * (1 + TblMili[[#This Row],[Mods_Def]])</f>
        <v>#VALUE!</v>
      </c>
      <c r="W74" s="285" t="e">
        <f aca="false">TblMili[[#This Row],[Draft]] * (1 + TblMili[[#This Row],[Mods_Def]])</f>
        <v>#VALUE!</v>
      </c>
      <c r="X74" s="285" t="n">
        <f aca="false">TblConstr[[#This Row],[Land]]</f>
        <v>700</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-74</v>
      </c>
      <c r="AB74" s="146"/>
      <c r="AC74" s="130" t="n">
        <f aca="false">(TblConstr[[#This Row],[Tot Smi]]+TblConstr[[#This Row],[Dest Smi]])/(TblConstr[[#This Row],[Land]]-TblExplore[[#This Row],[Land Bonus]]*20)</f>
        <v>0.18</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26294</v>
      </c>
      <c r="AQ74" s="69" t="n">
        <f aca="false">INDEX(TblProd[[#Headers],[Lumber]]:TblProd[[#This Row],[Ore]],COUNTA(TblProd[[#Headers],[Lumber]]:TblProd[[#This Row],[Lumber]]),MATCH(Military!$AQ$2,TblProd[[#Headers],[Lumber]:[Ore]],0))</f>
        <v>-357</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-74</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v>
      </c>
      <c r="DF74" s="291" t="n">
        <f aca="false">TblMili[[#This Row],[Raw (2)]]*(1+race_wizard_strength+IF(TblMili[[#This Row],[Hour]]&gt;72,tech_magical_weaponry_wiz*TblTech[[#This Row],[3-5]],0))</f>
        <v>0</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2757</v>
      </c>
      <c r="C75" s="150" t="n">
        <f aca="false">TblPop[[#This Row],[Military%]]</f>
        <v>0.217069522084875</v>
      </c>
      <c r="D75" s="132"/>
      <c r="E75" s="151" t="n">
        <f aca="false">OFFSET(TblMili[[#This Row],[Unit 1]],-1,0) + OFFSET(TblMili[[#This Row],[Train Unit 1]],-9,0) - TblMili[[#This Row],[Release Unit 1]]</f>
        <v>0</v>
      </c>
      <c r="F75" s="151" t="n">
        <f aca="false">OFFSET(TblMili[[#This Row],[Unit 2]],-1,0) + OFFSET(TblMili[[#This Row],[Train Unit 2]],-9,0)-TblMili[[#This Row],[Release Unit 2]]</f>
        <v>0</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0</v>
      </c>
      <c r="J75" s="151" t="n">
        <f aca="false">OFFSET(TblMili[[#This Row],[Archspies]],-1,0) + OFFSET(TblMili[[#This Row],[Train AS]],-12,0) - TblMili[[#This Row],[Release AS]]</f>
        <v>0</v>
      </c>
      <c r="K75" s="151" t="n">
        <f aca="false">OFFSET(TblMili[[#This Row],[Wizards]],-1,0) + OFFSET(TblMili[[#This Row],[Train Wiz]],-12,0) - TblMili[[#This Row],[Release Wizards]]-TblMili[[#This Row],[Train AM]]</f>
        <v>0</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0.0125</v>
      </c>
      <c r="V75" s="274" t="e">
        <f aca="false">TblMili[[#This Row],[Non Draft]] * (1 + TblMili[[#This Row],[Mods_Def]])</f>
        <v>#VALUE!</v>
      </c>
      <c r="W75" s="285" t="e">
        <f aca="false">TblMili[[#This Row],[Draft]] * (1 + TblMili[[#This Row],[Mods_Def]])</f>
        <v>#VALUE!</v>
      </c>
      <c r="X75" s="285" t="n">
        <f aca="false">TblConstr[[#This Row],[Land]]</f>
        <v>700</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-74</v>
      </c>
      <c r="AB75" s="146"/>
      <c r="AC75" s="130" t="n">
        <f aca="false">(TblConstr[[#This Row],[Tot Smi]]+TblConstr[[#This Row],[Dest Smi]])/(TblConstr[[#This Row],[Land]]-TblExplore[[#This Row],[Land Bonus]]*20)</f>
        <v>0.18</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12869</v>
      </c>
      <c r="AQ75" s="69" t="n">
        <f aca="false">INDEX(TblProd[[#Headers],[Lumber]]:TblProd[[#This Row],[Ore]],COUNTA(TblProd[[#Headers],[Lumber]]:TblProd[[#This Row],[Lumber]]),MATCH(Military!$AQ$2,TblProd[[#Headers],[Lumber]:[Ore]],0))</f>
        <v>-357</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-74</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v>
      </c>
      <c r="DF75" s="291" t="n">
        <f aca="false">TblMili[[#This Row],[Raw (2)]]*(1+race_wizard_strength+IF(TblMili[[#This Row],[Hour]]&gt;72,tech_magical_weaponry_wiz*TblTech[[#This Row],[3-5]],0))</f>
        <v>0</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2856</v>
      </c>
      <c r="C76" s="272" t="n">
        <f aca="false">TblPop[[#This Row],[Military%]]</f>
        <v>0.224864183922526</v>
      </c>
      <c r="D76" s="138"/>
      <c r="E76" s="239" t="n">
        <f aca="false">OFFSET(TblMili[[#This Row],[Unit 1]],-1,0) + OFFSET(TblMili[[#This Row],[Train Unit 1]],-9,0) - TblMili[[#This Row],[Release Unit 1]]</f>
        <v>0</v>
      </c>
      <c r="F76" s="239" t="n">
        <f aca="false">OFFSET(TblMili[[#This Row],[Unit 2]],-1,0) + OFFSET(TblMili[[#This Row],[Train Unit 2]],-9,0)-TblMili[[#This Row],[Release Unit 2]]</f>
        <v>699</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25</v>
      </c>
      <c r="J76" s="239" t="n">
        <f aca="false">OFFSET(TblMili[[#This Row],[Archspies]],-1,0) + OFFSET(TblMili[[#This Row],[Train AS]],-12,0) - TblMili[[#This Row],[Release AS]]</f>
        <v>0</v>
      </c>
      <c r="K76" s="239" t="n">
        <f aca="false">OFFSET(TblMili[[#This Row],[Wizards]],-1,0) + OFFSET(TblMili[[#This Row],[Train Wiz]],-12,0) - TblMili[[#This Row],[Release Wizards]]-TblMili[[#This Row],[Train AM]]</f>
        <v>25</v>
      </c>
      <c r="L76" s="239" t="n">
        <f aca="false">OFFSET(TblMili[[#This Row],[Archmages]],-1,0) + OFFSET(TblMili[[#This Row],[Train AM]],-12,0) - TblMili[[#This Row],[Release AM]]</f>
        <v>0</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0.2375</v>
      </c>
      <c r="V76" s="296" t="e">
        <f aca="false">TblMili[[#This Row],[Non Draft]] * (1 + TblMili[[#This Row],[Mods_Def]])</f>
        <v>#VALUE!</v>
      </c>
      <c r="W76" s="294" t="e">
        <f aca="false">TblMili[[#This Row],[Draft]] * (1 + TblMili[[#This Row],[Mods_Def]])</f>
        <v>#VALUE!</v>
      </c>
      <c r="X76" s="294" t="n">
        <f aca="false">TblConstr[[#This Row],[Land]]</f>
        <v>700</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-74</v>
      </c>
      <c r="AB76" s="157"/>
      <c r="AC76" s="225" t="n">
        <f aca="false">(TblConstr[[#This Row],[Tot Smi]]+TblConstr[[#This Row],[Dest Smi]])/(TblConstr[[#This Row],[Land]]-TblExplore[[#This Row],[Land Bonus]]*20)</f>
        <v>0.18</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155</v>
      </c>
      <c r="AQ76" s="226" t="n">
        <f aca="false">INDEX(TblProd[[#Headers],[Lumber]]:TblProd[[#This Row],[Ore]],COUNTA(TblProd[[#Headers],[Lumber]]:TblProd[[#This Row],[Lumber]]),MATCH(Military!$AQ$2,TblProd[[#Headers],[Lumber]:[Ore]],0))</f>
        <v>-357</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-74</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0</v>
      </c>
      <c r="CG76" s="299" t="e">
        <f aca="false">MIN(frost_mage_cap,TblMili[[#This Row],[Hill]]/frost_mage_bonus)</f>
        <v>#VALUE!</v>
      </c>
      <c r="CH76" s="239" t="n">
        <f aca="false">MIN(ice_elem_cap,TblMili[[#This Row],[Raw (2)]]*ice_elem_bonus)</f>
        <v>0.0357142857142857</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0.064285714285715</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0.0357142857142857</v>
      </c>
      <c r="DF76" s="303" t="n">
        <f aca="false">TblMili[[#This Row],[Raw (2)]]*(1+race_wizard_strength+IF(TblMili[[#This Row],[Hour]]&gt;72,tech_magical_weaponry_wiz*TblTech[[#This Row],[3-5]],0))</f>
        <v>0.0357142857142857</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2954</v>
      </c>
      <c r="C77" s="150" t="n">
        <f aca="false">TblPop[[#This Row],[Military%]]</f>
        <v>0.23078125</v>
      </c>
      <c r="D77" s="132"/>
      <c r="E77" s="151" t="n">
        <f aca="false">OFFSET(TblMili[[#This Row],[Unit 1]],-1,0) + OFFSET(TblMili[[#This Row],[Train Unit 1]],-9,0) - TblMili[[#This Row],[Release Unit 1]]</f>
        <v>0</v>
      </c>
      <c r="F77" s="151" t="n">
        <f aca="false">OFFSET(TblMili[[#This Row],[Unit 2]],-1,0) + OFFSET(TblMili[[#This Row],[Train Unit 2]],-9,0)-TblMili[[#This Row],[Release Unit 2]]</f>
        <v>798</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25</v>
      </c>
      <c r="J77" s="151" t="n">
        <f aca="false">OFFSET(TblMili[[#This Row],[Archspies]],-1,0) + OFFSET(TblMili[[#This Row],[Train AS]],-12,0) - TblMili[[#This Row],[Release AS]]</f>
        <v>0</v>
      </c>
      <c r="K77" s="151" t="n">
        <f aca="false">OFFSET(TblMili[[#This Row],[Wizards]],-1,0) + OFFSET(TblMili[[#This Row],[Train Wiz]],-12,0) - TblMili[[#This Row],[Release Wizards]]-TblMili[[#This Row],[Train AM]]</f>
        <v>25</v>
      </c>
      <c r="L77" s="151" t="n">
        <f aca="false">OFFSET(TblMili[[#This Row],[Archmages]],-1,0) + OFFSET(TblMili[[#This Row],[Train AM]],-12,0) - TblMili[[#This Row],[Release AM]]</f>
        <v>0</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0.2375</v>
      </c>
      <c r="V77" s="274" t="e">
        <f aca="false">TblMili[[#This Row],[Non Draft]] * (1 + TblMili[[#This Row],[Mods_Def]])</f>
        <v>#VALUE!</v>
      </c>
      <c r="W77" s="285" t="e">
        <f aca="false">TblMili[[#This Row],[Draft]] * (1 + TblMili[[#This Row],[Mods_Def]])</f>
        <v>#VALUE!</v>
      </c>
      <c r="X77" s="285" t="n">
        <f aca="false">TblConstr[[#This Row],[Land]]</f>
        <v>700</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-74</v>
      </c>
      <c r="AB77" s="146"/>
      <c r="AC77" s="130" t="n">
        <f aca="false">(TblConstr[[#This Row],[Tot Smi]]+TblConstr[[#This Row],[Dest Smi]])/(TblConstr[[#This Row],[Land]]-TblExplore[[#This Row],[Land Bonus]]*20)</f>
        <v>0.18</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8123</v>
      </c>
      <c r="AQ77" s="69" t="n">
        <f aca="false">INDEX(TblProd[[#Headers],[Lumber]]:TblProd[[#This Row],[Ore]],COUNTA(TblProd[[#Headers],[Lumber]]:TblProd[[#This Row],[Lumber]]),MATCH(Military!$AQ$2,TblProd[[#Headers],[Lumber]:[Ore]],0))</f>
        <v>-357</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-74</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0</v>
      </c>
      <c r="CG77" s="288" t="e">
        <f aca="false">MIN(frost_mage_cap,TblMili[[#This Row],[Hill]]/frost_mage_bonus)</f>
        <v>#VALUE!</v>
      </c>
      <c r="CH77" s="151" t="n">
        <f aca="false">MIN(ice_elem_cap,TblMili[[#This Row],[Raw (2)]]*ice_elem_bonus)</f>
        <v>0.0357142857142857</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0.064285714285715</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0.0357142857142857</v>
      </c>
      <c r="DF77" s="291" t="n">
        <f aca="false">TblMili[[#This Row],[Raw (2)]]*(1+race_wizard_strength+IF(TblMili[[#This Row],[Hour]]&gt;72,tech_magical_weaponry_wiz*TblTech[[#This Row],[3-5]],0))</f>
        <v>0.0357142857142857</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3052</v>
      </c>
      <c r="C78" s="150" t="n">
        <f aca="false">TblPop[[#This Row],[Military%]]</f>
        <v>0.236607488952632</v>
      </c>
      <c r="D78" s="132"/>
      <c r="E78" s="151" t="n">
        <f aca="false">OFFSET(TblMili[[#This Row],[Unit 1]],-1,0) + OFFSET(TblMili[[#This Row],[Train Unit 1]],-9,0) - TblMili[[#This Row],[Release Unit 1]]</f>
        <v>0</v>
      </c>
      <c r="F78" s="151" t="n">
        <f aca="false">OFFSET(TblMili[[#This Row],[Unit 2]],-1,0) + OFFSET(TblMili[[#This Row],[Train Unit 2]],-9,0)-TblMili[[#This Row],[Release Unit 2]]</f>
        <v>898</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25</v>
      </c>
      <c r="J78" s="151" t="n">
        <f aca="false">OFFSET(TblMili[[#This Row],[Archspies]],-1,0) + OFFSET(TblMili[[#This Row],[Train AS]],-12,0) - TblMili[[#This Row],[Release AS]]</f>
        <v>0</v>
      </c>
      <c r="K78" s="151" t="n">
        <f aca="false">OFFSET(TblMili[[#This Row],[Wizards]],-1,0) + OFFSET(TblMili[[#This Row],[Train Wiz]],-12,0) - TblMili[[#This Row],[Release Wizards]]-TblMili[[#This Row],[Train AM]]</f>
        <v>25</v>
      </c>
      <c r="L78" s="151" t="n">
        <f aca="false">OFFSET(TblMili[[#This Row],[Archmages]],-1,0) + OFFSET(TblMili[[#This Row],[Train AM]],-12,0) - TblMili[[#This Row],[Release AM]]</f>
        <v>0</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0.2375</v>
      </c>
      <c r="V78" s="274" t="e">
        <f aca="false">TblMili[[#This Row],[Non Draft]] * (1 + TblMili[[#This Row],[Mods_Def]])</f>
        <v>#VALUE!</v>
      </c>
      <c r="W78" s="285" t="e">
        <f aca="false">TblMili[[#This Row],[Draft]] * (1 + TblMili[[#This Row],[Mods_Def]])</f>
        <v>#VALUE!</v>
      </c>
      <c r="X78" s="285" t="n">
        <f aca="false">TblConstr[[#This Row],[Land]]</f>
        <v>700</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-74</v>
      </c>
      <c r="AB78" s="146"/>
      <c r="AC78" s="130" t="n">
        <f aca="false">(TblConstr[[#This Row],[Tot Smi]]+TblConstr[[#This Row],[Dest Smi]])/(TblConstr[[#This Row],[Land]]-TblExplore[[#This Row],[Land Bonus]]*20)</f>
        <v>0.18</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36094</v>
      </c>
      <c r="AQ78" s="69" t="n">
        <f aca="false">INDEX(TblProd[[#Headers],[Lumber]]:TblProd[[#This Row],[Ore]],COUNTA(TblProd[[#Headers],[Lumber]]:TblProd[[#This Row],[Lumber]]),MATCH(Military!$AQ$2,TblProd[[#Headers],[Lumber]:[Ore]],0))</f>
        <v>-357</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-74</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0</v>
      </c>
      <c r="CG78" s="288" t="e">
        <f aca="false">MIN(frost_mage_cap,TblMili[[#This Row],[Hill]]/frost_mage_bonus)</f>
        <v>#VALUE!</v>
      </c>
      <c r="CH78" s="151" t="n">
        <f aca="false">MIN(ice_elem_cap,TblMili[[#This Row],[Raw (2)]]*ice_elem_bonus)</f>
        <v>0.0357142857142857</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0.064285714285715</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0.0357142857142857</v>
      </c>
      <c r="DF78" s="291" t="n">
        <f aca="false">TblMili[[#This Row],[Raw (2)]]*(1+race_wizard_strength+IF(TblMili[[#This Row],[Hour]]&gt;72,tech_magical_weaponry_wiz*TblTech[[#This Row],[3-5]],0))</f>
        <v>0.0357142857142857</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3150</v>
      </c>
      <c r="C79" s="150" t="n">
        <f aca="false">TblPop[[#This Row],[Military%]]</f>
        <v>0.243450034778576</v>
      </c>
      <c r="D79" s="132"/>
      <c r="E79" s="151" t="n">
        <f aca="false">OFFSET(TblMili[[#This Row],[Unit 1]],-1,0) + OFFSET(TblMili[[#This Row],[Train Unit 1]],-9,0) - TblMili[[#This Row],[Release Unit 1]]</f>
        <v>0</v>
      </c>
      <c r="F79" s="151" t="n">
        <f aca="false">OFFSET(TblMili[[#This Row],[Unit 2]],-1,0) + OFFSET(TblMili[[#This Row],[Train Unit 2]],-9,0)-TblMili[[#This Row],[Release Unit 2]]</f>
        <v>950</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25</v>
      </c>
      <c r="J79" s="151" t="n">
        <f aca="false">OFFSET(TblMili[[#This Row],[Archspies]],-1,0) + OFFSET(TblMili[[#This Row],[Train AS]],-12,0) - TblMili[[#This Row],[Release AS]]</f>
        <v>0</v>
      </c>
      <c r="K79" s="151" t="n">
        <f aca="false">OFFSET(TblMili[[#This Row],[Wizards]],-1,0) + OFFSET(TblMili[[#This Row],[Train Wiz]],-12,0) - TblMili[[#This Row],[Release Wizards]]-TblMili[[#This Row],[Train AM]]</f>
        <v>25</v>
      </c>
      <c r="L79" s="151" t="n">
        <f aca="false">OFFSET(TblMili[[#This Row],[Archmages]],-1,0) + OFFSET(TblMili[[#This Row],[Train AM]],-12,0) - TblMili[[#This Row],[Release AM]]</f>
        <v>0</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0.2375</v>
      </c>
      <c r="V79" s="274" t="e">
        <f aca="false">TblMili[[#This Row],[Non Draft]] * (1 + TblMili[[#This Row],[Mods_Def]])</f>
        <v>#VALUE!</v>
      </c>
      <c r="W79" s="285" t="e">
        <f aca="false">TblMili[[#This Row],[Draft]] * (1 + TblMili[[#This Row],[Mods_Def]])</f>
        <v>#VALUE!</v>
      </c>
      <c r="X79" s="285" t="n">
        <f aca="false">TblConstr[[#This Row],[Land]]</f>
        <v>700</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-74</v>
      </c>
      <c r="AB79" s="146"/>
      <c r="AC79" s="130" t="n">
        <f aca="false">(TblConstr[[#This Row],[Tot Smi]]+TblConstr[[#This Row],[Dest Smi]])/(TblConstr[[#This Row],[Land]]-TblExplore[[#This Row],[Land Bonus]]*20)</f>
        <v>0.18</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64068</v>
      </c>
      <c r="AQ79" s="69" t="n">
        <f aca="false">INDEX(TblProd[[#Headers],[Lumber]]:TblProd[[#This Row],[Ore]],COUNTA(TblProd[[#Headers],[Lumber]]:TblProd[[#This Row],[Lumber]]),MATCH(Military!$AQ$2,TblProd[[#Headers],[Lumber]:[Ore]],0))</f>
        <v>-357</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-74</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0</v>
      </c>
      <c r="CG79" s="288" t="e">
        <f aca="false">MIN(frost_mage_cap,TblMili[[#This Row],[Hill]]/frost_mage_bonus)</f>
        <v>#VALUE!</v>
      </c>
      <c r="CH79" s="151" t="n">
        <f aca="false">MIN(ice_elem_cap,TblMili[[#This Row],[Raw (2)]]*ice_elem_bonus)</f>
        <v>0.0357142857142857</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0.064285714285715</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0.0357142857142857</v>
      </c>
      <c r="DF79" s="291" t="n">
        <f aca="false">TblMili[[#This Row],[Raw (2)]]*(1+race_wizard_strength+IF(TblMili[[#This Row],[Hour]]&gt;72,tech_magical_weaponry_wiz*TblTech[[#This Row],[3-5]],0))</f>
        <v>0.0357142857142857</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3248</v>
      </c>
      <c r="C80" s="150" t="n">
        <f aca="false">TblPop[[#This Row],[Military%]]</f>
        <v>0.251024035860577</v>
      </c>
      <c r="D80" s="132"/>
      <c r="E80" s="151" t="n">
        <f aca="false">OFFSET(TblMili[[#This Row],[Unit 1]],-1,0) + OFFSET(TblMili[[#This Row],[Train Unit 1]],-9,0) - TblMili[[#This Row],[Release Unit 1]]</f>
        <v>0</v>
      </c>
      <c r="F80" s="151" t="n">
        <f aca="false">OFFSET(TblMili[[#This Row],[Unit 2]],-1,0) + OFFSET(TblMili[[#This Row],[Train Unit 2]],-9,0)-TblMili[[#This Row],[Release Unit 2]]</f>
        <v>1002</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25</v>
      </c>
      <c r="J80" s="151" t="n">
        <f aca="false">OFFSET(TblMili[[#This Row],[Archspies]],-1,0) + OFFSET(TblMili[[#This Row],[Train AS]],-12,0) - TblMili[[#This Row],[Release AS]]</f>
        <v>0</v>
      </c>
      <c r="K80" s="151" t="n">
        <f aca="false">OFFSET(TblMili[[#This Row],[Wizards]],-1,0) + OFFSET(TblMili[[#This Row],[Train Wiz]],-12,0) - TblMili[[#This Row],[Release Wizards]]-TblMili[[#This Row],[Train AM]]</f>
        <v>25</v>
      </c>
      <c r="L80" s="151" t="n">
        <f aca="false">OFFSET(TblMili[[#This Row],[Archmages]],-1,0) + OFFSET(TblMili[[#This Row],[Train AM]],-12,0) - TblMili[[#This Row],[Release AM]]</f>
        <v>0</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0.2375</v>
      </c>
      <c r="V80" s="274" t="e">
        <f aca="false">TblMili[[#This Row],[Non Draft]] * (1 + TblMili[[#This Row],[Mods_Def]])</f>
        <v>#VALUE!</v>
      </c>
      <c r="W80" s="285" t="e">
        <f aca="false">TblMili[[#This Row],[Draft]] * (1 + TblMili[[#This Row],[Mods_Def]])</f>
        <v>#VALUE!</v>
      </c>
      <c r="X80" s="285" t="n">
        <f aca="false">TblConstr[[#This Row],[Land]]</f>
        <v>700</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24</v>
      </c>
      <c r="AB80" s="146"/>
      <c r="AC80" s="130" t="n">
        <f aca="false">(TblConstr[[#This Row],[Tot Smi]]+TblConstr[[#This Row],[Dest Smi]])/(TblConstr[[#This Row],[Land]]-TblExplore[[#This Row],[Land Bonus]]*20)</f>
        <v>0.18</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149450</v>
      </c>
      <c r="AQ80" s="69" t="n">
        <f aca="false">INDEX(TblProd[[#Headers],[Lumber]]:TblProd[[#This Row],[Ore]],COUNTA(TblProd[[#Headers],[Lumber]]:TblProd[[#This Row],[Lumber]]),MATCH(Military!$AQ$2,TblProd[[#Headers],[Lumber]:[Ore]],0))</f>
        <v>-357</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24</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0</v>
      </c>
      <c r="CG80" s="288" t="e">
        <f aca="false">MIN(frost_mage_cap,TblMili[[#This Row],[Hill]]/frost_mage_bonus)</f>
        <v>#VALUE!</v>
      </c>
      <c r="CH80" s="151" t="n">
        <f aca="false">MIN(ice_elem_cap,TblMili[[#This Row],[Raw (2)]]*ice_elem_bonus)</f>
        <v>0.0357142857142857</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0.064285714285715</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0.0357142857142857</v>
      </c>
      <c r="DF80" s="291" t="n">
        <f aca="false">TblMili[[#This Row],[Raw (2)]]*(1+race_wizard_strength+IF(TblMili[[#This Row],[Hour]]&gt;72,tech_magical_weaponry_wiz*TblTech[[#This Row],[3-5]],0))</f>
        <v>0.0357142857142857</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3345</v>
      </c>
      <c r="C81" s="150" t="n">
        <f aca="false">TblPop[[#This Row],[Military%]]</f>
        <v>0.25852075121725</v>
      </c>
      <c r="D81" s="132"/>
      <c r="E81" s="151" t="n">
        <f aca="false">OFFSET(TblMili[[#This Row],[Unit 1]],-1,0) + OFFSET(TblMili[[#This Row],[Train Unit 1]],-9,0) - TblMili[[#This Row],[Release Unit 1]]</f>
        <v>0</v>
      </c>
      <c r="F81" s="151" t="n">
        <f aca="false">OFFSET(TblMili[[#This Row],[Unit 2]],-1,0) + OFFSET(TblMili[[#This Row],[Train Unit 2]],-9,0)-TblMili[[#This Row],[Release Unit 2]]</f>
        <v>1002</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25</v>
      </c>
      <c r="J81" s="151" t="n">
        <f aca="false">OFFSET(TblMili[[#This Row],[Archspies]],-1,0) + OFFSET(TblMili[[#This Row],[Train AS]],-12,0) - TblMili[[#This Row],[Release AS]]</f>
        <v>0</v>
      </c>
      <c r="K81" s="151" t="n">
        <f aca="false">OFFSET(TblMili[[#This Row],[Wizards]],-1,0) + OFFSET(TblMili[[#This Row],[Train Wiz]],-12,0) - TblMili[[#This Row],[Release Wizards]]-TblMili[[#This Row],[Train AM]]</f>
        <v>25</v>
      </c>
      <c r="L81" s="151" t="n">
        <f aca="false">OFFSET(TblMili[[#This Row],[Archmages]],-1,0) + OFFSET(TblMili[[#This Row],[Train AM]],-12,0) - TblMili[[#This Row],[Release AM]]</f>
        <v>0</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0.2375</v>
      </c>
      <c r="V81" s="274" t="e">
        <f aca="false">TblMili[[#This Row],[Non Draft]] * (1 + TblMili[[#This Row],[Mods_Def]])</f>
        <v>#VALUE!</v>
      </c>
      <c r="W81" s="285" t="e">
        <f aca="false">TblMili[[#This Row],[Draft]] * (1 + TblMili[[#This Row],[Mods_Def]])</f>
        <v>#VALUE!</v>
      </c>
      <c r="X81" s="285" t="n">
        <f aca="false">TblConstr[[#This Row],[Land]]</f>
        <v>700</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121</v>
      </c>
      <c r="AB81" s="146"/>
      <c r="AC81" s="130" t="n">
        <f aca="false">(TblConstr[[#This Row],[Tot Smi]]+TblConstr[[#This Row],[Dest Smi]])/(TblConstr[[#This Row],[Land]]-TblExplore[[#This Row],[Land Bonus]]*20)</f>
        <v>0.18</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195777</v>
      </c>
      <c r="AQ81" s="69" t="n">
        <f aca="false">INDEX(TblProd[[#Headers],[Lumber]]:TblProd[[#This Row],[Ore]],COUNTA(TblProd[[#Headers],[Lumber]]:TblProd[[#This Row],[Lumber]]),MATCH(Military!$AQ$2,TblProd[[#Headers],[Lumber]:[Ore]],0))</f>
        <v>-357</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121</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0</v>
      </c>
      <c r="CG81" s="288" t="e">
        <f aca="false">MIN(frost_mage_cap,TblMili[[#This Row],[Hill]]/frost_mage_bonus)</f>
        <v>#VALUE!</v>
      </c>
      <c r="CH81" s="151" t="n">
        <f aca="false">MIN(ice_elem_cap,TblMili[[#This Row],[Raw (2)]]*ice_elem_bonus)</f>
        <v>0.0357142857142857</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0.064285714285715</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0.0357142857142857</v>
      </c>
      <c r="DF81" s="291" t="n">
        <f aca="false">TblMili[[#This Row],[Raw (2)]]*(1+race_wizard_strength+IF(TblMili[[#This Row],[Hour]]&gt;72,tech_magical_weaponry_wiz*TblTech[[#This Row],[3-5]],0))</f>
        <v>0.0357142857142857</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3441</v>
      </c>
      <c r="C82" s="150" t="n">
        <f aca="false">TblPop[[#This Row],[Military%]]</f>
        <v>0.265940180848597</v>
      </c>
      <c r="D82" s="132"/>
      <c r="E82" s="151" t="n">
        <f aca="false">OFFSET(TblMili[[#This Row],[Unit 1]],-1,0) + OFFSET(TblMili[[#This Row],[Train Unit 1]],-9,0) - TblMili[[#This Row],[Release Unit 1]]</f>
        <v>0</v>
      </c>
      <c r="F82" s="151" t="n">
        <f aca="false">OFFSET(TblMili[[#This Row],[Unit 2]],-1,0) + OFFSET(TblMili[[#This Row],[Train Unit 2]],-9,0)-TblMili[[#This Row],[Release Unit 2]]</f>
        <v>1002</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25</v>
      </c>
      <c r="J82" s="151" t="n">
        <f aca="false">OFFSET(TblMili[[#This Row],[Archspies]],-1,0) + OFFSET(TblMili[[#This Row],[Train AS]],-12,0) - TblMili[[#This Row],[Release AS]]</f>
        <v>0</v>
      </c>
      <c r="K82" s="151" t="n">
        <f aca="false">OFFSET(TblMili[[#This Row],[Wizards]],-1,0) + OFFSET(TblMili[[#This Row],[Train Wiz]],-12,0) - TblMili[[#This Row],[Release Wizards]]-TblMili[[#This Row],[Train AM]]</f>
        <v>25</v>
      </c>
      <c r="L82" s="151" t="n">
        <f aca="false">OFFSET(TblMili[[#This Row],[Archmages]],-1,0) + OFFSET(TblMili[[#This Row],[Train AM]],-12,0) - TblMili[[#This Row],[Release AM]]</f>
        <v>0</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0.2375</v>
      </c>
      <c r="V82" s="274" t="e">
        <f aca="false">TblMili[[#This Row],[Non Draft]] * (1 + TblMili[[#This Row],[Mods_Def]])</f>
        <v>#VALUE!</v>
      </c>
      <c r="W82" s="285" t="e">
        <f aca="false">TblMili[[#This Row],[Draft]] * (1 + TblMili[[#This Row],[Mods_Def]])</f>
        <v>#VALUE!</v>
      </c>
      <c r="X82" s="285" t="n">
        <f aca="false">TblConstr[[#This Row],[Land]]</f>
        <v>700</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217</v>
      </c>
      <c r="AB82" s="146"/>
      <c r="AC82" s="130" t="n">
        <f aca="false">(TblConstr[[#This Row],[Tot Smi]]+TblConstr[[#This Row],[Dest Smi]])/(TblConstr[[#This Row],[Land]]-TblExplore[[#This Row],[Land Bonus]]*20)</f>
        <v>0.18</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241816</v>
      </c>
      <c r="AQ82" s="69" t="n">
        <f aca="false">INDEX(TblProd[[#Headers],[Lumber]]:TblProd[[#This Row],[Ore]],COUNTA(TblProd[[#Headers],[Lumber]]:TblProd[[#This Row],[Lumber]]),MATCH(Military!$AQ$2,TblProd[[#Headers],[Lumber]:[Ore]],0))</f>
        <v>-357</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217</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0</v>
      </c>
      <c r="CG82" s="288" t="e">
        <f aca="false">MIN(frost_mage_cap,TblMili[[#This Row],[Hill]]/frost_mage_bonus)</f>
        <v>#VALUE!</v>
      </c>
      <c r="CH82" s="151" t="n">
        <f aca="false">MIN(ice_elem_cap,TblMili[[#This Row],[Raw (2)]]*ice_elem_bonus)</f>
        <v>0.0357142857142857</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0.064285714285715</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0.0357142857142857</v>
      </c>
      <c r="DF82" s="291" t="n">
        <f aca="false">TblMili[[#This Row],[Raw (2)]]*(1+race_wizard_strength+IF(TblMili[[#This Row],[Hour]]&gt;72,tech_magical_weaponry_wiz*TblTech[[#This Row],[3-5]],0))</f>
        <v>0.0357142857142857</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3536</v>
      </c>
      <c r="C83" s="150" t="n">
        <f aca="false">TblPop[[#This Row],[Military%]]</f>
        <v>0.273282324754618</v>
      </c>
      <c r="D83" s="132"/>
      <c r="E83" s="151" t="n">
        <f aca="false">OFFSET(TblMili[[#This Row],[Unit 1]],-1,0) + OFFSET(TblMili[[#This Row],[Train Unit 1]],-9,0) - TblMili[[#This Row],[Release Unit 1]]</f>
        <v>0</v>
      </c>
      <c r="F83" s="151" t="n">
        <f aca="false">OFFSET(TblMili[[#This Row],[Unit 2]],-1,0) + OFFSET(TblMili[[#This Row],[Train Unit 2]],-9,0)-TblMili[[#This Row],[Release Unit 2]]</f>
        <v>1002</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25</v>
      </c>
      <c r="J83" s="151" t="n">
        <f aca="false">OFFSET(TblMili[[#This Row],[Archspies]],-1,0) + OFFSET(TblMili[[#This Row],[Train AS]],-12,0) - TblMili[[#This Row],[Release AS]]</f>
        <v>0</v>
      </c>
      <c r="K83" s="151" t="n">
        <f aca="false">OFFSET(TblMili[[#This Row],[Wizards]],-1,0) + OFFSET(TblMili[[#This Row],[Train Wiz]],-12,0) - TblMili[[#This Row],[Release Wizards]]-TblMili[[#This Row],[Train AM]]</f>
        <v>25</v>
      </c>
      <c r="L83" s="151" t="n">
        <f aca="false">OFFSET(TblMili[[#This Row],[Archmages]],-1,0) + OFFSET(TblMili[[#This Row],[Train AM]],-12,0) - TblMili[[#This Row],[Release AM]]</f>
        <v>0</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0.2375</v>
      </c>
      <c r="V83" s="274" t="e">
        <f aca="false">TblMili[[#This Row],[Non Draft]] * (1 + TblMili[[#This Row],[Mods_Def]])</f>
        <v>#VALUE!</v>
      </c>
      <c r="W83" s="285" t="e">
        <f aca="false">TblMili[[#This Row],[Draft]] * (1 + TblMili[[#This Row],[Mods_Def]])</f>
        <v>#VALUE!</v>
      </c>
      <c r="X83" s="285" t="n">
        <f aca="false">TblConstr[[#This Row],[Land]]</f>
        <v>700</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312</v>
      </c>
      <c r="AB83" s="146"/>
      <c r="AC83" s="130" t="n">
        <f aca="false">(TblConstr[[#This Row],[Tot Smi]]+TblConstr[[#This Row],[Dest Smi]])/(TblConstr[[#This Row],[Land]]-TblExplore[[#This Row],[Land Bonus]]*20)</f>
        <v>0.18</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287570</v>
      </c>
      <c r="AQ83" s="69" t="n">
        <f aca="false">INDEX(TblProd[[#Headers],[Lumber]]:TblProd[[#This Row],[Ore]],COUNTA(TblProd[[#Headers],[Lumber]]:TblProd[[#This Row],[Lumber]]),MATCH(Military!$AQ$2,TblProd[[#Headers],[Lumber]:[Ore]],0))</f>
        <v>-357</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312</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0</v>
      </c>
      <c r="CG83" s="288" t="e">
        <f aca="false">MIN(frost_mage_cap,TblMili[[#This Row],[Hill]]/frost_mage_bonus)</f>
        <v>#VALUE!</v>
      </c>
      <c r="CH83" s="151" t="n">
        <f aca="false">MIN(ice_elem_cap,TblMili[[#This Row],[Raw (2)]]*ice_elem_bonus)</f>
        <v>0.0357142857142857</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0.064285714285715</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0.0357142857142857</v>
      </c>
      <c r="DF83" s="291" t="n">
        <f aca="false">TblMili[[#This Row],[Raw (2)]]*(1+race_wizard_strength+IF(TblMili[[#This Row],[Hour]]&gt;72,tech_magical_weaponry_wiz*TblTech[[#This Row],[3-5]],0))</f>
        <v>0.0357142857142857</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3630</v>
      </c>
      <c r="C84" s="150" t="n">
        <f aca="false">TblPop[[#This Row],[Military%]]</f>
        <v>0.280547182935312</v>
      </c>
      <c r="D84" s="132"/>
      <c r="E84" s="151" t="n">
        <f aca="false">OFFSET(TblMili[[#This Row],[Unit 1]],-1,0) + OFFSET(TblMili[[#This Row],[Train Unit 1]],-9,0) - TblMili[[#This Row],[Release Unit 1]]</f>
        <v>0</v>
      </c>
      <c r="F84" s="151" t="n">
        <f aca="false">OFFSET(TblMili[[#This Row],[Unit 2]],-1,0) + OFFSET(TblMili[[#This Row],[Train Unit 2]],-9,0)-TblMili[[#This Row],[Release Unit 2]]</f>
        <v>1002</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25</v>
      </c>
      <c r="J84" s="151" t="n">
        <f aca="false">OFFSET(TblMili[[#This Row],[Archspies]],-1,0) + OFFSET(TblMili[[#This Row],[Train AS]],-12,0) - TblMili[[#This Row],[Release AS]]</f>
        <v>0</v>
      </c>
      <c r="K84" s="151" t="n">
        <f aca="false">OFFSET(TblMili[[#This Row],[Wizards]],-1,0) + OFFSET(TblMili[[#This Row],[Train Wiz]],-12,0) - TblMili[[#This Row],[Release Wizards]]-TblMili[[#This Row],[Train AM]]</f>
        <v>25</v>
      </c>
      <c r="L84" s="151" t="n">
        <f aca="false">OFFSET(TblMili[[#This Row],[Archmages]],-1,0) + OFFSET(TblMili[[#This Row],[Train AM]],-12,0) - TblMili[[#This Row],[Release AM]]</f>
        <v>0</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0.2375</v>
      </c>
      <c r="V84" s="274" t="e">
        <f aca="false">TblMili[[#This Row],[Non Draft]] * (1 + TblMili[[#This Row],[Mods_Def]])</f>
        <v>#VALUE!</v>
      </c>
      <c r="W84" s="285" t="e">
        <f aca="false">TblMili[[#This Row],[Draft]] * (1 + TblMili[[#This Row],[Mods_Def]])</f>
        <v>#VALUE!</v>
      </c>
      <c r="X84" s="285" t="n">
        <f aca="false">TblConstr[[#This Row],[Land]]</f>
        <v>700</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406</v>
      </c>
      <c r="AB84" s="146"/>
      <c r="AC84" s="130" t="n">
        <f aca="false">(TblConstr[[#This Row],[Tot Smi]]+TblConstr[[#This Row],[Dest Smi]])/(TblConstr[[#This Row],[Land]]-TblExplore[[#This Row],[Land Bonus]]*20)</f>
        <v>0.18</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333041</v>
      </c>
      <c r="AQ84" s="69" t="n">
        <f aca="false">INDEX(TblProd[[#Headers],[Lumber]]:TblProd[[#This Row],[Ore]],COUNTA(TblProd[[#Headers],[Lumber]]:TblProd[[#This Row],[Lumber]]),MATCH(Military!$AQ$2,TblProd[[#Headers],[Lumber]:[Ore]],0))</f>
        <v>-357</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406</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0</v>
      </c>
      <c r="CG84" s="288" t="e">
        <f aca="false">MIN(frost_mage_cap,TblMili[[#This Row],[Hill]]/frost_mage_bonus)</f>
        <v>#VALUE!</v>
      </c>
      <c r="CH84" s="151" t="n">
        <f aca="false">MIN(ice_elem_cap,TblMili[[#This Row],[Raw (2)]]*ice_elem_bonus)</f>
        <v>0.0357142857142857</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0.064285714285715</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0.0357142857142857</v>
      </c>
      <c r="DF84" s="291" t="n">
        <f aca="false">TblMili[[#This Row],[Raw (2)]]*(1+race_wizard_strength+IF(TblMili[[#This Row],[Hour]]&gt;72,tech_magical_weaponry_wiz*TblTech[[#This Row],[3-5]],0))</f>
        <v>0.0357142857142857</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3723</v>
      </c>
      <c r="C85" s="150" t="n">
        <f aca="false">TblPop[[#This Row],[Military%]]</f>
        <v>0.287734755390679</v>
      </c>
      <c r="D85" s="132"/>
      <c r="E85" s="151" t="n">
        <f aca="false">OFFSET(TblMili[[#This Row],[Unit 1]],-1,0) + OFFSET(TblMili[[#This Row],[Train Unit 1]],-9,0) - TblMili[[#This Row],[Release Unit 1]]</f>
        <v>0</v>
      </c>
      <c r="F85" s="151" t="n">
        <f aca="false">OFFSET(TblMili[[#This Row],[Unit 2]],-1,0) + OFFSET(TblMili[[#This Row],[Train Unit 2]],-9,0)-TblMili[[#This Row],[Release Unit 2]]</f>
        <v>1002</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25</v>
      </c>
      <c r="J85" s="151" t="n">
        <f aca="false">OFFSET(TblMili[[#This Row],[Archspies]],-1,0) + OFFSET(TblMili[[#This Row],[Train AS]],-12,0) - TblMili[[#This Row],[Release AS]]</f>
        <v>0</v>
      </c>
      <c r="K85" s="151" t="n">
        <f aca="false">OFFSET(TblMili[[#This Row],[Wizards]],-1,0) + OFFSET(TblMili[[#This Row],[Train Wiz]],-12,0) - TblMili[[#This Row],[Release Wizards]]-TblMili[[#This Row],[Train AM]]</f>
        <v>25</v>
      </c>
      <c r="L85" s="151" t="n">
        <f aca="false">OFFSET(TblMili[[#This Row],[Archmages]],-1,0) + OFFSET(TblMili[[#This Row],[Train AM]],-12,0) - TblMili[[#This Row],[Release AM]]</f>
        <v>0</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0.2375</v>
      </c>
      <c r="V85" s="274" t="e">
        <f aca="false">TblMili[[#This Row],[Non Draft]] * (1 + TblMili[[#This Row],[Mods_Def]])</f>
        <v>#VALUE!</v>
      </c>
      <c r="W85" s="285" t="e">
        <f aca="false">TblMili[[#This Row],[Draft]] * (1 + TblMili[[#This Row],[Mods_Def]])</f>
        <v>#VALUE!</v>
      </c>
      <c r="X85" s="285" t="n">
        <f aca="false">TblConstr[[#This Row],[Land]]</f>
        <v>700</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499</v>
      </c>
      <c r="AB85" s="146"/>
      <c r="AC85" s="130" t="n">
        <f aca="false">(TblConstr[[#This Row],[Tot Smi]]+TblConstr[[#This Row],[Dest Smi]])/(TblConstr[[#This Row],[Land]]-TblExplore[[#This Row],[Land Bonus]]*20)</f>
        <v>0.18</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378233</v>
      </c>
      <c r="AQ85" s="69" t="n">
        <f aca="false">INDEX(TblProd[[#Headers],[Lumber]]:TblProd[[#This Row],[Ore]],COUNTA(TblProd[[#Headers],[Lumber]]:TblProd[[#This Row],[Lumber]]),MATCH(Military!$AQ$2,TblProd[[#Headers],[Lumber]:[Ore]],0))</f>
        <v>-357</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499</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0</v>
      </c>
      <c r="CG85" s="288" t="e">
        <f aca="false">MIN(frost_mage_cap,TblMili[[#This Row],[Hill]]/frost_mage_bonus)</f>
        <v>#VALUE!</v>
      </c>
      <c r="CH85" s="151" t="n">
        <f aca="false">MIN(ice_elem_cap,TblMili[[#This Row],[Raw (2)]]*ice_elem_bonus)</f>
        <v>0.0357142857142857</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0.064285714285715</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0.0357142857142857</v>
      </c>
      <c r="DF85" s="291" t="n">
        <f aca="false">TblMili[[#This Row],[Raw (2)]]*(1+race_wizard_strength+IF(TblMili[[#This Row],[Hour]]&gt;72,tech_magical_weaponry_wiz*TblTech[[#This Row],[3-5]],0))</f>
        <v>0.0357142857142857</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3815</v>
      </c>
      <c r="C86" s="150" t="n">
        <f aca="false">TblPop[[#This Row],[Military%]]</f>
        <v>0.29484504212072</v>
      </c>
      <c r="D86" s="132"/>
      <c r="E86" s="151" t="n">
        <f aca="false">OFFSET(TblMili[[#This Row],[Unit 1]],-1,0) + OFFSET(TblMili[[#This Row],[Train Unit 1]],-9,0) - TblMili[[#This Row],[Release Unit 1]]</f>
        <v>0</v>
      </c>
      <c r="F86" s="151" t="n">
        <f aca="false">OFFSET(TblMili[[#This Row],[Unit 2]],-1,0) + OFFSET(TblMili[[#This Row],[Train Unit 2]],-9,0)-TblMili[[#This Row],[Release Unit 2]]</f>
        <v>1050</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25</v>
      </c>
      <c r="J86" s="151" t="n">
        <f aca="false">OFFSET(TblMili[[#This Row],[Archspies]],-1,0) + OFFSET(TblMili[[#This Row],[Train AS]],-12,0) - TblMili[[#This Row],[Release AS]]</f>
        <v>0</v>
      </c>
      <c r="K86" s="151" t="n">
        <f aca="false">OFFSET(TblMili[[#This Row],[Wizards]],-1,0) + OFFSET(TblMili[[#This Row],[Train Wiz]],-12,0) - TblMili[[#This Row],[Release Wizards]]-TblMili[[#This Row],[Train AM]]</f>
        <v>25</v>
      </c>
      <c r="L86" s="151" t="n">
        <f aca="false">OFFSET(TblMili[[#This Row],[Archmages]],-1,0) + OFFSET(TblMili[[#This Row],[Train AM]],-12,0) - TblMili[[#This Row],[Release AM]]</f>
        <v>0</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0.2375</v>
      </c>
      <c r="V86" s="274" t="e">
        <f aca="false">TblMili[[#This Row],[Non Draft]] * (1 + TblMili[[#This Row],[Mods_Def]])</f>
        <v>#VALUE!</v>
      </c>
      <c r="W86" s="285" t="e">
        <f aca="false">TblMili[[#This Row],[Draft]] * (1 + TblMili[[#This Row],[Mods_Def]])</f>
        <v>#VALUE!</v>
      </c>
      <c r="X86" s="285" t="n">
        <f aca="false">TblConstr[[#This Row],[Land]]</f>
        <v>700</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591</v>
      </c>
      <c r="AB86" s="146"/>
      <c r="AC86" s="130" t="n">
        <f aca="false">(TblConstr[[#This Row],[Tot Smi]]+TblConstr[[#This Row],[Dest Smi]])/(TblConstr[[#This Row],[Land]]-TblExplore[[#This Row],[Land Bonus]]*20)</f>
        <v>0.18</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423149</v>
      </c>
      <c r="AQ86" s="69" t="n">
        <f aca="false">INDEX(TblProd[[#Headers],[Lumber]]:TblProd[[#This Row],[Ore]],COUNTA(TblProd[[#Headers],[Lumber]]:TblProd[[#This Row],[Lumber]]),MATCH(Military!$AQ$2,TblProd[[#Headers],[Lumber]:[Ore]],0))</f>
        <v>-357</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591</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0</v>
      </c>
      <c r="CG86" s="288" t="e">
        <f aca="false">MIN(frost_mage_cap,TblMili[[#This Row],[Hill]]/frost_mage_bonus)</f>
        <v>#VALUE!</v>
      </c>
      <c r="CH86" s="151" t="n">
        <f aca="false">MIN(ice_elem_cap,TblMili[[#This Row],[Raw (2)]]*ice_elem_bonus)</f>
        <v>0.0357142857142857</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0.064285714285715</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0.0357142857142857</v>
      </c>
      <c r="DF86" s="291" t="n">
        <f aca="false">TblMili[[#This Row],[Raw (2)]]*(1+race_wizard_strength+IF(TblMili[[#This Row],[Hour]]&gt;72,tech_magical_weaponry_wiz*TblTech[[#This Row],[3-5]],0))</f>
        <v>0.0357142857142857</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3906</v>
      </c>
      <c r="C87" s="150" t="n">
        <f aca="false">TblPop[[#This Row],[Military%]]</f>
        <v>0.301878043125435</v>
      </c>
      <c r="D87" s="132"/>
      <c r="E87" s="151" t="n">
        <f aca="false">OFFSET(TblMili[[#This Row],[Unit 1]],-1,0) + OFFSET(TblMili[[#This Row],[Train Unit 1]],-9,0) - TblMili[[#This Row],[Release Unit 1]]</f>
        <v>0</v>
      </c>
      <c r="F87" s="151" t="n">
        <f aca="false">OFFSET(TblMili[[#This Row],[Unit 2]],-1,0) + OFFSET(TblMili[[#This Row],[Train Unit 2]],-9,0)-TblMili[[#This Row],[Release Unit 2]]</f>
        <v>1148</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25</v>
      </c>
      <c r="J87" s="151" t="n">
        <f aca="false">OFFSET(TblMili[[#This Row],[Archspies]],-1,0) + OFFSET(TblMili[[#This Row],[Train AS]],-12,0) - TblMili[[#This Row],[Release AS]]</f>
        <v>0</v>
      </c>
      <c r="K87" s="151" t="n">
        <f aca="false">OFFSET(TblMili[[#This Row],[Wizards]],-1,0) + OFFSET(TblMili[[#This Row],[Train Wiz]],-12,0) - TblMili[[#This Row],[Release Wizards]]-TblMili[[#This Row],[Train AM]]</f>
        <v>25</v>
      </c>
      <c r="L87" s="151" t="n">
        <f aca="false">OFFSET(TblMili[[#This Row],[Archmages]],-1,0) + OFFSET(TblMili[[#This Row],[Train AM]],-12,0) - TblMili[[#This Row],[Release AM]]</f>
        <v>0</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0.2375</v>
      </c>
      <c r="V87" s="274" t="e">
        <f aca="false">TblMili[[#This Row],[Non Draft]] * (1 + TblMili[[#This Row],[Mods_Def]])</f>
        <v>#VALUE!</v>
      </c>
      <c r="W87" s="285" t="e">
        <f aca="false">TblMili[[#This Row],[Draft]] * (1 + TblMili[[#This Row],[Mods_Def]])</f>
        <v>#VALUE!</v>
      </c>
      <c r="X87" s="285" t="n">
        <f aca="false">TblConstr[[#This Row],[Land]]</f>
        <v>700</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682</v>
      </c>
      <c r="AB87" s="146"/>
      <c r="AC87" s="130" t="n">
        <f aca="false">(TblConstr[[#This Row],[Tot Smi]]+TblConstr[[#This Row],[Dest Smi]])/(TblConstr[[#This Row],[Land]]-TblExplore[[#This Row],[Land Bonus]]*20)</f>
        <v>0.18</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467792</v>
      </c>
      <c r="AQ87" s="69" t="n">
        <f aca="false">INDEX(TblProd[[#Headers],[Lumber]]:TblProd[[#This Row],[Ore]],COUNTA(TblProd[[#Headers],[Lumber]]:TblProd[[#This Row],[Lumber]]),MATCH(Military!$AQ$2,TblProd[[#Headers],[Lumber]:[Ore]],0))</f>
        <v>-357</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682</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0</v>
      </c>
      <c r="CG87" s="288" t="e">
        <f aca="false">MIN(frost_mage_cap,TblMili[[#This Row],[Hill]]/frost_mage_bonus)</f>
        <v>#VALUE!</v>
      </c>
      <c r="CH87" s="151" t="n">
        <f aca="false">MIN(ice_elem_cap,TblMili[[#This Row],[Raw (2)]]*ice_elem_bonus)</f>
        <v>0.0357142857142857</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0.064285714285715</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0.0357142857142857</v>
      </c>
      <c r="DF87" s="291" t="n">
        <f aca="false">TblMili[[#This Row],[Raw (2)]]*(1+race_wizard_strength+IF(TblMili[[#This Row],[Hour]]&gt;72,tech_magical_weaponry_wiz*TblTech[[#This Row],[3-5]],0))</f>
        <v>0.0357142857142857</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3996</v>
      </c>
      <c r="C88" s="150" t="n">
        <f aca="false">TblPop[[#This Row],[Military%]]</f>
        <v>0.308833758404823</v>
      </c>
      <c r="D88" s="132"/>
      <c r="E88" s="151" t="n">
        <f aca="false">OFFSET(TblMili[[#This Row],[Unit 1]],-1,0) + OFFSET(TblMili[[#This Row],[Train Unit 1]],-9,0) - TblMili[[#This Row],[Release Unit 1]]</f>
        <v>0</v>
      </c>
      <c r="F88" s="151" t="n">
        <f aca="false">OFFSET(TblMili[[#This Row],[Unit 2]],-1,0) + OFFSET(TblMili[[#This Row],[Train Unit 2]],-9,0)-TblMili[[#This Row],[Release Unit 2]]</f>
        <v>1246</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25</v>
      </c>
      <c r="J88" s="151" t="n">
        <f aca="false">OFFSET(TblMili[[#This Row],[Archspies]],-1,0) + OFFSET(TblMili[[#This Row],[Train AS]],-12,0) - TblMili[[#This Row],[Release AS]]</f>
        <v>0</v>
      </c>
      <c r="K88" s="151" t="n">
        <f aca="false">OFFSET(TblMili[[#This Row],[Wizards]],-1,0) + OFFSET(TblMili[[#This Row],[Train Wiz]],-12,0) - TblMili[[#This Row],[Release Wizards]]-TblMili[[#This Row],[Train AM]]</f>
        <v>25</v>
      </c>
      <c r="L88" s="151" t="n">
        <f aca="false">OFFSET(TblMili[[#This Row],[Archmages]],-1,0) + OFFSET(TblMili[[#This Row],[Train AM]],-12,0) - TblMili[[#This Row],[Release AM]]</f>
        <v>0</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0.2375</v>
      </c>
      <c r="V88" s="274" t="e">
        <f aca="false">TblMili[[#This Row],[Non Draft]] * (1 + TblMili[[#This Row],[Mods_Def]])</f>
        <v>#VALUE!</v>
      </c>
      <c r="W88" s="285" t="e">
        <f aca="false">TblMili[[#This Row],[Draft]] * (1 + TblMili[[#This Row],[Mods_Def]])</f>
        <v>#VALUE!</v>
      </c>
      <c r="X88" s="285" t="n">
        <f aca="false">TblConstr[[#This Row],[Land]]</f>
        <v>700</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772</v>
      </c>
      <c r="AB88" s="146"/>
      <c r="AC88" s="130" t="n">
        <f aca="false">(TblConstr[[#This Row],[Tot Smi]]+TblConstr[[#This Row],[Dest Smi]])/(TblConstr[[#This Row],[Land]]-TblExplore[[#This Row],[Land Bonus]]*20)</f>
        <v>0.18</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512165</v>
      </c>
      <c r="AQ88" s="69" t="n">
        <f aca="false">INDEX(TblProd[[#Headers],[Lumber]]:TblProd[[#This Row],[Ore]],COUNTA(TblProd[[#Headers],[Lumber]]:TblProd[[#This Row],[Lumber]]),MATCH(Military!$AQ$2,TblProd[[#Headers],[Lumber]:[Ore]],0))</f>
        <v>-357</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772</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0</v>
      </c>
      <c r="CG88" s="288" t="e">
        <f aca="false">MIN(frost_mage_cap,TblMili[[#This Row],[Hill]]/frost_mage_bonus)</f>
        <v>#VALUE!</v>
      </c>
      <c r="CH88" s="151" t="n">
        <f aca="false">MIN(ice_elem_cap,TblMili[[#This Row],[Raw (2)]]*ice_elem_bonus)</f>
        <v>0.0357142857142857</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0.064285714285715</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0.0357142857142857</v>
      </c>
      <c r="DF88" s="291" t="n">
        <f aca="false">TblMili[[#This Row],[Raw (2)]]*(1+race_wizard_strength+IF(TblMili[[#This Row],[Hour]]&gt;72,tech_magical_weaponry_wiz*TblTech[[#This Row],[3-5]],0))</f>
        <v>0.0357142857142857</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4085</v>
      </c>
      <c r="C89" s="150" t="n">
        <f aca="false">TblPop[[#This Row],[Military%]]</f>
        <v>0.315712187958884</v>
      </c>
      <c r="D89" s="132"/>
      <c r="E89" s="151" t="n">
        <f aca="false">OFFSET(TblMili[[#This Row],[Unit 1]],-1,0) + OFFSET(TblMili[[#This Row],[Train Unit 1]],-9,0) - TblMili[[#This Row],[Release Unit 1]]</f>
        <v>0</v>
      </c>
      <c r="F89" s="151" t="n">
        <f aca="false">OFFSET(TblMili[[#This Row],[Unit 2]],-1,0) + OFFSET(TblMili[[#This Row],[Train Unit 2]],-9,0)-TblMili[[#This Row],[Release Unit 2]]</f>
        <v>1246</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25</v>
      </c>
      <c r="J89" s="151" t="n">
        <f aca="false">OFFSET(TblMili[[#This Row],[Archspies]],-1,0) + OFFSET(TblMili[[#This Row],[Train AS]],-12,0) - TblMili[[#This Row],[Release AS]]</f>
        <v>0</v>
      </c>
      <c r="K89" s="151" t="n">
        <f aca="false">OFFSET(TblMili[[#This Row],[Wizards]],-1,0) + OFFSET(TblMili[[#This Row],[Train Wiz]],-12,0) - TblMili[[#This Row],[Release Wizards]]-TblMili[[#This Row],[Train AM]]</f>
        <v>25</v>
      </c>
      <c r="L89" s="151" t="n">
        <f aca="false">OFFSET(TblMili[[#This Row],[Archmages]],-1,0) + OFFSET(TblMili[[#This Row],[Train AM]],-12,0) - TblMili[[#This Row],[Release AM]]</f>
        <v>0</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0.2375</v>
      </c>
      <c r="V89" s="274" t="e">
        <f aca="false">TblMili[[#This Row],[Non Draft]] * (1 + TblMili[[#This Row],[Mods_Def]])</f>
        <v>#VALUE!</v>
      </c>
      <c r="W89" s="285" t="e">
        <f aca="false">TblMili[[#This Row],[Draft]] * (1 + TblMili[[#This Row],[Mods_Def]])</f>
        <v>#VALUE!</v>
      </c>
      <c r="X89" s="285" t="n">
        <f aca="false">TblConstr[[#This Row],[Land]]</f>
        <v>700</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861</v>
      </c>
      <c r="AB89" s="146"/>
      <c r="AC89" s="130" t="n">
        <f aca="false">(TblConstr[[#This Row],[Tot Smi]]+TblConstr[[#This Row],[Dest Smi]])/(TblConstr[[#This Row],[Land]]-TblExplore[[#This Row],[Land Bonus]]*20)</f>
        <v>0.18</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556270</v>
      </c>
      <c r="AQ89" s="69" t="n">
        <f aca="false">INDEX(TblProd[[#Headers],[Lumber]]:TblProd[[#This Row],[Ore]],COUNTA(TblProd[[#Headers],[Lumber]]:TblProd[[#This Row],[Lumber]]),MATCH(Military!$AQ$2,TblProd[[#Headers],[Lumber]:[Ore]],0))</f>
        <v>-357</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861</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0</v>
      </c>
      <c r="CG89" s="288" t="e">
        <f aca="false">MIN(frost_mage_cap,TblMili[[#This Row],[Hill]]/frost_mage_bonus)</f>
        <v>#VALUE!</v>
      </c>
      <c r="CH89" s="151" t="n">
        <f aca="false">MIN(ice_elem_cap,TblMili[[#This Row],[Raw (2)]]*ice_elem_bonus)</f>
        <v>0.0357142857142857</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0.064285714285715</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0.0357142857142857</v>
      </c>
      <c r="DF89" s="291" t="n">
        <f aca="false">TblMili[[#This Row],[Raw (2)]]*(1+race_wizard_strength+IF(TblMili[[#This Row],[Hour]]&gt;72,tech_magical_weaponry_wiz*TblTech[[#This Row],[3-5]],0))</f>
        <v>0.0357142857142857</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4174</v>
      </c>
      <c r="C90" s="150" t="n">
        <f aca="false">TblPop[[#This Row],[Military%]]</f>
        <v>0.322590617512945</v>
      </c>
      <c r="D90" s="132"/>
      <c r="E90" s="151" t="n">
        <f aca="false">OFFSET(TblMili[[#This Row],[Unit 1]],-1,0) + OFFSET(TblMili[[#This Row],[Train Unit 1]],-9,0) - TblMili[[#This Row],[Release Unit 1]]</f>
        <v>0</v>
      </c>
      <c r="F90" s="151" t="n">
        <f aca="false">OFFSET(TblMili[[#This Row],[Unit 2]],-1,0) + OFFSET(TblMili[[#This Row],[Train Unit 2]],-9,0)-TblMili[[#This Row],[Release Unit 2]]</f>
        <v>1246</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25</v>
      </c>
      <c r="J90" s="151" t="n">
        <f aca="false">OFFSET(TblMili[[#This Row],[Archspies]],-1,0) + OFFSET(TblMili[[#This Row],[Train AS]],-12,0) - TblMili[[#This Row],[Release AS]]</f>
        <v>0</v>
      </c>
      <c r="K90" s="151" t="n">
        <f aca="false">OFFSET(TblMili[[#This Row],[Wizards]],-1,0) + OFFSET(TblMili[[#This Row],[Train Wiz]],-12,0) - TblMili[[#This Row],[Release Wizards]]-TblMili[[#This Row],[Train AM]]</f>
        <v>25</v>
      </c>
      <c r="L90" s="151" t="n">
        <f aca="false">OFFSET(TblMili[[#This Row],[Archmages]],-1,0) + OFFSET(TblMili[[#This Row],[Train AM]],-12,0) - TblMili[[#This Row],[Release AM]]</f>
        <v>0</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0.2375</v>
      </c>
      <c r="V90" s="274" t="e">
        <f aca="false">TblMili[[#This Row],[Non Draft]] * (1 + TblMili[[#This Row],[Mods_Def]])</f>
        <v>#VALUE!</v>
      </c>
      <c r="W90" s="285" t="e">
        <f aca="false">TblMili[[#This Row],[Draft]] * (1 + TblMili[[#This Row],[Mods_Def]])</f>
        <v>#VALUE!</v>
      </c>
      <c r="X90" s="285" t="n">
        <f aca="false">TblConstr[[#This Row],[Land]]</f>
        <v>700</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950</v>
      </c>
      <c r="AB90" s="146"/>
      <c r="AC90" s="130" t="n">
        <f aca="false">(TblConstr[[#This Row],[Tot Smi]]+TblConstr[[#This Row],[Dest Smi]])/(TblConstr[[#This Row],[Land]]-TblExplore[[#This Row],[Land Bonus]]*20)</f>
        <v>0.18</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600111</v>
      </c>
      <c r="AQ90" s="69" t="n">
        <f aca="false">INDEX(TblProd[[#Headers],[Lumber]]:TblProd[[#This Row],[Ore]],COUNTA(TblProd[[#Headers],[Lumber]]:TblProd[[#This Row],[Lumber]]),MATCH(Military!$AQ$2,TblProd[[#Headers],[Lumber]:[Ore]],0))</f>
        <v>-357</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950</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0</v>
      </c>
      <c r="CG90" s="288" t="e">
        <f aca="false">MIN(frost_mage_cap,TblMili[[#This Row],[Hill]]/frost_mage_bonus)</f>
        <v>#VALUE!</v>
      </c>
      <c r="CH90" s="151" t="n">
        <f aca="false">MIN(ice_elem_cap,TblMili[[#This Row],[Raw (2)]]*ice_elem_bonus)</f>
        <v>0.0357142857142857</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0.064285714285715</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0.0357142857142857</v>
      </c>
      <c r="DF90" s="291" t="n">
        <f aca="false">TblMili[[#This Row],[Raw (2)]]*(1+race_wizard_strength+IF(TblMili[[#This Row],[Hour]]&gt;72,tech_magical_weaponry_wiz*TblTech[[#This Row],[3-5]],0))</f>
        <v>0.0357142857142857</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4262</v>
      </c>
      <c r="C91" s="150" t="n">
        <f aca="false">TblPop[[#This Row],[Military%]]</f>
        <v>0.32939176134168</v>
      </c>
      <c r="D91" s="132"/>
      <c r="E91" s="151" t="n">
        <f aca="false">OFFSET(TblMili[[#This Row],[Unit 1]],-1,0) + OFFSET(TblMili[[#This Row],[Train Unit 1]],-9,0) - TblMili[[#This Row],[Release Unit 1]]</f>
        <v>0</v>
      </c>
      <c r="F91" s="151" t="n">
        <f aca="false">OFFSET(TblMili[[#This Row],[Unit 2]],-1,0) + OFFSET(TblMili[[#This Row],[Train Unit 2]],-9,0)-TblMili[[#This Row],[Release Unit 2]]</f>
        <v>1246</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25</v>
      </c>
      <c r="J91" s="151" t="n">
        <f aca="false">OFFSET(TblMili[[#This Row],[Archspies]],-1,0) + OFFSET(TblMili[[#This Row],[Train AS]],-12,0) - TblMili[[#This Row],[Release AS]]</f>
        <v>0</v>
      </c>
      <c r="K91" s="151" t="n">
        <f aca="false">OFFSET(TblMili[[#This Row],[Wizards]],-1,0) + OFFSET(TblMili[[#This Row],[Train Wiz]],-12,0) - TblMili[[#This Row],[Release Wizards]]-TblMili[[#This Row],[Train AM]]</f>
        <v>25</v>
      </c>
      <c r="L91" s="151" t="n">
        <f aca="false">OFFSET(TblMili[[#This Row],[Archmages]],-1,0) + OFFSET(TblMili[[#This Row],[Train AM]],-12,0) - TblMili[[#This Row],[Release AM]]</f>
        <v>0</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0.2375</v>
      </c>
      <c r="V91" s="274" t="e">
        <f aca="false">TblMili[[#This Row],[Non Draft]] * (1 + TblMili[[#This Row],[Mods_Def]])</f>
        <v>#VALUE!</v>
      </c>
      <c r="W91" s="285" t="e">
        <f aca="false">TblMili[[#This Row],[Draft]] * (1 + TblMili[[#This Row],[Mods_Def]])</f>
        <v>#VALUE!</v>
      </c>
      <c r="X91" s="285" t="n">
        <f aca="false">TblConstr[[#This Row],[Land]]</f>
        <v>700</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1038</v>
      </c>
      <c r="AB91" s="146"/>
      <c r="AC91" s="130" t="n">
        <f aca="false">(TblConstr[[#This Row],[Tot Smi]]+TblConstr[[#This Row],[Dest Smi]])/(TblConstr[[#This Row],[Land]]-TblExplore[[#This Row],[Land Bonus]]*20)</f>
        <v>0.18</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643688</v>
      </c>
      <c r="AQ91" s="69" t="n">
        <f aca="false">INDEX(TblProd[[#Headers],[Lumber]]:TblProd[[#This Row],[Ore]],COUNTA(TblProd[[#Headers],[Lumber]]:TblProd[[#This Row],[Lumber]]),MATCH(Military!$AQ$2,TblProd[[#Headers],[Lumber]:[Ore]],0))</f>
        <v>-357</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1038</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0</v>
      </c>
      <c r="CG91" s="288" t="e">
        <f aca="false">MIN(frost_mage_cap,TblMili[[#This Row],[Hill]]/frost_mage_bonus)</f>
        <v>#VALUE!</v>
      </c>
      <c r="CH91" s="151" t="n">
        <f aca="false">MIN(ice_elem_cap,TblMili[[#This Row],[Raw (2)]]*ice_elem_bonus)</f>
        <v>0.0357142857142857</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0.064285714285715</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0.0357142857142857</v>
      </c>
      <c r="DF91" s="291" t="n">
        <f aca="false">TblMili[[#This Row],[Raw (2)]]*(1+race_wizard_strength+IF(TblMili[[#This Row],[Hour]]&gt;72,tech_magical_weaponry_wiz*TblTech[[#This Row],[3-5]],0))</f>
        <v>0.0357142857142857</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4349</v>
      </c>
      <c r="C92" s="150" t="n">
        <f aca="false">TblPop[[#This Row],[Military%]]</f>
        <v>0.336115619445089</v>
      </c>
      <c r="D92" s="132"/>
      <c r="E92" s="151" t="n">
        <f aca="false">OFFSET(TblMili[[#This Row],[Unit 1]],-1,0) + OFFSET(TblMili[[#This Row],[Train Unit 1]],-9,0) - TblMili[[#This Row],[Release Unit 1]]</f>
        <v>0</v>
      </c>
      <c r="F92" s="151" t="n">
        <f aca="false">OFFSET(TblMili[[#This Row],[Unit 2]],-1,0) + OFFSET(TblMili[[#This Row],[Train Unit 2]],-9,0)-TblMili[[#This Row],[Release Unit 2]]</f>
        <v>1246</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25</v>
      </c>
      <c r="J92" s="151" t="n">
        <f aca="false">OFFSET(TblMili[[#This Row],[Archspies]],-1,0) + OFFSET(TblMili[[#This Row],[Train AS]],-12,0) - TblMili[[#This Row],[Release AS]]</f>
        <v>0</v>
      </c>
      <c r="K92" s="151" t="n">
        <f aca="false">OFFSET(TblMili[[#This Row],[Wizards]],-1,0) + OFFSET(TblMili[[#This Row],[Train Wiz]],-12,0) - TblMili[[#This Row],[Release Wizards]]-TblMili[[#This Row],[Train AM]]</f>
        <v>25</v>
      </c>
      <c r="L92" s="151" t="n">
        <f aca="false">OFFSET(TblMili[[#This Row],[Archmages]],-1,0) + OFFSET(TblMili[[#This Row],[Train AM]],-12,0) - TblMili[[#This Row],[Release AM]]</f>
        <v>0</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0.2375</v>
      </c>
      <c r="V92" s="274" t="e">
        <f aca="false">TblMili[[#This Row],[Non Draft]] * (1 + TblMili[[#This Row],[Mods_Def]])</f>
        <v>#VALUE!</v>
      </c>
      <c r="W92" s="285" t="e">
        <f aca="false">TblMili[[#This Row],[Draft]] * (1 + TblMili[[#This Row],[Mods_Def]])</f>
        <v>#VALUE!</v>
      </c>
      <c r="X92" s="285" t="n">
        <f aca="false">TblConstr[[#This Row],[Land]]</f>
        <v>700</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1125</v>
      </c>
      <c r="AB92" s="146"/>
      <c r="AC92" s="130" t="n">
        <f aca="false">(TblConstr[[#This Row],[Tot Smi]]+TblConstr[[#This Row],[Dest Smi]])/(TblConstr[[#This Row],[Land]]-TblExplore[[#This Row],[Land Bonus]]*20)</f>
        <v>0.18</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687003</v>
      </c>
      <c r="AQ92" s="69" t="n">
        <f aca="false">INDEX(TblProd[[#Headers],[Lumber]]:TblProd[[#This Row],[Ore]],COUNTA(TblProd[[#Headers],[Lumber]]:TblProd[[#This Row],[Lumber]]),MATCH(Military!$AQ$2,TblProd[[#Headers],[Lumber]:[Ore]],0))</f>
        <v>-357</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1125</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0</v>
      </c>
      <c r="CG92" s="288" t="e">
        <f aca="false">MIN(frost_mage_cap,TblMili[[#This Row],[Hill]]/frost_mage_bonus)</f>
        <v>#VALUE!</v>
      </c>
      <c r="CH92" s="151" t="n">
        <f aca="false">MIN(ice_elem_cap,TblMili[[#This Row],[Raw (2)]]*ice_elem_bonus)</f>
        <v>0.0357142857142857</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0.064285714285715</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0.0357142857142857</v>
      </c>
      <c r="DF92" s="291" t="n">
        <f aca="false">TblMili[[#This Row],[Raw (2)]]*(1+race_wizard_strength+IF(TblMili[[#This Row],[Hour]]&gt;72,tech_magical_weaponry_wiz*TblTech[[#This Row],[3-5]],0))</f>
        <v>0.0357142857142857</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4435</v>
      </c>
      <c r="C93" s="150" t="n">
        <f aca="false">TblPop[[#This Row],[Military%]]</f>
        <v>0.34276219182317</v>
      </c>
      <c r="D93" s="132"/>
      <c r="E93" s="151" t="n">
        <f aca="false">OFFSET(TblMili[[#This Row],[Unit 1]],-1,0) + OFFSET(TblMili[[#This Row],[Train Unit 1]],-9,0) - TblMili[[#This Row],[Release Unit 1]]</f>
        <v>0</v>
      </c>
      <c r="F93" s="151" t="n">
        <f aca="false">OFFSET(TblMili[[#This Row],[Unit 2]],-1,0) + OFFSET(TblMili[[#This Row],[Train Unit 2]],-9,0)-TblMili[[#This Row],[Release Unit 2]]</f>
        <v>1246</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25</v>
      </c>
      <c r="J93" s="151" t="n">
        <f aca="false">OFFSET(TblMili[[#This Row],[Archspies]],-1,0) + OFFSET(TblMili[[#This Row],[Train AS]],-12,0) - TblMili[[#This Row],[Release AS]]</f>
        <v>0</v>
      </c>
      <c r="K93" s="151" t="n">
        <f aca="false">OFFSET(TblMili[[#This Row],[Wizards]],-1,0) + OFFSET(TblMili[[#This Row],[Train Wiz]],-12,0) - TblMili[[#This Row],[Release Wizards]]-TblMili[[#This Row],[Train AM]]</f>
        <v>25</v>
      </c>
      <c r="L93" s="151" t="n">
        <f aca="false">OFFSET(TblMili[[#This Row],[Archmages]],-1,0) + OFFSET(TblMili[[#This Row],[Train AM]],-12,0) - TblMili[[#This Row],[Release AM]]</f>
        <v>0</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0.2375</v>
      </c>
      <c r="V93" s="274" t="e">
        <f aca="false">TblMili[[#This Row],[Non Draft]] * (1 + TblMili[[#This Row],[Mods_Def]])</f>
        <v>#VALUE!</v>
      </c>
      <c r="W93" s="285" t="e">
        <f aca="false">TblMili[[#This Row],[Draft]] * (1 + TblMili[[#This Row],[Mods_Def]])</f>
        <v>#VALUE!</v>
      </c>
      <c r="X93" s="285" t="n">
        <f aca="false">TblConstr[[#This Row],[Land]]</f>
        <v>700</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1211</v>
      </c>
      <c r="AB93" s="146"/>
      <c r="AC93" s="130" t="n">
        <f aca="false">(TblConstr[[#This Row],[Tot Smi]]+TblConstr[[#This Row],[Dest Smi]])/(TblConstr[[#This Row],[Land]]-TblExplore[[#This Row],[Land Bonus]]*20)</f>
        <v>0.18</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730060</v>
      </c>
      <c r="AQ93" s="69" t="n">
        <f aca="false">INDEX(TblProd[[#Headers],[Lumber]]:TblProd[[#This Row],[Ore]],COUNTA(TblProd[[#Headers],[Lumber]]:TblProd[[#This Row],[Lumber]]),MATCH(Military!$AQ$2,TblProd[[#Headers],[Lumber]:[Ore]],0))</f>
        <v>-357</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1211</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0</v>
      </c>
      <c r="CG93" s="288" t="e">
        <f aca="false">MIN(frost_mage_cap,TblMili[[#This Row],[Hill]]/frost_mage_bonus)</f>
        <v>#VALUE!</v>
      </c>
      <c r="CH93" s="151" t="n">
        <f aca="false">MIN(ice_elem_cap,TblMili[[#This Row],[Raw (2)]]*ice_elem_bonus)</f>
        <v>0.0357142857142857</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0.064285714285715</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0.0357142857142857</v>
      </c>
      <c r="DF93" s="291" t="n">
        <f aca="false">TblMili[[#This Row],[Raw (2)]]*(1+race_wizard_strength+IF(TblMili[[#This Row],[Hour]]&gt;72,tech_magical_weaponry_wiz*TblTech[[#This Row],[3-5]],0))</f>
        <v>0.0357142857142857</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4520</v>
      </c>
      <c r="C94" s="150" t="n">
        <f aca="false">TblPop[[#This Row],[Military%]]</f>
        <v>0.349331478475926</v>
      </c>
      <c r="D94" s="132"/>
      <c r="E94" s="151" t="n">
        <f aca="false">OFFSET(TblMili[[#This Row],[Unit 1]],-1,0) + OFFSET(TblMili[[#This Row],[Train Unit 1]],-9,0) - TblMili[[#This Row],[Release Unit 1]]</f>
        <v>0</v>
      </c>
      <c r="F94" s="151" t="n">
        <f aca="false">OFFSET(TblMili[[#This Row],[Unit 2]],-1,0) + OFFSET(TblMili[[#This Row],[Train Unit 2]],-9,0)-TblMili[[#This Row],[Release Unit 2]]</f>
        <v>1246</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25</v>
      </c>
      <c r="J94" s="151" t="n">
        <f aca="false">OFFSET(TblMili[[#This Row],[Archspies]],-1,0) + OFFSET(TblMili[[#This Row],[Train AS]],-12,0) - TblMili[[#This Row],[Release AS]]</f>
        <v>0</v>
      </c>
      <c r="K94" s="151" t="n">
        <f aca="false">OFFSET(TblMili[[#This Row],[Wizards]],-1,0) + OFFSET(TblMili[[#This Row],[Train Wiz]],-12,0) - TblMili[[#This Row],[Release Wizards]]-TblMili[[#This Row],[Train AM]]</f>
        <v>25</v>
      </c>
      <c r="L94" s="151" t="n">
        <f aca="false">OFFSET(TblMili[[#This Row],[Archmages]],-1,0) + OFFSET(TblMili[[#This Row],[Train AM]],-12,0) - TblMili[[#This Row],[Release AM]]</f>
        <v>0</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0.2375</v>
      </c>
      <c r="V94" s="274" t="e">
        <f aca="false">TblMili[[#This Row],[Non Draft]] * (1 + TblMili[[#This Row],[Mods_Def]])</f>
        <v>#VALUE!</v>
      </c>
      <c r="W94" s="285" t="e">
        <f aca="false">TblMili[[#This Row],[Draft]] * (1 + TblMili[[#This Row],[Mods_Def]])</f>
        <v>#VALUE!</v>
      </c>
      <c r="X94" s="285" t="n">
        <f aca="false">TblConstr[[#This Row],[Land]]</f>
        <v>700</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1296</v>
      </c>
      <c r="AB94" s="146"/>
      <c r="AC94" s="130" t="n">
        <f aca="false">(TblConstr[[#This Row],[Tot Smi]]+TblConstr[[#This Row],[Dest Smi]])/(TblConstr[[#This Row],[Land]]-TblExplore[[#This Row],[Land Bonus]]*20)</f>
        <v>0.18</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772861</v>
      </c>
      <c r="AQ94" s="69" t="n">
        <f aca="false">INDEX(TblProd[[#Headers],[Lumber]]:TblProd[[#This Row],[Ore]],COUNTA(TblProd[[#Headers],[Lumber]]:TblProd[[#This Row],[Lumber]]),MATCH(Military!$AQ$2,TblProd[[#Headers],[Lumber]:[Ore]],0))</f>
        <v>-357</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1296</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0</v>
      </c>
      <c r="CG94" s="288" t="e">
        <f aca="false">MIN(frost_mage_cap,TblMili[[#This Row],[Hill]]/frost_mage_bonus)</f>
        <v>#VALUE!</v>
      </c>
      <c r="CH94" s="151" t="n">
        <f aca="false">MIN(ice_elem_cap,TblMili[[#This Row],[Raw (2)]]*ice_elem_bonus)</f>
        <v>0.0357142857142857</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0.064285714285715</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0.0357142857142857</v>
      </c>
      <c r="DF94" s="291" t="n">
        <f aca="false">TblMili[[#This Row],[Raw (2)]]*(1+race_wizard_strength+IF(TblMili[[#This Row],[Hour]]&gt;72,tech_magical_weaponry_wiz*TblTech[[#This Row],[3-5]],0))</f>
        <v>0.0357142857142857</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4604</v>
      </c>
      <c r="C95" s="150" t="n">
        <f aca="false">TblPop[[#This Row],[Military%]]</f>
        <v>0.355823479403354</v>
      </c>
      <c r="D95" s="132"/>
      <c r="E95" s="151" t="n">
        <f aca="false">OFFSET(TblMili[[#This Row],[Unit 1]],-1,0) + OFFSET(TblMili[[#This Row],[Train Unit 1]],-9,0) - TblMili[[#This Row],[Release Unit 1]]</f>
        <v>0</v>
      </c>
      <c r="F95" s="151" t="n">
        <f aca="false">OFFSET(TblMili[[#This Row],[Unit 2]],-1,0) + OFFSET(TblMili[[#This Row],[Train Unit 2]],-9,0)-TblMili[[#This Row],[Release Unit 2]]</f>
        <v>1246</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25</v>
      </c>
      <c r="J95" s="151" t="n">
        <f aca="false">OFFSET(TblMili[[#This Row],[Archspies]],-1,0) + OFFSET(TblMili[[#This Row],[Train AS]],-12,0) - TblMili[[#This Row],[Release AS]]</f>
        <v>0</v>
      </c>
      <c r="K95" s="151" t="n">
        <f aca="false">OFFSET(TblMili[[#This Row],[Wizards]],-1,0) + OFFSET(TblMili[[#This Row],[Train Wiz]],-12,0) - TblMili[[#This Row],[Release Wizards]]-TblMili[[#This Row],[Train AM]]</f>
        <v>25</v>
      </c>
      <c r="L95" s="151" t="n">
        <f aca="false">OFFSET(TblMili[[#This Row],[Archmages]],-1,0) + OFFSET(TblMili[[#This Row],[Train AM]],-12,0) - TblMili[[#This Row],[Release AM]]</f>
        <v>0</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0.2375</v>
      </c>
      <c r="V95" s="274" t="e">
        <f aca="false">TblMili[[#This Row],[Non Draft]] * (1 + TblMili[[#This Row],[Mods_Def]])</f>
        <v>#VALUE!</v>
      </c>
      <c r="W95" s="285" t="e">
        <f aca="false">TblMili[[#This Row],[Draft]] * (1 + TblMili[[#This Row],[Mods_Def]])</f>
        <v>#VALUE!</v>
      </c>
      <c r="X95" s="285" t="n">
        <f aca="false">TblConstr[[#This Row],[Land]]</f>
        <v>700</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1380</v>
      </c>
      <c r="AB95" s="146"/>
      <c r="AC95" s="130" t="n">
        <f aca="false">(TblConstr[[#This Row],[Tot Smi]]+TblConstr[[#This Row],[Dest Smi]])/(TblConstr[[#This Row],[Land]]-TblExplore[[#This Row],[Land Bonus]]*20)</f>
        <v>0.18</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815410</v>
      </c>
      <c r="AQ95" s="69" t="n">
        <f aca="false">INDEX(TblProd[[#Headers],[Lumber]]:TblProd[[#This Row],[Ore]],COUNTA(TblProd[[#Headers],[Lumber]]:TblProd[[#This Row],[Lumber]]),MATCH(Military!$AQ$2,TblProd[[#Headers],[Lumber]:[Ore]],0))</f>
        <v>-357</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1380</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0</v>
      </c>
      <c r="CG95" s="288" t="e">
        <f aca="false">MIN(frost_mage_cap,TblMili[[#This Row],[Hill]]/frost_mage_bonus)</f>
        <v>#VALUE!</v>
      </c>
      <c r="CH95" s="151" t="n">
        <f aca="false">MIN(ice_elem_cap,TblMili[[#This Row],[Raw (2)]]*ice_elem_bonus)</f>
        <v>0.0357142857142857</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0.064285714285715</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0.0357142857142857</v>
      </c>
      <c r="DF95" s="291" t="n">
        <f aca="false">TblMili[[#This Row],[Raw (2)]]*(1+race_wizard_strength+IF(TblMili[[#This Row],[Hour]]&gt;72,tech_magical_weaponry_wiz*TblTech[[#This Row],[3-5]],0))</f>
        <v>0.0357142857142857</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4687</v>
      </c>
      <c r="C96" s="150" t="n">
        <f aca="false">TblPop[[#This Row],[Military%]]</f>
        <v>0.362238194605456</v>
      </c>
      <c r="D96" s="132"/>
      <c r="E96" s="151" t="n">
        <f aca="false">OFFSET(TblMili[[#This Row],[Unit 1]],-1,0) + OFFSET(TblMili[[#This Row],[Train Unit 1]],-9,0) - TblMili[[#This Row],[Release Unit 1]]</f>
        <v>0</v>
      </c>
      <c r="F96" s="151" t="n">
        <f aca="false">OFFSET(TblMili[[#This Row],[Unit 2]],-1,0) + OFFSET(TblMili[[#This Row],[Train Unit 2]],-9,0)-TblMili[[#This Row],[Release Unit 2]]</f>
        <v>1246</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25</v>
      </c>
      <c r="J96" s="151" t="n">
        <f aca="false">OFFSET(TblMili[[#This Row],[Archspies]],-1,0) + OFFSET(TblMili[[#This Row],[Train AS]],-12,0) - TblMili[[#This Row],[Release AS]]</f>
        <v>0</v>
      </c>
      <c r="K96" s="151" t="n">
        <f aca="false">OFFSET(TblMili[[#This Row],[Wizards]],-1,0) + OFFSET(TblMili[[#This Row],[Train Wiz]],-12,0) - TblMili[[#This Row],[Release Wizards]]-TblMili[[#This Row],[Train AM]]</f>
        <v>25</v>
      </c>
      <c r="L96" s="151" t="n">
        <f aca="false">OFFSET(TblMili[[#This Row],[Archmages]],-1,0) + OFFSET(TblMili[[#This Row],[Train AM]],-12,0) - TblMili[[#This Row],[Release AM]]</f>
        <v>0</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0.2375</v>
      </c>
      <c r="V96" s="274" t="e">
        <f aca="false">TblMili[[#This Row],[Non Draft]] * (1 + TblMili[[#This Row],[Mods_Def]])</f>
        <v>#VALUE!</v>
      </c>
      <c r="W96" s="285" t="e">
        <f aca="false">TblMili[[#This Row],[Draft]] * (1 + TblMili[[#This Row],[Mods_Def]])</f>
        <v>#VALUE!</v>
      </c>
      <c r="X96" s="285" t="n">
        <f aca="false">TblConstr[[#This Row],[Land]]</f>
        <v>700</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1463</v>
      </c>
      <c r="AB96" s="146"/>
      <c r="AC96" s="130" t="n">
        <f aca="false">(TblConstr[[#This Row],[Tot Smi]]+TblConstr[[#This Row],[Dest Smi]])/(TblConstr[[#This Row],[Land]]-TblExplore[[#This Row],[Land Bonus]]*20)</f>
        <v>0.18</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857709</v>
      </c>
      <c r="AQ96" s="69" t="n">
        <f aca="false">INDEX(TblProd[[#Headers],[Lumber]]:TblProd[[#This Row],[Ore]],COUNTA(TblProd[[#Headers],[Lumber]]:TblProd[[#This Row],[Lumber]]),MATCH(Military!$AQ$2,TblProd[[#Headers],[Lumber]:[Ore]],0))</f>
        <v>-357</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1463</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0</v>
      </c>
      <c r="CG96" s="288" t="e">
        <f aca="false">MIN(frost_mage_cap,TblMili[[#This Row],[Hill]]/frost_mage_bonus)</f>
        <v>#VALUE!</v>
      </c>
      <c r="CH96" s="151" t="n">
        <f aca="false">MIN(ice_elem_cap,TblMili[[#This Row],[Raw (2)]]*ice_elem_bonus)</f>
        <v>0.0357142857142857</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0.064285714285715</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0.0357142857142857</v>
      </c>
      <c r="DF96" s="291" t="n">
        <f aca="false">TblMili[[#This Row],[Raw (2)]]*(1+race_wizard_strength+IF(TblMili[[#This Row],[Hour]]&gt;72,tech_magical_weaponry_wiz*TblTech[[#This Row],[3-5]],0))</f>
        <v>0.0357142857142857</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4770</v>
      </c>
      <c r="C97" s="150" t="n">
        <f aca="false">TblPop[[#This Row],[Military%]]</f>
        <v>0.368652909807559</v>
      </c>
      <c r="D97" s="132"/>
      <c r="E97" s="151" t="n">
        <f aca="false">OFFSET(TblMili[[#This Row],[Unit 1]],-1,0) + OFFSET(TblMili[[#This Row],[Train Unit 1]],-9,0) - TblMili[[#This Row],[Release Unit 1]]</f>
        <v>0</v>
      </c>
      <c r="F97" s="151" t="n">
        <f aca="false">OFFSET(TblMili[[#This Row],[Unit 2]],-1,0) + OFFSET(TblMili[[#This Row],[Train Unit 2]],-9,0)-TblMili[[#This Row],[Release Unit 2]]</f>
        <v>1246</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25</v>
      </c>
      <c r="J97" s="151" t="n">
        <f aca="false">OFFSET(TblMili[[#This Row],[Archspies]],-1,0) + OFFSET(TblMili[[#This Row],[Train AS]],-12,0) - TblMili[[#This Row],[Release AS]]</f>
        <v>0</v>
      </c>
      <c r="K97" s="151" t="n">
        <f aca="false">OFFSET(TblMili[[#This Row],[Wizards]],-1,0) + OFFSET(TblMili[[#This Row],[Train Wiz]],-12,0) - TblMili[[#This Row],[Release Wizards]]-TblMili[[#This Row],[Train AM]]</f>
        <v>25</v>
      </c>
      <c r="L97" s="151" t="n">
        <f aca="false">OFFSET(TblMili[[#This Row],[Archmages]],-1,0) + OFFSET(TblMili[[#This Row],[Train AM]],-12,0) - TblMili[[#This Row],[Release AM]]</f>
        <v>0</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0.2375</v>
      </c>
      <c r="V97" s="274" t="e">
        <f aca="false">TblMili[[#This Row],[Non Draft]] * (1 + TblMili[[#This Row],[Mods_Def]])</f>
        <v>#VALUE!</v>
      </c>
      <c r="W97" s="285" t="e">
        <f aca="false">TblMili[[#This Row],[Draft]] * (1 + TblMili[[#This Row],[Mods_Def]])</f>
        <v>#VALUE!</v>
      </c>
      <c r="X97" s="285" t="n">
        <f aca="false">TblConstr[[#This Row],[Land]]</f>
        <v>700</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1546</v>
      </c>
      <c r="AB97" s="146"/>
      <c r="AC97" s="130" t="n">
        <f aca="false">(TblConstr[[#This Row],[Tot Smi]]+TblConstr[[#This Row],[Dest Smi]])/(TblConstr[[#This Row],[Land]]-TblExplore[[#This Row],[Land Bonus]]*20)</f>
        <v>0.18</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899762</v>
      </c>
      <c r="AQ97" s="69" t="n">
        <f aca="false">INDEX(TblProd[[#Headers],[Lumber]]:TblProd[[#This Row],[Ore]],COUNTA(TblProd[[#Headers],[Lumber]]:TblProd[[#This Row],[Lumber]]),MATCH(Military!$AQ$2,TblProd[[#Headers],[Lumber]:[Ore]],0))</f>
        <v>-357</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1546</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0</v>
      </c>
      <c r="CG97" s="288" t="e">
        <f aca="false">MIN(frost_mage_cap,TblMili[[#This Row],[Hill]]/frost_mage_bonus)</f>
        <v>#VALUE!</v>
      </c>
      <c r="CH97" s="151" t="n">
        <f aca="false">MIN(ice_elem_cap,TblMili[[#This Row],[Raw (2)]]*ice_elem_bonus)</f>
        <v>0.0357142857142857</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0.064285714285715</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0.0357142857142857</v>
      </c>
      <c r="DF97" s="291" t="n">
        <f aca="false">TblMili[[#This Row],[Raw (2)]]*(1+race_wizard_strength+IF(TblMili[[#This Row],[Hour]]&gt;72,tech_magical_weaponry_wiz*TblTech[[#This Row],[3-5]],0))</f>
        <v>0.0357142857142857</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4852</v>
      </c>
      <c r="C98" s="150" t="n">
        <f aca="false">TblPop[[#This Row],[Military%]]</f>
        <v>0.374990339284334</v>
      </c>
      <c r="D98" s="132"/>
      <c r="E98" s="151" t="n">
        <f aca="false">OFFSET(TblMili[[#This Row],[Unit 1]],-1,0) + OFFSET(TblMili[[#This Row],[Train Unit 1]],-9,0) - TblMili[[#This Row],[Release Unit 1]]</f>
        <v>0</v>
      </c>
      <c r="F98" s="151" t="n">
        <f aca="false">OFFSET(TblMili[[#This Row],[Unit 2]],-1,0) + OFFSET(TblMili[[#This Row],[Train Unit 2]],-9,0)-TblMili[[#This Row],[Release Unit 2]]</f>
        <v>1246</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25</v>
      </c>
      <c r="J98" s="151" t="n">
        <f aca="false">OFFSET(TblMili[[#This Row],[Archspies]],-1,0) + OFFSET(TblMili[[#This Row],[Train AS]],-12,0) - TblMili[[#This Row],[Release AS]]</f>
        <v>0</v>
      </c>
      <c r="K98" s="151" t="n">
        <f aca="false">OFFSET(TblMili[[#This Row],[Wizards]],-1,0) + OFFSET(TblMili[[#This Row],[Train Wiz]],-12,0) - TblMili[[#This Row],[Release Wizards]]-TblMili[[#This Row],[Train AM]]</f>
        <v>25</v>
      </c>
      <c r="L98" s="151" t="n">
        <f aca="false">OFFSET(TblMili[[#This Row],[Archmages]],-1,0) + OFFSET(TblMili[[#This Row],[Train AM]],-12,0) - TblMili[[#This Row],[Release AM]]</f>
        <v>0</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0.2375</v>
      </c>
      <c r="V98" s="274" t="e">
        <f aca="false">TblMili[[#This Row],[Non Draft]] * (1 + TblMili[[#This Row],[Mods_Def]])</f>
        <v>#VALUE!</v>
      </c>
      <c r="W98" s="285" t="e">
        <f aca="false">TblMili[[#This Row],[Draft]] * (1 + TblMili[[#This Row],[Mods_Def]])</f>
        <v>#VALUE!</v>
      </c>
      <c r="X98" s="285" t="n">
        <f aca="false">TblConstr[[#This Row],[Land]]</f>
        <v>700</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1628</v>
      </c>
      <c r="AB98" s="146"/>
      <c r="AC98" s="130" t="n">
        <f aca="false">(TblConstr[[#This Row],[Tot Smi]]+TblConstr[[#This Row],[Dest Smi]])/(TblConstr[[#This Row],[Land]]-TblExplore[[#This Row],[Land Bonus]]*20)</f>
        <v>0.18</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941568</v>
      </c>
      <c r="AQ98" s="69" t="n">
        <f aca="false">INDEX(TblProd[[#Headers],[Lumber]]:TblProd[[#This Row],[Ore]],COUNTA(TblProd[[#Headers],[Lumber]]:TblProd[[#This Row],[Lumber]]),MATCH(Military!$AQ$2,TblProd[[#Headers],[Lumber]:[Ore]],0))</f>
        <v>-357</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1628</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0</v>
      </c>
      <c r="CG98" s="288" t="e">
        <f aca="false">MIN(frost_mage_cap,TblMili[[#This Row],[Hill]]/frost_mage_bonus)</f>
        <v>#VALUE!</v>
      </c>
      <c r="CH98" s="151" t="n">
        <f aca="false">MIN(ice_elem_cap,TblMili[[#This Row],[Raw (2)]]*ice_elem_bonus)</f>
        <v>0.0357142857142857</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0.064285714285715</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0.0357142857142857</v>
      </c>
      <c r="DF98" s="291" t="n">
        <f aca="false">TblMili[[#This Row],[Raw (2)]]*(1+race_wizard_strength+IF(TblMili[[#This Row],[Hour]]&gt;72,tech_magical_weaponry_wiz*TblTech[[#This Row],[3-5]],0))</f>
        <v>0.0357142857142857</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4933</v>
      </c>
      <c r="C99" s="150" t="n">
        <f aca="false">TblPop[[#This Row],[Military%]]</f>
        <v>0.381250483035783</v>
      </c>
      <c r="D99" s="132"/>
      <c r="E99" s="151" t="n">
        <f aca="false">OFFSET(TblMili[[#This Row],[Unit 1]],-1,0) + OFFSET(TblMili[[#This Row],[Train Unit 1]],-9,0) - TblMili[[#This Row],[Release Unit 1]]</f>
        <v>0</v>
      </c>
      <c r="F99" s="151" t="n">
        <f aca="false">OFFSET(TblMili[[#This Row],[Unit 2]],-1,0) + OFFSET(TblMili[[#This Row],[Train Unit 2]],-9,0)-TblMili[[#This Row],[Release Unit 2]]</f>
        <v>1246</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25</v>
      </c>
      <c r="J99" s="151" t="n">
        <f aca="false">OFFSET(TblMili[[#This Row],[Archspies]],-1,0) + OFFSET(TblMili[[#This Row],[Train AS]],-12,0) - TblMili[[#This Row],[Release AS]]</f>
        <v>0</v>
      </c>
      <c r="K99" s="151" t="n">
        <f aca="false">OFFSET(TblMili[[#This Row],[Wizards]],-1,0) + OFFSET(TblMili[[#This Row],[Train Wiz]],-12,0) - TblMili[[#This Row],[Release Wizards]]-TblMili[[#This Row],[Train AM]]</f>
        <v>25</v>
      </c>
      <c r="L99" s="151" t="n">
        <f aca="false">OFFSET(TblMili[[#This Row],[Archmages]],-1,0) + OFFSET(TblMili[[#This Row],[Train AM]],-12,0) - TblMili[[#This Row],[Release AM]]</f>
        <v>0</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0.2375</v>
      </c>
      <c r="V99" s="274" t="e">
        <f aca="false">TblMili[[#This Row],[Non Draft]] * (1 + TblMili[[#This Row],[Mods_Def]])</f>
        <v>#VALUE!</v>
      </c>
      <c r="W99" s="285" t="e">
        <f aca="false">TblMili[[#This Row],[Draft]] * (1 + TblMili[[#This Row],[Mods_Def]])</f>
        <v>#VALUE!</v>
      </c>
      <c r="X99" s="285" t="n">
        <f aca="false">TblConstr[[#This Row],[Land]]</f>
        <v>700</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1709</v>
      </c>
      <c r="AB99" s="146"/>
      <c r="AC99" s="130" t="n">
        <f aca="false">(TblConstr[[#This Row],[Tot Smi]]+TblConstr[[#This Row],[Dest Smi]])/(TblConstr[[#This Row],[Land]]-TblExplore[[#This Row],[Land Bonus]]*20)</f>
        <v>0.18</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983131</v>
      </c>
      <c r="AQ99" s="69" t="n">
        <f aca="false">INDEX(TblProd[[#Headers],[Lumber]]:TblProd[[#This Row],[Ore]],COUNTA(TblProd[[#Headers],[Lumber]]:TblProd[[#This Row],[Lumber]]),MATCH(Military!$AQ$2,TblProd[[#Headers],[Lumber]:[Ore]],0))</f>
        <v>-357</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1709</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0</v>
      </c>
      <c r="CG99" s="288" t="e">
        <f aca="false">MIN(frost_mage_cap,TblMili[[#This Row],[Hill]]/frost_mage_bonus)</f>
        <v>#VALUE!</v>
      </c>
      <c r="CH99" s="151" t="n">
        <f aca="false">MIN(ice_elem_cap,TblMili[[#This Row],[Raw (2)]]*ice_elem_bonus)</f>
        <v>0.0357142857142857</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0.064285714285715</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0.0357142857142857</v>
      </c>
      <c r="DF99" s="291" t="n">
        <f aca="false">TblMili[[#This Row],[Raw (2)]]*(1+race_wizard_strength+IF(TblMili[[#This Row],[Hour]]&gt;72,tech_magical_weaponry_wiz*TblTech[[#This Row],[3-5]],0))</f>
        <v>0.0357142857142857</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5013</v>
      </c>
      <c r="C100" s="150" t="n">
        <f aca="false">TblPop[[#This Row],[Military%]]</f>
        <v>0.387433341061906</v>
      </c>
      <c r="D100" s="132"/>
      <c r="E100" s="151" t="n">
        <f aca="false">OFFSET(TblMili[[#This Row],[Unit 1]],-1,0) + OFFSET(TblMili[[#This Row],[Train Unit 1]],-9,0) - TblMili[[#This Row],[Release Unit 1]]</f>
        <v>0</v>
      </c>
      <c r="F100" s="151" t="n">
        <f aca="false">OFFSET(TblMili[[#This Row],[Unit 2]],-1,0) + OFFSET(TblMili[[#This Row],[Train Unit 2]],-9,0)-TblMili[[#This Row],[Release Unit 2]]</f>
        <v>1246</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25</v>
      </c>
      <c r="J100" s="151" t="n">
        <f aca="false">OFFSET(TblMili[[#This Row],[Archspies]],-1,0) + OFFSET(TblMili[[#This Row],[Train AS]],-12,0) - TblMili[[#This Row],[Release AS]]</f>
        <v>0</v>
      </c>
      <c r="K100" s="151" t="n">
        <f aca="false">OFFSET(TblMili[[#This Row],[Wizards]],-1,0) + OFFSET(TblMili[[#This Row],[Train Wiz]],-12,0) - TblMili[[#This Row],[Release Wizards]]-TblMili[[#This Row],[Train AM]]</f>
        <v>25</v>
      </c>
      <c r="L100" s="151" t="n">
        <f aca="false">OFFSET(TblMili[[#This Row],[Archmages]],-1,0) + OFFSET(TblMili[[#This Row],[Train AM]],-12,0) - TblMili[[#This Row],[Release AM]]</f>
        <v>0</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0.2375</v>
      </c>
      <c r="V100" s="274" t="e">
        <f aca="false">TblMili[[#This Row],[Non Draft]] * (1 + TblMili[[#This Row],[Mods_Def]])</f>
        <v>#VALUE!</v>
      </c>
      <c r="W100" s="285" t="e">
        <f aca="false">TblMili[[#This Row],[Draft]] * (1 + TblMili[[#This Row],[Mods_Def]])</f>
        <v>#VALUE!</v>
      </c>
      <c r="X100" s="285" t="n">
        <f aca="false">TblConstr[[#This Row],[Land]]</f>
        <v>700</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1789</v>
      </c>
      <c r="AB100" s="146"/>
      <c r="AC100" s="130" t="n">
        <f aca="false">(TblConstr[[#This Row],[Tot Smi]]+TblConstr[[#This Row],[Dest Smi]])/(TblConstr[[#This Row],[Land]]-TblExplore[[#This Row],[Land Bonus]]*20)</f>
        <v>0.18</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1024453</v>
      </c>
      <c r="AQ100" s="69" t="n">
        <f aca="false">INDEX(TblProd[[#Headers],[Lumber]]:TblProd[[#This Row],[Ore]],COUNTA(TblProd[[#Headers],[Lumber]]:TblProd[[#This Row],[Lumber]]),MATCH(Military!$AQ$2,TblProd[[#Headers],[Lumber]:[Ore]],0))</f>
        <v>-357</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1789</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0</v>
      </c>
      <c r="CG100" s="288" t="e">
        <f aca="false">MIN(frost_mage_cap,TblMili[[#This Row],[Hill]]/frost_mage_bonus)</f>
        <v>#VALUE!</v>
      </c>
      <c r="CH100" s="151" t="n">
        <f aca="false">MIN(ice_elem_cap,TblMili[[#This Row],[Raw (2)]]*ice_elem_bonus)</f>
        <v>0.0357142857142857</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0.064285714285715</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0.0357142857142857</v>
      </c>
      <c r="DF100" s="291" t="n">
        <f aca="false">TblMili[[#This Row],[Raw (2)]]*(1+race_wizard_strength+IF(TblMili[[#This Row],[Hour]]&gt;72,tech_magical_weaponry_wiz*TblTech[[#This Row],[3-5]],0))</f>
        <v>0.0357142857142857</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5092</v>
      </c>
      <c r="C101" s="150" t="n">
        <f aca="false">TblPop[[#This Row],[Military%]]</f>
        <v>0.393538913362702</v>
      </c>
      <c r="D101" s="132"/>
      <c r="E101" s="151" t="n">
        <f aca="false">OFFSET(TblMili[[#This Row],[Unit 1]],-1,0) + OFFSET(TblMili[[#This Row],[Train Unit 1]],-9,0) - TblMili[[#This Row],[Release Unit 1]]</f>
        <v>0</v>
      </c>
      <c r="F101" s="151" t="n">
        <f aca="false">OFFSET(TblMili[[#This Row],[Unit 2]],-1,0) + OFFSET(TblMili[[#This Row],[Train Unit 2]],-9,0)-TblMili[[#This Row],[Release Unit 2]]</f>
        <v>1246</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25</v>
      </c>
      <c r="J101" s="151" t="n">
        <f aca="false">OFFSET(TblMili[[#This Row],[Archspies]],-1,0) + OFFSET(TblMili[[#This Row],[Train AS]],-12,0) - TblMili[[#This Row],[Release AS]]</f>
        <v>0</v>
      </c>
      <c r="K101" s="151" t="n">
        <f aca="false">OFFSET(TblMili[[#This Row],[Wizards]],-1,0) + OFFSET(TblMili[[#This Row],[Train Wiz]],-12,0) - TblMili[[#This Row],[Release Wizards]]-TblMili[[#This Row],[Train AM]]</f>
        <v>25</v>
      </c>
      <c r="L101" s="151" t="n">
        <f aca="false">OFFSET(TblMili[[#This Row],[Archmages]],-1,0) + OFFSET(TblMili[[#This Row],[Train AM]],-12,0) - TblMili[[#This Row],[Release AM]]</f>
        <v>0</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0.2375</v>
      </c>
      <c r="V101" s="274" t="e">
        <f aca="false">TblMili[[#This Row],[Non Draft]] * (1 + TblMili[[#This Row],[Mods_Def]])</f>
        <v>#VALUE!</v>
      </c>
      <c r="W101" s="285" t="e">
        <f aca="false">TblMili[[#This Row],[Draft]] * (1 + TblMili[[#This Row],[Mods_Def]])</f>
        <v>#VALUE!</v>
      </c>
      <c r="X101" s="285" t="n">
        <f aca="false">TblConstr[[#This Row],[Land]]</f>
        <v>700</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1868</v>
      </c>
      <c r="AB101" s="146"/>
      <c r="AC101" s="130" t="n">
        <f aca="false">(TblConstr[[#This Row],[Tot Smi]]+TblConstr[[#This Row],[Dest Smi]])/(TblConstr[[#This Row],[Land]]-TblExplore[[#This Row],[Land Bonus]]*20)</f>
        <v>0.18</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1065538</v>
      </c>
      <c r="AQ101" s="69" t="n">
        <f aca="false">INDEX(TblProd[[#Headers],[Lumber]]:TblProd[[#This Row],[Ore]],COUNTA(TblProd[[#Headers],[Lumber]]:TblProd[[#This Row],[Lumber]]),MATCH(Military!$AQ$2,TblProd[[#Headers],[Lumber]:[Ore]],0))</f>
        <v>-357</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1868</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0</v>
      </c>
      <c r="CG101" s="288" t="e">
        <f aca="false">MIN(frost_mage_cap,TblMili[[#This Row],[Hill]]/frost_mage_bonus)</f>
        <v>#VALUE!</v>
      </c>
      <c r="CH101" s="151" t="n">
        <f aca="false">MIN(ice_elem_cap,TblMili[[#This Row],[Raw (2)]]*ice_elem_bonus)</f>
        <v>0.0357142857142857</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0.064285714285715</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0.0357142857142857</v>
      </c>
      <c r="DF101" s="291" t="n">
        <f aca="false">TblMili[[#This Row],[Raw (2)]]*(1+race_wizard_strength+IF(TblMili[[#This Row],[Hour]]&gt;72,tech_magical_weaponry_wiz*TblTech[[#This Row],[3-5]],0))</f>
        <v>0.0357142857142857</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5170</v>
      </c>
      <c r="C102" s="150" t="n">
        <f aca="false">TblPop[[#This Row],[Military%]]</f>
        <v>0.399567199938171</v>
      </c>
      <c r="D102" s="132"/>
      <c r="E102" s="151" t="n">
        <f aca="false">OFFSET(TblMili[[#This Row],[Unit 1]],-1,0) + OFFSET(TblMili[[#This Row],[Train Unit 1]],-9,0) - TblMili[[#This Row],[Release Unit 1]]</f>
        <v>0</v>
      </c>
      <c r="F102" s="151" t="n">
        <f aca="false">OFFSET(TblMili[[#This Row],[Unit 2]],-1,0) + OFFSET(TblMili[[#This Row],[Train Unit 2]],-9,0)-TblMili[[#This Row],[Release Unit 2]]</f>
        <v>1246</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25</v>
      </c>
      <c r="J102" s="151" t="n">
        <f aca="false">OFFSET(TblMili[[#This Row],[Archspies]],-1,0) + OFFSET(TblMili[[#This Row],[Train AS]],-12,0) - TblMili[[#This Row],[Release AS]]</f>
        <v>0</v>
      </c>
      <c r="K102" s="151" t="n">
        <f aca="false">OFFSET(TblMili[[#This Row],[Wizards]],-1,0) + OFFSET(TblMili[[#This Row],[Train Wiz]],-12,0) - TblMili[[#This Row],[Release Wizards]]-TblMili[[#This Row],[Train AM]]</f>
        <v>25</v>
      </c>
      <c r="L102" s="151" t="n">
        <f aca="false">OFFSET(TblMili[[#This Row],[Archmages]],-1,0) + OFFSET(TblMili[[#This Row],[Train AM]],-12,0) - TblMili[[#This Row],[Release AM]]</f>
        <v>0</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0.2375</v>
      </c>
      <c r="V102" s="274" t="e">
        <f aca="false">TblMili[[#This Row],[Non Draft]] * (1 + TblMili[[#This Row],[Mods_Def]])</f>
        <v>#VALUE!</v>
      </c>
      <c r="W102" s="285" t="e">
        <f aca="false">TblMili[[#This Row],[Draft]] * (1 + TblMili[[#This Row],[Mods_Def]])</f>
        <v>#VALUE!</v>
      </c>
      <c r="X102" s="285" t="n">
        <f aca="false">TblConstr[[#This Row],[Land]]</f>
        <v>700</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1946</v>
      </c>
      <c r="AB102" s="146"/>
      <c r="AC102" s="130" t="n">
        <f aca="false">(TblConstr[[#This Row],[Tot Smi]]+TblConstr[[#This Row],[Dest Smi]])/(TblConstr[[#This Row],[Land]]-TblExplore[[#This Row],[Land Bonus]]*20)</f>
        <v>0.18</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1106388</v>
      </c>
      <c r="AQ102" s="69" t="n">
        <f aca="false">INDEX(TblProd[[#Headers],[Lumber]]:TblProd[[#This Row],[Ore]],COUNTA(TblProd[[#Headers],[Lumber]]:TblProd[[#This Row],[Lumber]]),MATCH(Military!$AQ$2,TblProd[[#Headers],[Lumber]:[Ore]],0))</f>
        <v>-357</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1946</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0</v>
      </c>
      <c r="CG102" s="288" t="e">
        <f aca="false">MIN(frost_mage_cap,TblMili[[#This Row],[Hill]]/frost_mage_bonus)</f>
        <v>#VALUE!</v>
      </c>
      <c r="CH102" s="151" t="n">
        <f aca="false">MIN(ice_elem_cap,TblMili[[#This Row],[Raw (2)]]*ice_elem_bonus)</f>
        <v>0.0357142857142857</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0.064285714285715</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0.0357142857142857</v>
      </c>
      <c r="DF102" s="291" t="n">
        <f aca="false">TblMili[[#This Row],[Raw (2)]]*(1+race_wizard_strength+IF(TblMili[[#This Row],[Hour]]&gt;72,tech_magical_weaponry_wiz*TblTech[[#This Row],[3-5]],0))</f>
        <v>0.0357142857142857</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5248</v>
      </c>
      <c r="C103" s="150" t="n">
        <f aca="false">TblPop[[#This Row],[Military%]]</f>
        <v>0.405595486513641</v>
      </c>
      <c r="D103" s="132"/>
      <c r="E103" s="151" t="n">
        <f aca="false">OFFSET(TblMili[[#This Row],[Unit 1]],-1,0) + OFFSET(TblMili[[#This Row],[Train Unit 1]],-9,0) - TblMili[[#This Row],[Release Unit 1]]</f>
        <v>0</v>
      </c>
      <c r="F103" s="151" t="n">
        <f aca="false">OFFSET(TblMili[[#This Row],[Unit 2]],-1,0) + OFFSET(TblMili[[#This Row],[Train Unit 2]],-9,0)-TblMili[[#This Row],[Release Unit 2]]</f>
        <v>1246</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25</v>
      </c>
      <c r="J103" s="151" t="n">
        <f aca="false">OFFSET(TblMili[[#This Row],[Archspies]],-1,0) + OFFSET(TblMili[[#This Row],[Train AS]],-12,0) - TblMili[[#This Row],[Release AS]]</f>
        <v>0</v>
      </c>
      <c r="K103" s="151" t="n">
        <f aca="false">OFFSET(TblMili[[#This Row],[Wizards]],-1,0) + OFFSET(TblMili[[#This Row],[Train Wiz]],-12,0) - TblMili[[#This Row],[Release Wizards]]-TblMili[[#This Row],[Train AM]]</f>
        <v>25</v>
      </c>
      <c r="L103" s="151" t="n">
        <f aca="false">OFFSET(TblMili[[#This Row],[Archmages]],-1,0) + OFFSET(TblMili[[#This Row],[Train AM]],-12,0) - TblMili[[#This Row],[Release AM]]</f>
        <v>0</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0.2375</v>
      </c>
      <c r="V103" s="274" t="e">
        <f aca="false">TblMili[[#This Row],[Non Draft]] * (1 + TblMili[[#This Row],[Mods_Def]])</f>
        <v>#VALUE!</v>
      </c>
      <c r="W103" s="285" t="e">
        <f aca="false">TblMili[[#This Row],[Draft]] * (1 + TblMili[[#This Row],[Mods_Def]])</f>
        <v>#VALUE!</v>
      </c>
      <c r="X103" s="285" t="n">
        <f aca="false">TblConstr[[#This Row],[Land]]</f>
        <v>700</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2024</v>
      </c>
      <c r="AB103" s="146"/>
      <c r="AC103" s="130" t="n">
        <f aca="false">(TblConstr[[#This Row],[Tot Smi]]+TblConstr[[#This Row],[Dest Smi]])/(TblConstr[[#This Row],[Land]]-TblExplore[[#This Row],[Land Bonus]]*20)</f>
        <v>0.18</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1147006</v>
      </c>
      <c r="AQ103" s="69" t="n">
        <f aca="false">INDEX(TblProd[[#Headers],[Lumber]]:TblProd[[#This Row],[Ore]],COUNTA(TblProd[[#Headers],[Lumber]]:TblProd[[#This Row],[Lumber]]),MATCH(Military!$AQ$2,TblProd[[#Headers],[Lumber]:[Ore]],0))</f>
        <v>-357</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2024</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0</v>
      </c>
      <c r="CG103" s="288" t="e">
        <f aca="false">MIN(frost_mage_cap,TblMili[[#This Row],[Hill]]/frost_mage_bonus)</f>
        <v>#VALUE!</v>
      </c>
      <c r="CH103" s="151" t="n">
        <f aca="false">MIN(ice_elem_cap,TblMili[[#This Row],[Raw (2)]]*ice_elem_bonus)</f>
        <v>0.0357142857142857</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0.064285714285715</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0.0357142857142857</v>
      </c>
      <c r="DF103" s="291" t="n">
        <f aca="false">TblMili[[#This Row],[Raw (2)]]*(1+race_wizard_strength+IF(TblMili[[#This Row],[Hour]]&gt;72,tech_magical_weaponry_wiz*TblTech[[#This Row],[3-5]],0))</f>
        <v>0.0357142857142857</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5325</v>
      </c>
      <c r="C104" s="150" t="n">
        <f aca="false">TblPop[[#This Row],[Military%]]</f>
        <v>0.411546487363784</v>
      </c>
      <c r="D104" s="132"/>
      <c r="E104" s="151" t="n">
        <f aca="false">OFFSET(TblMili[[#This Row],[Unit 1]],-1,0) + OFFSET(TblMili[[#This Row],[Train Unit 1]],-9,0) - TblMili[[#This Row],[Release Unit 1]]</f>
        <v>0</v>
      </c>
      <c r="F104" s="151" t="n">
        <f aca="false">OFFSET(TblMili[[#This Row],[Unit 2]],-1,0) + OFFSET(TblMili[[#This Row],[Train Unit 2]],-9,0)-TblMili[[#This Row],[Release Unit 2]]</f>
        <v>1246</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25</v>
      </c>
      <c r="J104" s="151" t="n">
        <f aca="false">OFFSET(TblMili[[#This Row],[Archspies]],-1,0) + OFFSET(TblMili[[#This Row],[Train AS]],-12,0) - TblMili[[#This Row],[Release AS]]</f>
        <v>0</v>
      </c>
      <c r="K104" s="151" t="n">
        <f aca="false">OFFSET(TblMili[[#This Row],[Wizards]],-1,0) + OFFSET(TblMili[[#This Row],[Train Wiz]],-12,0) - TblMili[[#This Row],[Release Wizards]]-TblMili[[#This Row],[Train AM]]</f>
        <v>25</v>
      </c>
      <c r="L104" s="151" t="n">
        <f aca="false">OFFSET(TblMili[[#This Row],[Archmages]],-1,0) + OFFSET(TblMili[[#This Row],[Train AM]],-12,0) - TblMili[[#This Row],[Release AM]]</f>
        <v>0</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0.2375</v>
      </c>
      <c r="V104" s="274" t="e">
        <f aca="false">TblMili[[#This Row],[Non Draft]] * (1 + TblMili[[#This Row],[Mods_Def]])</f>
        <v>#VALUE!</v>
      </c>
      <c r="W104" s="285" t="e">
        <f aca="false">TblMili[[#This Row],[Draft]] * (1 + TblMili[[#This Row],[Mods_Def]])</f>
        <v>#VALUE!</v>
      </c>
      <c r="X104" s="285" t="n">
        <f aca="false">TblConstr[[#This Row],[Land]]</f>
        <v>700</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2101</v>
      </c>
      <c r="AB104" s="146"/>
      <c r="AC104" s="130" t="n">
        <f aca="false">(TblConstr[[#This Row],[Tot Smi]]+TblConstr[[#This Row],[Dest Smi]])/(TblConstr[[#This Row],[Land]]-TblExplore[[#This Row],[Land Bonus]]*20)</f>
        <v>0.18</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1187393</v>
      </c>
      <c r="AQ104" s="69" t="n">
        <f aca="false">INDEX(TblProd[[#Headers],[Lumber]]:TblProd[[#This Row],[Ore]],COUNTA(TblProd[[#Headers],[Lumber]]:TblProd[[#This Row],[Lumber]]),MATCH(Military!$AQ$2,TblProd[[#Headers],[Lumber]:[Ore]],0))</f>
        <v>-357</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2101</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0</v>
      </c>
      <c r="CG104" s="288" t="e">
        <f aca="false">MIN(frost_mage_cap,TblMili[[#This Row],[Hill]]/frost_mage_bonus)</f>
        <v>#VALUE!</v>
      </c>
      <c r="CH104" s="151" t="n">
        <f aca="false">MIN(ice_elem_cap,TblMili[[#This Row],[Raw (2)]]*ice_elem_bonus)</f>
        <v>0.0357142857142857</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0.064285714285715</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0.0357142857142857</v>
      </c>
      <c r="DF104" s="291" t="n">
        <f aca="false">TblMili[[#This Row],[Raw (2)]]*(1+race_wizard_strength+IF(TblMili[[#This Row],[Hour]]&gt;72,tech_magical_weaponry_wiz*TblTech[[#This Row],[3-5]],0))</f>
        <v>0.0357142857142857</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5401</v>
      </c>
      <c r="C105" s="150" t="n">
        <f aca="false">TblPop[[#This Row],[Military%]]</f>
        <v>0.4174202024886</v>
      </c>
      <c r="D105" s="132"/>
      <c r="E105" s="151" t="n">
        <f aca="false">OFFSET(TblMili[[#This Row],[Unit 1]],-1,0) + OFFSET(TblMili[[#This Row],[Train Unit 1]],-9,0) - TblMili[[#This Row],[Release Unit 1]]</f>
        <v>0</v>
      </c>
      <c r="F105" s="151" t="n">
        <f aca="false">OFFSET(TblMili[[#This Row],[Unit 2]],-1,0) + OFFSET(TblMili[[#This Row],[Train Unit 2]],-9,0)-TblMili[[#This Row],[Release Unit 2]]</f>
        <v>1246</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25</v>
      </c>
      <c r="J105" s="151" t="n">
        <f aca="false">OFFSET(TblMili[[#This Row],[Archspies]],-1,0) + OFFSET(TblMili[[#This Row],[Train AS]],-12,0) - TblMili[[#This Row],[Release AS]]</f>
        <v>0</v>
      </c>
      <c r="K105" s="151" t="n">
        <f aca="false">OFFSET(TblMili[[#This Row],[Wizards]],-1,0) + OFFSET(TblMili[[#This Row],[Train Wiz]],-12,0) - TblMili[[#This Row],[Release Wizards]]-TblMili[[#This Row],[Train AM]]</f>
        <v>25</v>
      </c>
      <c r="L105" s="151" t="n">
        <f aca="false">OFFSET(TblMili[[#This Row],[Archmages]],-1,0) + OFFSET(TblMili[[#This Row],[Train AM]],-12,0) - TblMili[[#This Row],[Release AM]]</f>
        <v>0</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0.2375</v>
      </c>
      <c r="V105" s="274" t="e">
        <f aca="false">TblMili[[#This Row],[Non Draft]] * (1 + TblMili[[#This Row],[Mods_Def]])</f>
        <v>#VALUE!</v>
      </c>
      <c r="W105" s="285" t="e">
        <f aca="false">TblMili[[#This Row],[Draft]] * (1 + TblMili[[#This Row],[Mods_Def]])</f>
        <v>#VALUE!</v>
      </c>
      <c r="X105" s="285" t="n">
        <f aca="false">TblConstr[[#This Row],[Land]]</f>
        <v>700</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2177</v>
      </c>
      <c r="AB105" s="146"/>
      <c r="AC105" s="130" t="n">
        <f aca="false">(TblConstr[[#This Row],[Tot Smi]]+TblConstr[[#This Row],[Dest Smi]])/(TblConstr[[#This Row],[Land]]-TblExplore[[#This Row],[Land Bonus]]*20)</f>
        <v>0.18</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1227551</v>
      </c>
      <c r="AQ105" s="69" t="n">
        <f aca="false">INDEX(TblProd[[#Headers],[Lumber]]:TblProd[[#This Row],[Ore]],COUNTA(TblProd[[#Headers],[Lumber]]:TblProd[[#This Row],[Lumber]]),MATCH(Military!$AQ$2,TblProd[[#Headers],[Lumber]:[Ore]],0))</f>
        <v>-357</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2177</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0</v>
      </c>
      <c r="CG105" s="288" t="e">
        <f aca="false">MIN(frost_mage_cap,TblMili[[#This Row],[Hill]]/frost_mage_bonus)</f>
        <v>#VALUE!</v>
      </c>
      <c r="CH105" s="151" t="n">
        <f aca="false">MIN(ice_elem_cap,TblMili[[#This Row],[Raw (2)]]*ice_elem_bonus)</f>
        <v>0.0357142857142857</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0.064285714285715</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0.0357142857142857</v>
      </c>
      <c r="DF105" s="291" t="n">
        <f aca="false">TblMili[[#This Row],[Raw (2)]]*(1+race_wizard_strength+IF(TblMili[[#This Row],[Hour]]&gt;72,tech_magical_weaponry_wiz*TblTech[[#This Row],[3-5]],0))</f>
        <v>0.0357142857142857</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5476</v>
      </c>
      <c r="C106" s="150" t="n">
        <f aca="false">TblPop[[#This Row],[Military%]]</f>
        <v>0.42321663188809</v>
      </c>
      <c r="D106" s="132"/>
      <c r="E106" s="151" t="n">
        <f aca="false">OFFSET(TblMili[[#This Row],[Unit 1]],-1,0) + OFFSET(TblMili[[#This Row],[Train Unit 1]],-9,0) - TblMili[[#This Row],[Release Unit 1]]</f>
        <v>0</v>
      </c>
      <c r="F106" s="151" t="n">
        <f aca="false">OFFSET(TblMili[[#This Row],[Unit 2]],-1,0) + OFFSET(TblMili[[#This Row],[Train Unit 2]],-9,0)-TblMili[[#This Row],[Release Unit 2]]</f>
        <v>1246</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25</v>
      </c>
      <c r="J106" s="151" t="n">
        <f aca="false">OFFSET(TblMili[[#This Row],[Archspies]],-1,0) + OFFSET(TblMili[[#This Row],[Train AS]],-12,0) - TblMili[[#This Row],[Release AS]]</f>
        <v>0</v>
      </c>
      <c r="K106" s="151" t="n">
        <f aca="false">OFFSET(TblMili[[#This Row],[Wizards]],-1,0) + OFFSET(TblMili[[#This Row],[Train Wiz]],-12,0) - TblMili[[#This Row],[Release Wizards]]-TblMili[[#This Row],[Train AM]]</f>
        <v>25</v>
      </c>
      <c r="L106" s="151" t="n">
        <f aca="false">OFFSET(TblMili[[#This Row],[Archmages]],-1,0) + OFFSET(TblMili[[#This Row],[Train AM]],-12,0) - TblMili[[#This Row],[Release AM]]</f>
        <v>0</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0.2375</v>
      </c>
      <c r="V106" s="274" t="e">
        <f aca="false">TblMili[[#This Row],[Non Draft]] * (1 + TblMili[[#This Row],[Mods_Def]])</f>
        <v>#VALUE!</v>
      </c>
      <c r="W106" s="285" t="e">
        <f aca="false">TblMili[[#This Row],[Draft]] * (1 + TblMili[[#This Row],[Mods_Def]])</f>
        <v>#VALUE!</v>
      </c>
      <c r="X106" s="285" t="n">
        <f aca="false">TblConstr[[#This Row],[Land]]</f>
        <v>700</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2252</v>
      </c>
      <c r="AB106" s="146"/>
      <c r="AC106" s="130" t="n">
        <f aca="false">(TblConstr[[#This Row],[Tot Smi]]+TblConstr[[#This Row],[Dest Smi]])/(TblConstr[[#This Row],[Land]]-TblExplore[[#This Row],[Land Bonus]]*20)</f>
        <v>0.18</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1267483</v>
      </c>
      <c r="AQ106" s="69" t="n">
        <f aca="false">INDEX(TblProd[[#Headers],[Lumber]]:TblProd[[#This Row],[Ore]],COUNTA(TblProd[[#Headers],[Lumber]]:TblProd[[#This Row],[Lumber]]),MATCH(Military!$AQ$2,TblProd[[#Headers],[Lumber]:[Ore]],0))</f>
        <v>-357</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2252</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0</v>
      </c>
      <c r="CG106" s="288" t="e">
        <f aca="false">MIN(frost_mage_cap,TblMili[[#This Row],[Hill]]/frost_mage_bonus)</f>
        <v>#VALUE!</v>
      </c>
      <c r="CH106" s="151" t="n">
        <f aca="false">MIN(ice_elem_cap,TblMili[[#This Row],[Raw (2)]]*ice_elem_bonus)</f>
        <v>0.0357142857142857</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0.064285714285715</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0.0357142857142857</v>
      </c>
      <c r="DF106" s="291" t="n">
        <f aca="false">TblMili[[#This Row],[Raw (2)]]*(1+race_wizard_strength+IF(TblMili[[#This Row],[Hour]]&gt;72,tech_magical_weaponry_wiz*TblTech[[#This Row],[3-5]],0))</f>
        <v>0.0357142857142857</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5551</v>
      </c>
      <c r="C107" s="150" t="n">
        <f aca="false">TblPop[[#This Row],[Military%]]</f>
        <v>0.42901306128758</v>
      </c>
      <c r="D107" s="132"/>
      <c r="E107" s="151" t="n">
        <f aca="false">OFFSET(TblMili[[#This Row],[Unit 1]],-1,0) + OFFSET(TblMili[[#This Row],[Train Unit 1]],-9,0) - TblMili[[#This Row],[Release Unit 1]]</f>
        <v>0</v>
      </c>
      <c r="F107" s="151" t="n">
        <f aca="false">OFFSET(TblMili[[#This Row],[Unit 2]],-1,0) + OFFSET(TblMili[[#This Row],[Train Unit 2]],-9,0)-TblMili[[#This Row],[Release Unit 2]]</f>
        <v>1246</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25</v>
      </c>
      <c r="J107" s="151" t="n">
        <f aca="false">OFFSET(TblMili[[#This Row],[Archspies]],-1,0) + OFFSET(TblMili[[#This Row],[Train AS]],-12,0) - TblMili[[#This Row],[Release AS]]</f>
        <v>0</v>
      </c>
      <c r="K107" s="151" t="n">
        <f aca="false">OFFSET(TblMili[[#This Row],[Wizards]],-1,0) + OFFSET(TblMili[[#This Row],[Train Wiz]],-12,0) - TblMili[[#This Row],[Release Wizards]]-TblMili[[#This Row],[Train AM]]</f>
        <v>25</v>
      </c>
      <c r="L107" s="151" t="n">
        <f aca="false">OFFSET(TblMili[[#This Row],[Archmages]],-1,0) + OFFSET(TblMili[[#This Row],[Train AM]],-12,0) - TblMili[[#This Row],[Release AM]]</f>
        <v>0</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0.2375</v>
      </c>
      <c r="V107" s="274" t="e">
        <f aca="false">TblMili[[#This Row],[Non Draft]] * (1 + TblMili[[#This Row],[Mods_Def]])</f>
        <v>#VALUE!</v>
      </c>
      <c r="W107" s="285" t="e">
        <f aca="false">TblMili[[#This Row],[Draft]] * (1 + TblMili[[#This Row],[Mods_Def]])</f>
        <v>#VALUE!</v>
      </c>
      <c r="X107" s="285" t="n">
        <f aca="false">TblConstr[[#This Row],[Land]]</f>
        <v>700</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2327</v>
      </c>
      <c r="AB107" s="146"/>
      <c r="AC107" s="130" t="n">
        <f aca="false">(TblConstr[[#This Row],[Tot Smi]]+TblConstr[[#This Row],[Dest Smi]])/(TblConstr[[#This Row],[Land]]-TblExplore[[#This Row],[Land Bonus]]*20)</f>
        <v>0.18</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1307193</v>
      </c>
      <c r="AQ107" s="69" t="n">
        <f aca="false">INDEX(TblProd[[#Headers],[Lumber]]:TblProd[[#This Row],[Ore]],COUNTA(TblProd[[#Headers],[Lumber]]:TblProd[[#This Row],[Lumber]]),MATCH(Military!$AQ$2,TblProd[[#Headers],[Lumber]:[Ore]],0))</f>
        <v>-357</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2327</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0</v>
      </c>
      <c r="CG107" s="288" t="e">
        <f aca="false">MIN(frost_mage_cap,TblMili[[#This Row],[Hill]]/frost_mage_bonus)</f>
        <v>#VALUE!</v>
      </c>
      <c r="CH107" s="151" t="n">
        <f aca="false">MIN(ice_elem_cap,TblMili[[#This Row],[Raw (2)]]*ice_elem_bonus)</f>
        <v>0.0357142857142857</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0.064285714285715</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0.0357142857142857</v>
      </c>
      <c r="DF107" s="291" t="n">
        <f aca="false">TblMili[[#This Row],[Raw (2)]]*(1+race_wizard_strength+IF(TblMili[[#This Row],[Hour]]&gt;72,tech_magical_weaponry_wiz*TblTech[[#This Row],[3-5]],0))</f>
        <v>0.0357142857142857</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5625</v>
      </c>
      <c r="C108" s="150" t="n">
        <f aca="false">TblPop[[#This Row],[Military%]]</f>
        <v>0.434732204961744</v>
      </c>
      <c r="D108" s="132"/>
      <c r="E108" s="151" t="n">
        <f aca="false">OFFSET(TblMili[[#This Row],[Unit 1]],-1,0) + OFFSET(TblMili[[#This Row],[Train Unit 1]],-9,0) - TblMili[[#This Row],[Release Unit 1]]</f>
        <v>0</v>
      </c>
      <c r="F108" s="151" t="n">
        <f aca="false">OFFSET(TblMili[[#This Row],[Unit 2]],-1,0) + OFFSET(TblMili[[#This Row],[Train Unit 2]],-9,0)-TblMili[[#This Row],[Release Unit 2]]</f>
        <v>1246</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25</v>
      </c>
      <c r="J108" s="151" t="n">
        <f aca="false">OFFSET(TblMili[[#This Row],[Archspies]],-1,0) + OFFSET(TblMili[[#This Row],[Train AS]],-12,0) - TblMili[[#This Row],[Release AS]]</f>
        <v>0</v>
      </c>
      <c r="K108" s="151" t="n">
        <f aca="false">OFFSET(TblMili[[#This Row],[Wizards]],-1,0) + OFFSET(TblMili[[#This Row],[Train Wiz]],-12,0) - TblMili[[#This Row],[Release Wizards]]-TblMili[[#This Row],[Train AM]]</f>
        <v>25</v>
      </c>
      <c r="L108" s="151" t="n">
        <f aca="false">OFFSET(TblMili[[#This Row],[Archmages]],-1,0) + OFFSET(TblMili[[#This Row],[Train AM]],-12,0) - TblMili[[#This Row],[Release AM]]</f>
        <v>0</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0.2375</v>
      </c>
      <c r="V108" s="274" t="e">
        <f aca="false">TblMili[[#This Row],[Non Draft]] * (1 + TblMili[[#This Row],[Mods_Def]])</f>
        <v>#VALUE!</v>
      </c>
      <c r="W108" s="285" t="e">
        <f aca="false">TblMili[[#This Row],[Draft]] * (1 + TblMili[[#This Row],[Mods_Def]])</f>
        <v>#VALUE!</v>
      </c>
      <c r="X108" s="285" t="n">
        <f aca="false">TblConstr[[#This Row],[Land]]</f>
        <v>700</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2401</v>
      </c>
      <c r="AB108" s="146"/>
      <c r="AC108" s="130" t="n">
        <f aca="false">(TblConstr[[#This Row],[Tot Smi]]+TblConstr[[#This Row],[Dest Smi]])/(TblConstr[[#This Row],[Land]]-TblExplore[[#This Row],[Land Bonus]]*20)</f>
        <v>0.18</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1346680</v>
      </c>
      <c r="AQ108" s="69" t="n">
        <f aca="false">INDEX(TblProd[[#Headers],[Lumber]]:TblProd[[#This Row],[Ore]],COUNTA(TblProd[[#Headers],[Lumber]]:TblProd[[#This Row],[Lumber]]),MATCH(Military!$AQ$2,TblProd[[#Headers],[Lumber]:[Ore]],0))</f>
        <v>-357</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2401</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0</v>
      </c>
      <c r="CG108" s="288" t="e">
        <f aca="false">MIN(frost_mage_cap,TblMili[[#This Row],[Hill]]/frost_mage_bonus)</f>
        <v>#VALUE!</v>
      </c>
      <c r="CH108" s="151" t="n">
        <f aca="false">MIN(ice_elem_cap,TblMili[[#This Row],[Raw (2)]]*ice_elem_bonus)</f>
        <v>0.0357142857142857</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0.064285714285715</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0.0357142857142857</v>
      </c>
      <c r="DF108" s="291" t="n">
        <f aca="false">TblMili[[#This Row],[Raw (2)]]*(1+race_wizard_strength+IF(TblMili[[#This Row],[Hour]]&gt;72,tech_magical_weaponry_wiz*TblTech[[#This Row],[3-5]],0))</f>
        <v>0.0357142857142857</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5698</v>
      </c>
      <c r="C109" s="150" t="n">
        <f aca="false">TblPop[[#This Row],[Military%]]</f>
        <v>0.44037406291058</v>
      </c>
      <c r="D109" s="132"/>
      <c r="E109" s="151" t="n">
        <f aca="false">OFFSET(TblMili[[#This Row],[Unit 1]],-1,0) + OFFSET(TblMili[[#This Row],[Train Unit 1]],-9,0) - TblMili[[#This Row],[Release Unit 1]]</f>
        <v>0</v>
      </c>
      <c r="F109" s="151" t="n">
        <f aca="false">OFFSET(TblMili[[#This Row],[Unit 2]],-1,0) + OFFSET(TblMili[[#This Row],[Train Unit 2]],-9,0)-TblMili[[#This Row],[Release Unit 2]]</f>
        <v>1246</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25</v>
      </c>
      <c r="J109" s="151" t="n">
        <f aca="false">OFFSET(TblMili[[#This Row],[Archspies]],-1,0) + OFFSET(TblMili[[#This Row],[Train AS]],-12,0) - TblMili[[#This Row],[Release AS]]</f>
        <v>0</v>
      </c>
      <c r="K109" s="151" t="n">
        <f aca="false">OFFSET(TblMili[[#This Row],[Wizards]],-1,0) + OFFSET(TblMili[[#This Row],[Train Wiz]],-12,0) - TblMili[[#This Row],[Release Wizards]]-TblMili[[#This Row],[Train AM]]</f>
        <v>25</v>
      </c>
      <c r="L109" s="151" t="n">
        <f aca="false">OFFSET(TblMili[[#This Row],[Archmages]],-1,0) + OFFSET(TblMili[[#This Row],[Train AM]],-12,0) - TblMili[[#This Row],[Release AM]]</f>
        <v>0</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0.2375</v>
      </c>
      <c r="V109" s="274" t="e">
        <f aca="false">TblMili[[#This Row],[Non Draft]] * (1 + TblMili[[#This Row],[Mods_Def]])</f>
        <v>#VALUE!</v>
      </c>
      <c r="W109" s="285" t="e">
        <f aca="false">TblMili[[#This Row],[Draft]] * (1 + TblMili[[#This Row],[Mods_Def]])</f>
        <v>#VALUE!</v>
      </c>
      <c r="X109" s="285" t="n">
        <f aca="false">TblConstr[[#This Row],[Land]]</f>
        <v>700</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2474</v>
      </c>
      <c r="AB109" s="146"/>
      <c r="AC109" s="130" t="n">
        <f aca="false">(TblConstr[[#This Row],[Tot Smi]]+TblConstr[[#This Row],[Dest Smi]])/(TblConstr[[#This Row],[Land]]-TblExplore[[#This Row],[Land Bonus]]*20)</f>
        <v>0.18</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1385947</v>
      </c>
      <c r="AQ109" s="69" t="n">
        <f aca="false">INDEX(TblProd[[#Headers],[Lumber]]:TblProd[[#This Row],[Ore]],COUNTA(TblProd[[#Headers],[Lumber]]:TblProd[[#This Row],[Lumber]]),MATCH(Military!$AQ$2,TblProd[[#Headers],[Lumber]:[Ore]],0))</f>
        <v>-357</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2474</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0</v>
      </c>
      <c r="CG109" s="288" t="e">
        <f aca="false">MIN(frost_mage_cap,TblMili[[#This Row],[Hill]]/frost_mage_bonus)</f>
        <v>#VALUE!</v>
      </c>
      <c r="CH109" s="151" t="n">
        <f aca="false">MIN(ice_elem_cap,TblMili[[#This Row],[Raw (2)]]*ice_elem_bonus)</f>
        <v>0.0357142857142857</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0.064285714285715</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0.0357142857142857</v>
      </c>
      <c r="DF109" s="291" t="n">
        <f aca="false">TblMili[[#This Row],[Raw (2)]]*(1+race_wizard_strength+IF(TblMili[[#This Row],[Hour]]&gt;72,tech_magical_weaponry_wiz*TblTech[[#This Row],[3-5]],0))</f>
        <v>0.0357142857142857</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5770</v>
      </c>
      <c r="C110" s="150" t="n">
        <f aca="false">TblPop[[#This Row],[Military%]]</f>
        <v>0.445938635134091</v>
      </c>
      <c r="D110" s="132"/>
      <c r="E110" s="151" t="n">
        <f aca="false">OFFSET(TblMili[[#This Row],[Unit 1]],-1,0) + OFFSET(TblMili[[#This Row],[Train Unit 1]],-9,0) - TblMili[[#This Row],[Release Unit 1]]</f>
        <v>0</v>
      </c>
      <c r="F110" s="151" t="n">
        <f aca="false">OFFSET(TblMili[[#This Row],[Unit 2]],-1,0) + OFFSET(TblMili[[#This Row],[Train Unit 2]],-9,0)-TblMili[[#This Row],[Release Unit 2]]</f>
        <v>1246</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25</v>
      </c>
      <c r="J110" s="151" t="n">
        <f aca="false">OFFSET(TblMili[[#This Row],[Archspies]],-1,0) + OFFSET(TblMili[[#This Row],[Train AS]],-12,0) - TblMili[[#This Row],[Release AS]]</f>
        <v>0</v>
      </c>
      <c r="K110" s="151" t="n">
        <f aca="false">OFFSET(TblMili[[#This Row],[Wizards]],-1,0) + OFFSET(TblMili[[#This Row],[Train Wiz]],-12,0) - TblMili[[#This Row],[Release Wizards]]-TblMili[[#This Row],[Train AM]]</f>
        <v>25</v>
      </c>
      <c r="L110" s="151" t="n">
        <f aca="false">OFFSET(TblMili[[#This Row],[Archmages]],-1,0) + OFFSET(TblMili[[#This Row],[Train AM]],-12,0) - TblMili[[#This Row],[Release AM]]</f>
        <v>0</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0.2375</v>
      </c>
      <c r="V110" s="274" t="e">
        <f aca="false">TblMili[[#This Row],[Non Draft]] * (1 + TblMili[[#This Row],[Mods_Def]])</f>
        <v>#VALUE!</v>
      </c>
      <c r="W110" s="285" t="e">
        <f aca="false">TblMili[[#This Row],[Draft]] * (1 + TblMili[[#This Row],[Mods_Def]])</f>
        <v>#VALUE!</v>
      </c>
      <c r="X110" s="285" t="n">
        <f aca="false">TblConstr[[#This Row],[Land]]</f>
        <v>700</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2546</v>
      </c>
      <c r="AB110" s="146"/>
      <c r="AC110" s="130" t="n">
        <f aca="false">(TblConstr[[#This Row],[Tot Smi]]+TblConstr[[#This Row],[Dest Smi]])/(TblConstr[[#This Row],[Land]]-TblExplore[[#This Row],[Land Bonus]]*20)</f>
        <v>0.18</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1424997</v>
      </c>
      <c r="AQ110" s="69" t="n">
        <f aca="false">INDEX(TblProd[[#Headers],[Lumber]]:TblProd[[#This Row],[Ore]],COUNTA(TblProd[[#Headers],[Lumber]]:TblProd[[#This Row],[Lumber]]),MATCH(Military!$AQ$2,TblProd[[#Headers],[Lumber]:[Ore]],0))</f>
        <v>-357</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2546</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0</v>
      </c>
      <c r="CG110" s="288" t="e">
        <f aca="false">MIN(frost_mage_cap,TblMili[[#This Row],[Hill]]/frost_mage_bonus)</f>
        <v>#VALUE!</v>
      </c>
      <c r="CH110" s="151" t="n">
        <f aca="false">MIN(ice_elem_cap,TblMili[[#This Row],[Raw (2)]]*ice_elem_bonus)</f>
        <v>0.0357142857142857</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0.064285714285715</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0.0357142857142857</v>
      </c>
      <c r="DF110" s="291" t="n">
        <f aca="false">TblMili[[#This Row],[Raw (2)]]*(1+race_wizard_strength+IF(TblMili[[#This Row],[Hour]]&gt;72,tech_magical_weaponry_wiz*TblTech[[#This Row],[3-5]],0))</f>
        <v>0.0357142857142857</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5842</v>
      </c>
      <c r="C111" s="150" t="n">
        <f aca="false">TblPop[[#This Row],[Military%]]</f>
        <v>0.451503207357601</v>
      </c>
      <c r="D111" s="132"/>
      <c r="E111" s="151" t="n">
        <f aca="false">OFFSET(TblMili[[#This Row],[Unit 1]],-1,0) + OFFSET(TblMili[[#This Row],[Train Unit 1]],-9,0) - TblMili[[#This Row],[Release Unit 1]]</f>
        <v>0</v>
      </c>
      <c r="F111" s="151" t="n">
        <f aca="false">OFFSET(TblMili[[#This Row],[Unit 2]],-1,0) + OFFSET(TblMili[[#This Row],[Train Unit 2]],-9,0)-TblMili[[#This Row],[Release Unit 2]]</f>
        <v>1246</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25</v>
      </c>
      <c r="J111" s="151" t="n">
        <f aca="false">OFFSET(TblMili[[#This Row],[Archspies]],-1,0) + OFFSET(TblMili[[#This Row],[Train AS]],-12,0) - TblMili[[#This Row],[Release AS]]</f>
        <v>0</v>
      </c>
      <c r="K111" s="151" t="n">
        <f aca="false">OFFSET(TblMili[[#This Row],[Wizards]],-1,0) + OFFSET(TblMili[[#This Row],[Train Wiz]],-12,0) - TblMili[[#This Row],[Release Wizards]]-TblMili[[#This Row],[Train AM]]</f>
        <v>25</v>
      </c>
      <c r="L111" s="151" t="n">
        <f aca="false">OFFSET(TblMili[[#This Row],[Archmages]],-1,0) + OFFSET(TblMili[[#This Row],[Train AM]],-12,0) - TblMili[[#This Row],[Release AM]]</f>
        <v>0</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0.2375</v>
      </c>
      <c r="V111" s="274" t="e">
        <f aca="false">TblMili[[#This Row],[Non Draft]] * (1 + TblMili[[#This Row],[Mods_Def]])</f>
        <v>#VALUE!</v>
      </c>
      <c r="W111" s="285" t="e">
        <f aca="false">TblMili[[#This Row],[Draft]] * (1 + TblMili[[#This Row],[Mods_Def]])</f>
        <v>#VALUE!</v>
      </c>
      <c r="X111" s="285" t="n">
        <f aca="false">TblConstr[[#This Row],[Land]]</f>
        <v>700</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2618</v>
      </c>
      <c r="AB111" s="146"/>
      <c r="AC111" s="130" t="n">
        <f aca="false">(TblConstr[[#This Row],[Tot Smi]]+TblConstr[[#This Row],[Dest Smi]])/(TblConstr[[#This Row],[Land]]-TblExplore[[#This Row],[Land Bonus]]*20)</f>
        <v>0.18</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1463833</v>
      </c>
      <c r="AQ111" s="69" t="n">
        <f aca="false">INDEX(TblProd[[#Headers],[Lumber]]:TblProd[[#This Row],[Ore]],COUNTA(TblProd[[#Headers],[Lumber]]:TblProd[[#This Row],[Lumber]]),MATCH(Military!$AQ$2,TblProd[[#Headers],[Lumber]:[Ore]],0))</f>
        <v>-357</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2618</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0</v>
      </c>
      <c r="CG111" s="288" t="e">
        <f aca="false">MIN(frost_mage_cap,TblMili[[#This Row],[Hill]]/frost_mage_bonus)</f>
        <v>#VALUE!</v>
      </c>
      <c r="CH111" s="151" t="n">
        <f aca="false">MIN(ice_elem_cap,TblMili[[#This Row],[Raw (2)]]*ice_elem_bonus)</f>
        <v>0.0357142857142857</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0.064285714285715</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0.0357142857142857</v>
      </c>
      <c r="DF111" s="291" t="n">
        <f aca="false">TblMili[[#This Row],[Raw (2)]]*(1+race_wizard_strength+IF(TblMili[[#This Row],[Hour]]&gt;72,tech_magical_weaponry_wiz*TblTech[[#This Row],[3-5]],0))</f>
        <v>0.0357142857142857</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5913</v>
      </c>
      <c r="C112" s="150" t="n">
        <f aca="false">TblPop[[#This Row],[Military%]]</f>
        <v>0.456990493855785</v>
      </c>
      <c r="D112" s="132"/>
      <c r="E112" s="151" t="n">
        <f aca="false">OFFSET(TblMili[[#This Row],[Unit 1]],-1,0) + OFFSET(TblMili[[#This Row],[Train Unit 1]],-9,0) - TblMili[[#This Row],[Release Unit 1]]</f>
        <v>0</v>
      </c>
      <c r="F112" s="151" t="n">
        <f aca="false">OFFSET(TblMili[[#This Row],[Unit 2]],-1,0) + OFFSET(TblMili[[#This Row],[Train Unit 2]],-9,0)-TblMili[[#This Row],[Release Unit 2]]</f>
        <v>1246</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25</v>
      </c>
      <c r="J112" s="151" t="n">
        <f aca="false">OFFSET(TblMili[[#This Row],[Archspies]],-1,0) + OFFSET(TblMili[[#This Row],[Train AS]],-12,0) - TblMili[[#This Row],[Release AS]]</f>
        <v>0</v>
      </c>
      <c r="K112" s="151" t="n">
        <f aca="false">OFFSET(TblMili[[#This Row],[Wizards]],-1,0) + OFFSET(TblMili[[#This Row],[Train Wiz]],-12,0) - TblMili[[#This Row],[Release Wizards]]-TblMili[[#This Row],[Train AM]]</f>
        <v>25</v>
      </c>
      <c r="L112" s="151" t="n">
        <f aca="false">OFFSET(TblMili[[#This Row],[Archmages]],-1,0) + OFFSET(TblMili[[#This Row],[Train AM]],-12,0) - TblMili[[#This Row],[Release AM]]</f>
        <v>0</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0.1375</v>
      </c>
      <c r="V112" s="274" t="e">
        <f aca="false">TblMili[[#This Row],[Non Draft]] * (1 + TblMili[[#This Row],[Mods_Def]])</f>
        <v>#VALUE!</v>
      </c>
      <c r="W112" s="285" t="e">
        <f aca="false">TblMili[[#This Row],[Draft]] * (1 + TblMili[[#This Row],[Mods_Def]])</f>
        <v>#VALUE!</v>
      </c>
      <c r="X112" s="285" t="n">
        <f aca="false">TblConstr[[#This Row],[Land]]</f>
        <v>700</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2689</v>
      </c>
      <c r="AB112" s="146"/>
      <c r="AC112" s="130" t="n">
        <f aca="false">(TblConstr[[#This Row],[Tot Smi]]+TblConstr[[#This Row],[Dest Smi]])/(TblConstr[[#This Row],[Land]]-TblExplore[[#This Row],[Land Bonus]]*20)</f>
        <v>0.18</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1502456</v>
      </c>
      <c r="AQ112" s="69" t="n">
        <f aca="false">INDEX(TblProd[[#Headers],[Lumber]]:TblProd[[#This Row],[Ore]],COUNTA(TblProd[[#Headers],[Lumber]]:TblProd[[#This Row],[Lumber]]),MATCH(Military!$AQ$2,TblProd[[#Headers],[Lumber]:[Ore]],0))</f>
        <v>-357</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2689</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0</v>
      </c>
      <c r="CG112" s="288" t="e">
        <f aca="false">MIN(frost_mage_cap,TblMili[[#This Row],[Hill]]/frost_mage_bonus)</f>
        <v>#VALUE!</v>
      </c>
      <c r="CH112" s="151" t="n">
        <f aca="false">MIN(ice_elem_cap,TblMili[[#This Row],[Raw (2)]]*ice_elem_bonus)</f>
        <v>0.0357142857142857</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0.064285714285715</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0.0357142857142857</v>
      </c>
      <c r="DF112" s="291" t="n">
        <f aca="false">TblMili[[#This Row],[Raw (2)]]*(1+race_wizard_strength+IF(TblMili[[#This Row],[Hour]]&gt;72,tech_magical_weaponry_wiz*TblTech[[#This Row],[3-5]],0))</f>
        <v>0.0357142857142857</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5983</v>
      </c>
      <c r="C113" s="150" t="n">
        <f aca="false">TblPop[[#This Row],[Military%]]</f>
        <v>0.462400494628642</v>
      </c>
      <c r="D113" s="132"/>
      <c r="E113" s="151" t="n">
        <f aca="false">OFFSET(TblMili[[#This Row],[Unit 1]],-1,0) + OFFSET(TblMili[[#This Row],[Train Unit 1]],-9,0) - TblMili[[#This Row],[Release Unit 1]]</f>
        <v>0</v>
      </c>
      <c r="F113" s="151" t="n">
        <f aca="false">OFFSET(TblMili[[#This Row],[Unit 2]],-1,0) + OFFSET(TblMili[[#This Row],[Train Unit 2]],-9,0)-TblMili[[#This Row],[Release Unit 2]]</f>
        <v>1246</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25</v>
      </c>
      <c r="J113" s="151" t="n">
        <f aca="false">OFFSET(TblMili[[#This Row],[Archspies]],-1,0) + OFFSET(TblMili[[#This Row],[Train AS]],-12,0) - TblMili[[#This Row],[Release AS]]</f>
        <v>0</v>
      </c>
      <c r="K113" s="151" t="n">
        <f aca="false">OFFSET(TblMili[[#This Row],[Wizards]],-1,0) + OFFSET(TblMili[[#This Row],[Train Wiz]],-12,0) - TblMili[[#This Row],[Release Wizards]]-TblMili[[#This Row],[Train AM]]</f>
        <v>25</v>
      </c>
      <c r="L113" s="151" t="n">
        <f aca="false">OFFSET(TblMili[[#This Row],[Archmages]],-1,0) + OFFSET(TblMili[[#This Row],[Train AM]],-12,0) - TblMili[[#This Row],[Release AM]]</f>
        <v>0</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0.1375</v>
      </c>
      <c r="V113" s="274" t="e">
        <f aca="false">TblMili[[#This Row],[Non Draft]] * (1 + TblMili[[#This Row],[Mods_Def]])</f>
        <v>#VALUE!</v>
      </c>
      <c r="W113" s="285" t="e">
        <f aca="false">TblMili[[#This Row],[Draft]] * (1 + TblMili[[#This Row],[Mods_Def]])</f>
        <v>#VALUE!</v>
      </c>
      <c r="X113" s="285" t="n">
        <f aca="false">TblConstr[[#This Row],[Land]]</f>
        <v>700</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2759</v>
      </c>
      <c r="AB113" s="146"/>
      <c r="AC113" s="130" t="n">
        <f aca="false">(TblConstr[[#This Row],[Tot Smi]]+TblConstr[[#This Row],[Dest Smi]])/(TblConstr[[#This Row],[Land]]-TblExplore[[#This Row],[Land Bonus]]*20)</f>
        <v>0.18</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1533801</v>
      </c>
      <c r="AQ113" s="69" t="n">
        <f aca="false">INDEX(TblProd[[#Headers],[Lumber]]:TblProd[[#This Row],[Ore]],COUNTA(TblProd[[#Headers],[Lumber]]:TblProd[[#This Row],[Lumber]]),MATCH(Military!$AQ$2,TblProd[[#Headers],[Lumber]:[Ore]],0))</f>
        <v>-357</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2759</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0</v>
      </c>
      <c r="CG113" s="288" t="e">
        <f aca="false">MIN(frost_mage_cap,TblMili[[#This Row],[Hill]]/frost_mage_bonus)</f>
        <v>#VALUE!</v>
      </c>
      <c r="CH113" s="151" t="n">
        <f aca="false">MIN(ice_elem_cap,TblMili[[#This Row],[Raw (2)]]*ice_elem_bonus)</f>
        <v>0.0357142857142857</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0.064285714285715</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0.0357142857142857</v>
      </c>
      <c r="DF113" s="291" t="n">
        <f aca="false">TblMili[[#This Row],[Raw (2)]]*(1+race_wizard_strength+IF(TblMili[[#This Row],[Hour]]&gt;72,tech_magical_weaponry_wiz*TblTech[[#This Row],[3-5]],0))</f>
        <v>0.0357142857142857</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6053</v>
      </c>
      <c r="C114" s="150" t="n">
        <f aca="false">TblPop[[#This Row],[Military%]]</f>
        <v>0.467810495401499</v>
      </c>
      <c r="D114" s="132"/>
      <c r="E114" s="151" t="n">
        <f aca="false">OFFSET(TblMili[[#This Row],[Unit 1]],-1,0) + OFFSET(TblMili[[#This Row],[Train Unit 1]],-9,0) - TblMili[[#This Row],[Release Unit 1]]</f>
        <v>0</v>
      </c>
      <c r="F114" s="151" t="n">
        <f aca="false">OFFSET(TblMili[[#This Row],[Unit 2]],-1,0) + OFFSET(TblMili[[#This Row],[Train Unit 2]],-9,0)-TblMili[[#This Row],[Release Unit 2]]</f>
        <v>1246</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25</v>
      </c>
      <c r="J114" s="151" t="n">
        <f aca="false">OFFSET(TblMili[[#This Row],[Archspies]],-1,0) + OFFSET(TblMili[[#This Row],[Train AS]],-12,0) - TblMili[[#This Row],[Release AS]]</f>
        <v>0</v>
      </c>
      <c r="K114" s="151" t="n">
        <f aca="false">OFFSET(TblMili[[#This Row],[Wizards]],-1,0) + OFFSET(TblMili[[#This Row],[Train Wiz]],-12,0) - TblMili[[#This Row],[Release Wizards]]-TblMili[[#This Row],[Train AM]]</f>
        <v>25</v>
      </c>
      <c r="L114" s="151" t="n">
        <f aca="false">OFFSET(TblMili[[#This Row],[Archmages]],-1,0) + OFFSET(TblMili[[#This Row],[Train AM]],-12,0) - TblMili[[#This Row],[Release AM]]</f>
        <v>0</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0.1375</v>
      </c>
      <c r="V114" s="274" t="e">
        <f aca="false">TblMili[[#This Row],[Non Draft]] * (1 + TblMili[[#This Row],[Mods_Def]])</f>
        <v>#VALUE!</v>
      </c>
      <c r="W114" s="285" t="e">
        <f aca="false">TblMili[[#This Row],[Draft]] * (1 + TblMili[[#This Row],[Mods_Def]])</f>
        <v>#VALUE!</v>
      </c>
      <c r="X114" s="285" t="n">
        <f aca="false">TblConstr[[#This Row],[Land]]</f>
        <v>700</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2829</v>
      </c>
      <c r="AB114" s="146"/>
      <c r="AC114" s="130" t="n">
        <f aca="false">(TblConstr[[#This Row],[Tot Smi]]+TblConstr[[#This Row],[Dest Smi]])/(TblConstr[[#This Row],[Land]]-TblExplore[[#This Row],[Land Bonus]]*20)</f>
        <v>0.18</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1564957</v>
      </c>
      <c r="AQ114" s="69" t="n">
        <f aca="false">INDEX(TblProd[[#Headers],[Lumber]]:TblProd[[#This Row],[Ore]],COUNTA(TblProd[[#Headers],[Lumber]]:TblProd[[#This Row],[Lumber]]),MATCH(Military!$AQ$2,TblProd[[#Headers],[Lumber]:[Ore]],0))</f>
        <v>-357</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2829</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0</v>
      </c>
      <c r="CG114" s="288" t="e">
        <f aca="false">MIN(frost_mage_cap,TblMili[[#This Row],[Hill]]/frost_mage_bonus)</f>
        <v>#VALUE!</v>
      </c>
      <c r="CH114" s="151" t="n">
        <f aca="false">MIN(ice_elem_cap,TblMili[[#This Row],[Raw (2)]]*ice_elem_bonus)</f>
        <v>0.0357142857142857</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0.064285714285715</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0.0357142857142857</v>
      </c>
      <c r="DF114" s="291" t="n">
        <f aca="false">TblMili[[#This Row],[Raw (2)]]*(1+race_wizard_strength+IF(TblMili[[#This Row],[Hour]]&gt;72,tech_magical_weaponry_wiz*TblTech[[#This Row],[3-5]],0))</f>
        <v>0.0357142857142857</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6122</v>
      </c>
      <c r="C115" s="150" t="n">
        <f aca="false">TblPop[[#This Row],[Military%]]</f>
        <v>0.47314321044903</v>
      </c>
      <c r="D115" s="132"/>
      <c r="E115" s="151" t="n">
        <f aca="false">OFFSET(TblMili[[#This Row],[Unit 1]],-1,0) + OFFSET(TblMili[[#This Row],[Train Unit 1]],-9,0) - TblMili[[#This Row],[Release Unit 1]]</f>
        <v>0</v>
      </c>
      <c r="F115" s="151" t="n">
        <f aca="false">OFFSET(TblMili[[#This Row],[Unit 2]],-1,0) + OFFSET(TblMili[[#This Row],[Train Unit 2]],-9,0)-TblMili[[#This Row],[Release Unit 2]]</f>
        <v>1246</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25</v>
      </c>
      <c r="J115" s="151" t="n">
        <f aca="false">OFFSET(TblMili[[#This Row],[Archspies]],-1,0) + OFFSET(TblMili[[#This Row],[Train AS]],-12,0) - TblMili[[#This Row],[Release AS]]</f>
        <v>0</v>
      </c>
      <c r="K115" s="151" t="n">
        <f aca="false">OFFSET(TblMili[[#This Row],[Wizards]],-1,0) + OFFSET(TblMili[[#This Row],[Train Wiz]],-12,0) - TblMili[[#This Row],[Release Wizards]]-TblMili[[#This Row],[Train AM]]</f>
        <v>25</v>
      </c>
      <c r="L115" s="151" t="n">
        <f aca="false">OFFSET(TblMili[[#This Row],[Archmages]],-1,0) + OFFSET(TblMili[[#This Row],[Train AM]],-12,0) - TblMili[[#This Row],[Release AM]]</f>
        <v>0</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0.1375</v>
      </c>
      <c r="V115" s="274" t="e">
        <f aca="false">TblMili[[#This Row],[Non Draft]] * (1 + TblMili[[#This Row],[Mods_Def]])</f>
        <v>#VALUE!</v>
      </c>
      <c r="W115" s="285" t="e">
        <f aca="false">TblMili[[#This Row],[Draft]] * (1 + TblMili[[#This Row],[Mods_Def]])</f>
        <v>#VALUE!</v>
      </c>
      <c r="X115" s="285" t="n">
        <f aca="false">TblConstr[[#This Row],[Land]]</f>
        <v>700</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2898</v>
      </c>
      <c r="AB115" s="146"/>
      <c r="AC115" s="130" t="n">
        <f aca="false">(TblConstr[[#This Row],[Tot Smi]]+TblConstr[[#This Row],[Dest Smi]])/(TblConstr[[#This Row],[Land]]-TblExplore[[#This Row],[Land Bonus]]*20)</f>
        <v>0.18</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1595924</v>
      </c>
      <c r="AQ115" s="69" t="n">
        <f aca="false">INDEX(TblProd[[#Headers],[Lumber]]:TblProd[[#This Row],[Ore]],COUNTA(TblProd[[#Headers],[Lumber]]:TblProd[[#This Row],[Lumber]]),MATCH(Military!$AQ$2,TblProd[[#Headers],[Lumber]:[Ore]],0))</f>
        <v>-357</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2898</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0</v>
      </c>
      <c r="CG115" s="288" t="e">
        <f aca="false">MIN(frost_mage_cap,TblMili[[#This Row],[Hill]]/frost_mage_bonus)</f>
        <v>#VALUE!</v>
      </c>
      <c r="CH115" s="151" t="n">
        <f aca="false">MIN(ice_elem_cap,TblMili[[#This Row],[Raw (2)]]*ice_elem_bonus)</f>
        <v>0.0357142857142857</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0.064285714285715</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0.0357142857142857</v>
      </c>
      <c r="DF115" s="291" t="n">
        <f aca="false">TblMili[[#This Row],[Raw (2)]]*(1+race_wizard_strength+IF(TblMili[[#This Row],[Hour]]&gt;72,tech_magical_weaponry_wiz*TblTech[[#This Row],[3-5]],0))</f>
        <v>0.0357142857142857</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6190</v>
      </c>
      <c r="C116" s="150" t="n">
        <f aca="false">TblPop[[#This Row],[Military%]]</f>
        <v>0.478398639771234</v>
      </c>
      <c r="D116" s="132"/>
      <c r="E116" s="151" t="n">
        <f aca="false">OFFSET(TblMili[[#This Row],[Unit 1]],-1,0) + OFFSET(TblMili[[#This Row],[Train Unit 1]],-9,0) - TblMili[[#This Row],[Release Unit 1]]</f>
        <v>0</v>
      </c>
      <c r="F116" s="151" t="n">
        <f aca="false">OFFSET(TblMili[[#This Row],[Unit 2]],-1,0) + OFFSET(TblMili[[#This Row],[Train Unit 2]],-9,0)-TblMili[[#This Row],[Release Unit 2]]</f>
        <v>1246</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25</v>
      </c>
      <c r="J116" s="151" t="n">
        <f aca="false">OFFSET(TblMili[[#This Row],[Archspies]],-1,0) + OFFSET(TblMili[[#This Row],[Train AS]],-12,0) - TblMili[[#This Row],[Release AS]]</f>
        <v>0</v>
      </c>
      <c r="K116" s="151" t="n">
        <f aca="false">OFFSET(TblMili[[#This Row],[Wizards]],-1,0) + OFFSET(TblMili[[#This Row],[Train Wiz]],-12,0) - TblMili[[#This Row],[Release Wizards]]-TblMili[[#This Row],[Train AM]]</f>
        <v>25</v>
      </c>
      <c r="L116" s="151" t="n">
        <f aca="false">OFFSET(TblMili[[#This Row],[Archmages]],-1,0) + OFFSET(TblMili[[#This Row],[Train AM]],-12,0) - TblMili[[#This Row],[Release AM]]</f>
        <v>0</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0.1375</v>
      </c>
      <c r="V116" s="274" t="e">
        <f aca="false">TblMili[[#This Row],[Non Draft]] * (1 + TblMili[[#This Row],[Mods_Def]])</f>
        <v>#VALUE!</v>
      </c>
      <c r="W116" s="285" t="e">
        <f aca="false">TblMili[[#This Row],[Draft]] * (1 + TblMili[[#This Row],[Mods_Def]])</f>
        <v>#VALUE!</v>
      </c>
      <c r="X116" s="285" t="n">
        <f aca="false">TblConstr[[#This Row],[Land]]</f>
        <v>700</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2966</v>
      </c>
      <c r="AB116" s="146"/>
      <c r="AC116" s="130" t="n">
        <f aca="false">(TblConstr[[#This Row],[Tot Smi]]+TblConstr[[#This Row],[Dest Smi]])/(TblConstr[[#This Row],[Land]]-TblExplore[[#This Row],[Land Bonus]]*20)</f>
        <v>0.18</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1626704</v>
      </c>
      <c r="AQ116" s="69" t="n">
        <f aca="false">INDEX(TblProd[[#Headers],[Lumber]]:TblProd[[#This Row],[Ore]],COUNTA(TblProd[[#Headers],[Lumber]]:TblProd[[#This Row],[Lumber]]),MATCH(Military!$AQ$2,TblProd[[#Headers],[Lumber]:[Ore]],0))</f>
        <v>-357</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2966</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0</v>
      </c>
      <c r="CG116" s="288" t="e">
        <f aca="false">MIN(frost_mage_cap,TblMili[[#This Row],[Hill]]/frost_mage_bonus)</f>
        <v>#VALUE!</v>
      </c>
      <c r="CH116" s="151" t="n">
        <f aca="false">MIN(ice_elem_cap,TblMili[[#This Row],[Raw (2)]]*ice_elem_bonus)</f>
        <v>0.0357142857142857</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0.064285714285715</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0.0357142857142857</v>
      </c>
      <c r="DF116" s="291" t="n">
        <f aca="false">TblMili[[#This Row],[Raw (2)]]*(1+race_wizard_strength+IF(TblMili[[#This Row],[Hour]]&gt;72,tech_magical_weaponry_wiz*TblTech[[#This Row],[3-5]],0))</f>
        <v>0.0357142857142857</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6257</v>
      </c>
      <c r="C117" s="150" t="n">
        <f aca="false">TblPop[[#This Row],[Military%]]</f>
        <v>0.483576783368112</v>
      </c>
      <c r="D117" s="132"/>
      <c r="E117" s="151" t="n">
        <f aca="false">OFFSET(TblMili[[#This Row],[Unit 1]],-1,0) + OFFSET(TblMili[[#This Row],[Train Unit 1]],-9,0) - TblMili[[#This Row],[Release Unit 1]]</f>
        <v>0</v>
      </c>
      <c r="F117" s="151" t="n">
        <f aca="false">OFFSET(TblMili[[#This Row],[Unit 2]],-1,0) + OFFSET(TblMili[[#This Row],[Train Unit 2]],-9,0)-TblMili[[#This Row],[Release Unit 2]]</f>
        <v>1246</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25</v>
      </c>
      <c r="J117" s="151" t="n">
        <f aca="false">OFFSET(TblMili[[#This Row],[Archspies]],-1,0) + OFFSET(TblMili[[#This Row],[Train AS]],-12,0) - TblMili[[#This Row],[Release AS]]</f>
        <v>0</v>
      </c>
      <c r="K117" s="151" t="n">
        <f aca="false">OFFSET(TblMili[[#This Row],[Wizards]],-1,0) + OFFSET(TblMili[[#This Row],[Train Wiz]],-12,0) - TblMili[[#This Row],[Release Wizards]]-TblMili[[#This Row],[Train AM]]</f>
        <v>25</v>
      </c>
      <c r="L117" s="151" t="n">
        <f aca="false">OFFSET(TblMili[[#This Row],[Archmages]],-1,0) + OFFSET(TblMili[[#This Row],[Train AM]],-12,0) - TblMili[[#This Row],[Release AM]]</f>
        <v>0</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0.1375</v>
      </c>
      <c r="V117" s="274" t="e">
        <f aca="false">TblMili[[#This Row],[Non Draft]] * (1 + TblMili[[#This Row],[Mods_Def]])</f>
        <v>#VALUE!</v>
      </c>
      <c r="W117" s="285" t="e">
        <f aca="false">TblMili[[#This Row],[Draft]] * (1 + TblMili[[#This Row],[Mods_Def]])</f>
        <v>#VALUE!</v>
      </c>
      <c r="X117" s="285" t="n">
        <f aca="false">TblConstr[[#This Row],[Land]]</f>
        <v>700</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3033</v>
      </c>
      <c r="AB117" s="146"/>
      <c r="AC117" s="130" t="n">
        <f aca="false">(TblConstr[[#This Row],[Tot Smi]]+TblConstr[[#This Row],[Dest Smi]])/(TblConstr[[#This Row],[Land]]-TblExplore[[#This Row],[Land Bonus]]*20)</f>
        <v>0.18</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1657301</v>
      </c>
      <c r="AQ117" s="69" t="n">
        <f aca="false">INDEX(TblProd[[#Headers],[Lumber]]:TblProd[[#This Row],[Ore]],COUNTA(TblProd[[#Headers],[Lumber]]:TblProd[[#This Row],[Lumber]]),MATCH(Military!$AQ$2,TblProd[[#Headers],[Lumber]:[Ore]],0))</f>
        <v>-357</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3033</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0</v>
      </c>
      <c r="CG117" s="288" t="e">
        <f aca="false">MIN(frost_mage_cap,TblMili[[#This Row],[Hill]]/frost_mage_bonus)</f>
        <v>#VALUE!</v>
      </c>
      <c r="CH117" s="151" t="n">
        <f aca="false">MIN(ice_elem_cap,TblMili[[#This Row],[Raw (2)]]*ice_elem_bonus)</f>
        <v>0.0357142857142857</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0.064285714285715</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0.0357142857142857</v>
      </c>
      <c r="DF117" s="291" t="n">
        <f aca="false">TblMili[[#This Row],[Raw (2)]]*(1+race_wizard_strength+IF(TblMili[[#This Row],[Hour]]&gt;72,tech_magical_weaponry_wiz*TblTech[[#This Row],[3-5]],0))</f>
        <v>0.0357142857142857</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6324</v>
      </c>
      <c r="C118" s="150" t="n">
        <f aca="false">TblPop[[#This Row],[Military%]]</f>
        <v>0.48875492696499</v>
      </c>
      <c r="D118" s="132"/>
      <c r="E118" s="151" t="n">
        <f aca="false">OFFSET(TblMili[[#This Row],[Unit 1]],-1,0) + OFFSET(TblMili[[#This Row],[Train Unit 1]],-9,0) - TblMili[[#This Row],[Release Unit 1]]</f>
        <v>0</v>
      </c>
      <c r="F118" s="151" t="n">
        <f aca="false">OFFSET(TblMili[[#This Row],[Unit 2]],-1,0) + OFFSET(TblMili[[#This Row],[Train Unit 2]],-9,0)-TblMili[[#This Row],[Release Unit 2]]</f>
        <v>1246</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25</v>
      </c>
      <c r="J118" s="151" t="n">
        <f aca="false">OFFSET(TblMili[[#This Row],[Archspies]],-1,0) + OFFSET(TblMili[[#This Row],[Train AS]],-12,0) - TblMili[[#This Row],[Release AS]]</f>
        <v>0</v>
      </c>
      <c r="K118" s="151" t="n">
        <f aca="false">OFFSET(TblMili[[#This Row],[Wizards]],-1,0) + OFFSET(TblMili[[#This Row],[Train Wiz]],-12,0) - TblMili[[#This Row],[Release Wizards]]-TblMili[[#This Row],[Train AM]]</f>
        <v>25</v>
      </c>
      <c r="L118" s="151" t="n">
        <f aca="false">OFFSET(TblMili[[#This Row],[Archmages]],-1,0) + OFFSET(TblMili[[#This Row],[Train AM]],-12,0) - TblMili[[#This Row],[Release AM]]</f>
        <v>0</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0.1375</v>
      </c>
      <c r="V118" s="274" t="e">
        <f aca="false">TblMili[[#This Row],[Non Draft]] * (1 + TblMili[[#This Row],[Mods_Def]])</f>
        <v>#VALUE!</v>
      </c>
      <c r="W118" s="285" t="e">
        <f aca="false">TblMili[[#This Row],[Draft]] * (1 + TblMili[[#This Row],[Mods_Def]])</f>
        <v>#VALUE!</v>
      </c>
      <c r="X118" s="285" t="n">
        <f aca="false">TblConstr[[#This Row],[Land]]</f>
        <v>700</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3100</v>
      </c>
      <c r="AB118" s="146"/>
      <c r="AC118" s="130" t="n">
        <f aca="false">(TblConstr[[#This Row],[Tot Smi]]+TblConstr[[#This Row],[Dest Smi]])/(TblConstr[[#This Row],[Land]]-TblExplore[[#This Row],[Land Bonus]]*20)</f>
        <v>0.18</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1687717</v>
      </c>
      <c r="AQ118" s="69" t="n">
        <f aca="false">INDEX(TblProd[[#Headers],[Lumber]]:TblProd[[#This Row],[Ore]],COUNTA(TblProd[[#Headers],[Lumber]]:TblProd[[#This Row],[Lumber]]),MATCH(Military!$AQ$2,TblProd[[#Headers],[Lumber]:[Ore]],0))</f>
        <v>-357</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3100</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0</v>
      </c>
      <c r="CG118" s="288" t="e">
        <f aca="false">MIN(frost_mage_cap,TblMili[[#This Row],[Hill]]/frost_mage_bonus)</f>
        <v>#VALUE!</v>
      </c>
      <c r="CH118" s="151" t="n">
        <f aca="false">MIN(ice_elem_cap,TblMili[[#This Row],[Raw (2)]]*ice_elem_bonus)</f>
        <v>0.0357142857142857</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0.064285714285715</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0.0357142857142857</v>
      </c>
      <c r="DF118" s="291" t="n">
        <f aca="false">TblMili[[#This Row],[Raw (2)]]*(1+race_wizard_strength+IF(TblMili[[#This Row],[Hour]]&gt;72,tech_magical_weaponry_wiz*TblTech[[#This Row],[3-5]],0))</f>
        <v>0.0357142857142857</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6390</v>
      </c>
      <c r="C119" s="150" t="n">
        <f aca="false">TblPop[[#This Row],[Military%]]</f>
        <v>0.493855784836541</v>
      </c>
      <c r="D119" s="132"/>
      <c r="E119" s="151" t="n">
        <f aca="false">OFFSET(TblMili[[#This Row],[Unit 1]],-1,0) + OFFSET(TblMili[[#This Row],[Train Unit 1]],-9,0) - TblMili[[#This Row],[Release Unit 1]]</f>
        <v>0</v>
      </c>
      <c r="F119" s="151" t="n">
        <f aca="false">OFFSET(TblMili[[#This Row],[Unit 2]],-1,0) + OFFSET(TblMili[[#This Row],[Train Unit 2]],-9,0)-TblMili[[#This Row],[Release Unit 2]]</f>
        <v>1246</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25</v>
      </c>
      <c r="J119" s="151" t="n">
        <f aca="false">OFFSET(TblMili[[#This Row],[Archspies]],-1,0) + OFFSET(TblMili[[#This Row],[Train AS]],-12,0) - TblMili[[#This Row],[Release AS]]</f>
        <v>0</v>
      </c>
      <c r="K119" s="151" t="n">
        <f aca="false">OFFSET(TblMili[[#This Row],[Wizards]],-1,0) + OFFSET(TblMili[[#This Row],[Train Wiz]],-12,0) - TblMili[[#This Row],[Release Wizards]]-TblMili[[#This Row],[Train AM]]</f>
        <v>25</v>
      </c>
      <c r="L119" s="151" t="n">
        <f aca="false">OFFSET(TblMili[[#This Row],[Archmages]],-1,0) + OFFSET(TblMili[[#This Row],[Train AM]],-12,0) - TblMili[[#This Row],[Release AM]]</f>
        <v>0</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0.1375</v>
      </c>
      <c r="V119" s="274" t="e">
        <f aca="false">TblMili[[#This Row],[Non Draft]] * (1 + TblMili[[#This Row],[Mods_Def]])</f>
        <v>#VALUE!</v>
      </c>
      <c r="W119" s="285" t="e">
        <f aca="false">TblMili[[#This Row],[Draft]] * (1 + TblMili[[#This Row],[Mods_Def]])</f>
        <v>#VALUE!</v>
      </c>
      <c r="X119" s="285" t="n">
        <f aca="false">TblConstr[[#This Row],[Land]]</f>
        <v>700</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3166</v>
      </c>
      <c r="AB119" s="146"/>
      <c r="AC119" s="130" t="n">
        <f aca="false">(TblConstr[[#This Row],[Tot Smi]]+TblConstr[[#This Row],[Dest Smi]])/(TblConstr[[#This Row],[Land]]-TblExplore[[#This Row],[Land Bonus]]*20)</f>
        <v>0.18</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1717952</v>
      </c>
      <c r="AQ119" s="69" t="n">
        <f aca="false">INDEX(TblProd[[#Headers],[Lumber]]:TblProd[[#This Row],[Ore]],COUNTA(TblProd[[#Headers],[Lumber]]:TblProd[[#This Row],[Lumber]]),MATCH(Military!$AQ$2,TblProd[[#Headers],[Lumber]:[Ore]],0))</f>
        <v>-357</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3166</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0</v>
      </c>
      <c r="CG119" s="288" t="e">
        <f aca="false">MIN(frost_mage_cap,TblMili[[#This Row],[Hill]]/frost_mage_bonus)</f>
        <v>#VALUE!</v>
      </c>
      <c r="CH119" s="151" t="n">
        <f aca="false">MIN(ice_elem_cap,TblMili[[#This Row],[Raw (2)]]*ice_elem_bonus)</f>
        <v>0.0357142857142857</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0.064285714285715</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0.0357142857142857</v>
      </c>
      <c r="DF119" s="291" t="n">
        <f aca="false">TblMili[[#This Row],[Raw (2)]]*(1+race_wizard_strength+IF(TblMili[[#This Row],[Hour]]&gt;72,tech_magical_weaponry_wiz*TblTech[[#This Row],[3-5]],0))</f>
        <v>0.0357142857142857</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6455</v>
      </c>
      <c r="C120" s="150" t="n">
        <f aca="false">TblPop[[#This Row],[Military%]]</f>
        <v>0.498879356982765</v>
      </c>
      <c r="D120" s="132"/>
      <c r="E120" s="151" t="n">
        <f aca="false">OFFSET(TblMili[[#This Row],[Unit 1]],-1,0) + OFFSET(TblMili[[#This Row],[Train Unit 1]],-9,0) - TblMili[[#This Row],[Release Unit 1]]</f>
        <v>0</v>
      </c>
      <c r="F120" s="151" t="n">
        <f aca="false">OFFSET(TblMili[[#This Row],[Unit 2]],-1,0) + OFFSET(TblMili[[#This Row],[Train Unit 2]],-9,0)-TblMili[[#This Row],[Release Unit 2]]</f>
        <v>1246</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25</v>
      </c>
      <c r="J120" s="151" t="n">
        <f aca="false">OFFSET(TblMili[[#This Row],[Archspies]],-1,0) + OFFSET(TblMili[[#This Row],[Train AS]],-12,0) - TblMili[[#This Row],[Release AS]]</f>
        <v>0</v>
      </c>
      <c r="K120" s="151" t="n">
        <f aca="false">OFFSET(TblMili[[#This Row],[Wizards]],-1,0) + OFFSET(TblMili[[#This Row],[Train Wiz]],-12,0) - TblMili[[#This Row],[Release Wizards]]-TblMili[[#This Row],[Train AM]]</f>
        <v>25</v>
      </c>
      <c r="L120" s="151" t="n">
        <f aca="false">OFFSET(TblMili[[#This Row],[Archmages]],-1,0) + OFFSET(TblMili[[#This Row],[Train AM]],-12,0) - TblMili[[#This Row],[Release AM]]</f>
        <v>0</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0.1375</v>
      </c>
      <c r="V120" s="274" t="e">
        <f aca="false">TblMili[[#This Row],[Non Draft]] * (1 + TblMili[[#This Row],[Mods_Def]])</f>
        <v>#VALUE!</v>
      </c>
      <c r="W120" s="285" t="e">
        <f aca="false">TblMili[[#This Row],[Draft]] * (1 + TblMili[[#This Row],[Mods_Def]])</f>
        <v>#VALUE!</v>
      </c>
      <c r="X120" s="285" t="n">
        <f aca="false">TblConstr[[#This Row],[Land]]</f>
        <v>700</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3231</v>
      </c>
      <c r="AB120" s="146"/>
      <c r="AC120" s="130" t="n">
        <f aca="false">(TblConstr[[#This Row],[Tot Smi]]+TblConstr[[#This Row],[Dest Smi]])/(TblConstr[[#This Row],[Land]]-TblExplore[[#This Row],[Land Bonus]]*20)</f>
        <v>0.18</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1748009</v>
      </c>
      <c r="AQ120" s="69" t="n">
        <f aca="false">INDEX(TblProd[[#Headers],[Lumber]]:TblProd[[#This Row],[Ore]],COUNTA(TblProd[[#Headers],[Lumber]]:TblProd[[#This Row],[Lumber]]),MATCH(Military!$AQ$2,TblProd[[#Headers],[Lumber]:[Ore]],0))</f>
        <v>-357</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3231</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0</v>
      </c>
      <c r="CG120" s="288" t="e">
        <f aca="false">MIN(frost_mage_cap,TblMili[[#This Row],[Hill]]/frost_mage_bonus)</f>
        <v>#VALUE!</v>
      </c>
      <c r="CH120" s="151" t="n">
        <f aca="false">MIN(ice_elem_cap,TblMili[[#This Row],[Raw (2)]]*ice_elem_bonus)</f>
        <v>0.0357142857142857</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0.064285714285715</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0.0357142857142857</v>
      </c>
      <c r="DF120" s="291" t="n">
        <f aca="false">TblMili[[#This Row],[Raw (2)]]*(1+race_wizard_strength+IF(TblMili[[#This Row],[Hour]]&gt;72,tech_magical_weaponry_wiz*TblTech[[#This Row],[3-5]],0))</f>
        <v>0.0357142857142857</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6520</v>
      </c>
      <c r="C121" s="150" t="n">
        <f aca="false">TblPop[[#This Row],[Military%]]</f>
        <v>0.50390292912899</v>
      </c>
      <c r="D121" s="132"/>
      <c r="E121" s="151" t="n">
        <f aca="false">OFFSET(TblMili[[#This Row],[Unit 1]],-1,0) + OFFSET(TblMili[[#This Row],[Train Unit 1]],-9,0) - TblMili[[#This Row],[Release Unit 1]]</f>
        <v>0</v>
      </c>
      <c r="F121" s="151" t="n">
        <f aca="false">OFFSET(TblMili[[#This Row],[Unit 2]],-1,0) + OFFSET(TblMili[[#This Row],[Train Unit 2]],-9,0)-TblMili[[#This Row],[Release Unit 2]]</f>
        <v>1246</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25</v>
      </c>
      <c r="J121" s="151" t="n">
        <f aca="false">OFFSET(TblMili[[#This Row],[Archspies]],-1,0) + OFFSET(TblMili[[#This Row],[Train AS]],-12,0) - TblMili[[#This Row],[Release AS]]</f>
        <v>0</v>
      </c>
      <c r="K121" s="151" t="n">
        <f aca="false">OFFSET(TblMili[[#This Row],[Wizards]],-1,0) + OFFSET(TblMili[[#This Row],[Train Wiz]],-12,0) - TblMili[[#This Row],[Release Wizards]]-TblMili[[#This Row],[Train AM]]</f>
        <v>25</v>
      </c>
      <c r="L121" s="151" t="n">
        <f aca="false">OFFSET(TblMili[[#This Row],[Archmages]],-1,0) + OFFSET(TblMili[[#This Row],[Train AM]],-12,0) - TblMili[[#This Row],[Release AM]]</f>
        <v>0</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0.1375</v>
      </c>
      <c r="V121" s="274" t="e">
        <f aca="false">TblMili[[#This Row],[Non Draft]] * (1 + TblMili[[#This Row],[Mods_Def]])</f>
        <v>#VALUE!</v>
      </c>
      <c r="W121" s="285" t="e">
        <f aca="false">TblMili[[#This Row],[Draft]] * (1 + TblMili[[#This Row],[Mods_Def]])</f>
        <v>#VALUE!</v>
      </c>
      <c r="X121" s="285" t="n">
        <f aca="false">TblConstr[[#This Row],[Land]]</f>
        <v>700</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3296</v>
      </c>
      <c r="AB121" s="146"/>
      <c r="AC121" s="130" t="n">
        <f aca="false">(TblConstr[[#This Row],[Tot Smi]]+TblConstr[[#This Row],[Dest Smi]])/(TblConstr[[#This Row],[Land]]-TblExplore[[#This Row],[Land Bonus]]*20)</f>
        <v>0.18</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1777890</v>
      </c>
      <c r="AQ121" s="69" t="n">
        <f aca="false">INDEX(TblProd[[#Headers],[Lumber]]:TblProd[[#This Row],[Ore]],COUNTA(TblProd[[#Headers],[Lumber]]:TblProd[[#This Row],[Lumber]]),MATCH(Military!$AQ$2,TblProd[[#Headers],[Lumber]:[Ore]],0))</f>
        <v>-357</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3296</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0</v>
      </c>
      <c r="CG121" s="288" t="e">
        <f aca="false">MIN(frost_mage_cap,TblMili[[#This Row],[Hill]]/frost_mage_bonus)</f>
        <v>#VALUE!</v>
      </c>
      <c r="CH121" s="151" t="n">
        <f aca="false">MIN(ice_elem_cap,TblMili[[#This Row],[Raw (2)]]*ice_elem_bonus)</f>
        <v>0.0357142857142857</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0.064285714285715</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0.0357142857142857</v>
      </c>
      <c r="DF121" s="291" t="n">
        <f aca="false">TblMili[[#This Row],[Raw (2)]]*(1+race_wizard_strength+IF(TblMili[[#This Row],[Hour]]&gt;72,tech_magical_weaponry_wiz*TblTech[[#This Row],[3-5]],0))</f>
        <v>0.0357142857142857</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6584</v>
      </c>
      <c r="C122" s="150" t="n">
        <f aca="false">TblPop[[#This Row],[Military%]]</f>
        <v>0.508849215549888</v>
      </c>
      <c r="D122" s="132"/>
      <c r="E122" s="151" t="n">
        <f aca="false">OFFSET(TblMili[[#This Row],[Unit 1]],-1,0) + OFFSET(TblMili[[#This Row],[Train Unit 1]],-9,0) - TblMili[[#This Row],[Release Unit 1]]</f>
        <v>0</v>
      </c>
      <c r="F122" s="151" t="n">
        <f aca="false">OFFSET(TblMili[[#This Row],[Unit 2]],-1,0) + OFFSET(TblMili[[#This Row],[Train Unit 2]],-9,0)-TblMili[[#This Row],[Release Unit 2]]</f>
        <v>1246</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25</v>
      </c>
      <c r="J122" s="151" t="n">
        <f aca="false">OFFSET(TblMili[[#This Row],[Archspies]],-1,0) + OFFSET(TblMili[[#This Row],[Train AS]],-12,0) - TblMili[[#This Row],[Release AS]]</f>
        <v>0</v>
      </c>
      <c r="K122" s="151" t="n">
        <f aca="false">OFFSET(TblMili[[#This Row],[Wizards]],-1,0) + OFFSET(TblMili[[#This Row],[Train Wiz]],-12,0) - TblMili[[#This Row],[Release Wizards]]-TblMili[[#This Row],[Train AM]]</f>
        <v>25</v>
      </c>
      <c r="L122" s="151" t="n">
        <f aca="false">OFFSET(TblMili[[#This Row],[Archmages]],-1,0) + OFFSET(TblMili[[#This Row],[Train AM]],-12,0) - TblMili[[#This Row],[Release AM]]</f>
        <v>0</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0.1375</v>
      </c>
      <c r="V122" s="274" t="e">
        <f aca="false">TblMili[[#This Row],[Non Draft]] * (1 + TblMili[[#This Row],[Mods_Def]])</f>
        <v>#VALUE!</v>
      </c>
      <c r="W122" s="285" t="e">
        <f aca="false">TblMili[[#This Row],[Draft]] * (1 + TblMili[[#This Row],[Mods_Def]])</f>
        <v>#VALUE!</v>
      </c>
      <c r="X122" s="285" t="n">
        <f aca="false">TblConstr[[#This Row],[Land]]</f>
        <v>700</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3360</v>
      </c>
      <c r="AB122" s="146"/>
      <c r="AC122" s="130" t="n">
        <f aca="false">(TblConstr[[#This Row],[Tot Smi]]+TblConstr[[#This Row],[Dest Smi]])/(TblConstr[[#This Row],[Land]]-TblExplore[[#This Row],[Land Bonus]]*20)</f>
        <v>0.18</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1807596</v>
      </c>
      <c r="AQ122" s="69" t="n">
        <f aca="false">INDEX(TblProd[[#Headers],[Lumber]]:TblProd[[#This Row],[Ore]],COUNTA(TblProd[[#Headers],[Lumber]]:TblProd[[#This Row],[Lumber]]),MATCH(Military!$AQ$2,TblProd[[#Headers],[Lumber]:[Ore]],0))</f>
        <v>-357</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3360</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0</v>
      </c>
      <c r="CG122" s="288" t="e">
        <f aca="false">MIN(frost_mage_cap,TblMili[[#This Row],[Hill]]/frost_mage_bonus)</f>
        <v>#VALUE!</v>
      </c>
      <c r="CH122" s="151" t="n">
        <f aca="false">MIN(ice_elem_cap,TblMili[[#This Row],[Raw (2)]]*ice_elem_bonus)</f>
        <v>0.0357142857142857</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0.064285714285715</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0.0357142857142857</v>
      </c>
      <c r="DF122" s="291" t="n">
        <f aca="false">TblMili[[#This Row],[Raw (2)]]*(1+race_wizard_strength+IF(TblMili[[#This Row],[Hour]]&gt;72,tech_magical_weaponry_wiz*TblTech[[#This Row],[3-5]],0))</f>
        <v>0.0357142857142857</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6648</v>
      </c>
      <c r="C123" s="150" t="n">
        <f aca="false">TblPop[[#This Row],[Military%]]</f>
        <v>0.513795501970786</v>
      </c>
      <c r="D123" s="132"/>
      <c r="E123" s="151" t="n">
        <f aca="false">OFFSET(TblMili[[#This Row],[Unit 1]],-1,0) + OFFSET(TblMili[[#This Row],[Train Unit 1]],-9,0) - TblMili[[#This Row],[Release Unit 1]]</f>
        <v>0</v>
      </c>
      <c r="F123" s="151" t="n">
        <f aca="false">OFFSET(TblMili[[#This Row],[Unit 2]],-1,0) + OFFSET(TblMili[[#This Row],[Train Unit 2]],-9,0)-TblMili[[#This Row],[Release Unit 2]]</f>
        <v>1246</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25</v>
      </c>
      <c r="J123" s="151" t="n">
        <f aca="false">OFFSET(TblMili[[#This Row],[Archspies]],-1,0) + OFFSET(TblMili[[#This Row],[Train AS]],-12,0) - TblMili[[#This Row],[Release AS]]</f>
        <v>0</v>
      </c>
      <c r="K123" s="151" t="n">
        <f aca="false">OFFSET(TblMili[[#This Row],[Wizards]],-1,0) + OFFSET(TblMili[[#This Row],[Train Wiz]],-12,0) - TblMili[[#This Row],[Release Wizards]]-TblMili[[#This Row],[Train AM]]</f>
        <v>25</v>
      </c>
      <c r="L123" s="151" t="n">
        <f aca="false">OFFSET(TblMili[[#This Row],[Archmages]],-1,0) + OFFSET(TblMili[[#This Row],[Train AM]],-12,0) - TblMili[[#This Row],[Release AM]]</f>
        <v>0</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0.1375</v>
      </c>
      <c r="V123" s="274" t="e">
        <f aca="false">TblMili[[#This Row],[Non Draft]] * (1 + TblMili[[#This Row],[Mods_Def]])</f>
        <v>#VALUE!</v>
      </c>
      <c r="W123" s="285" t="e">
        <f aca="false">TblMili[[#This Row],[Draft]] * (1 + TblMili[[#This Row],[Mods_Def]])</f>
        <v>#VALUE!</v>
      </c>
      <c r="X123" s="285" t="n">
        <f aca="false">TblConstr[[#This Row],[Land]]</f>
        <v>700</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3424</v>
      </c>
      <c r="AB123" s="146"/>
      <c r="AC123" s="130" t="n">
        <f aca="false">(TblConstr[[#This Row],[Tot Smi]]+TblConstr[[#This Row],[Dest Smi]])/(TblConstr[[#This Row],[Land]]-TblExplore[[#This Row],[Land Bonus]]*20)</f>
        <v>0.18</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1837129</v>
      </c>
      <c r="AQ123" s="69" t="n">
        <f aca="false">INDEX(TblProd[[#Headers],[Lumber]]:TblProd[[#This Row],[Ore]],COUNTA(TblProd[[#Headers],[Lumber]]:TblProd[[#This Row],[Lumber]]),MATCH(Military!$AQ$2,TblProd[[#Headers],[Lumber]:[Ore]],0))</f>
        <v>-357</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3424</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0</v>
      </c>
      <c r="CG123" s="288" t="e">
        <f aca="false">MIN(frost_mage_cap,TblMili[[#This Row],[Hill]]/frost_mage_bonus)</f>
        <v>#VALUE!</v>
      </c>
      <c r="CH123" s="151" t="n">
        <f aca="false">MIN(ice_elem_cap,TblMili[[#This Row],[Raw (2)]]*ice_elem_bonus)</f>
        <v>0.0357142857142857</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0.064285714285715</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0.0357142857142857</v>
      </c>
      <c r="DF123" s="291" t="n">
        <f aca="false">TblMili[[#This Row],[Raw (2)]]*(1+race_wizard_strength+IF(TblMili[[#This Row],[Hour]]&gt;72,tech_magical_weaponry_wiz*TblTech[[#This Row],[3-5]],0))</f>
        <v>0.0357142857142857</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6711</v>
      </c>
      <c r="C124" s="150" t="n">
        <f aca="false">TblPop[[#This Row],[Military%]]</f>
        <v>0.518664502666358</v>
      </c>
      <c r="D124" s="132"/>
      <c r="E124" s="151" t="n">
        <f aca="false">OFFSET(TblMili[[#This Row],[Unit 1]],-1,0) + OFFSET(TblMili[[#This Row],[Train Unit 1]],-9,0) - TblMili[[#This Row],[Release Unit 1]]</f>
        <v>0</v>
      </c>
      <c r="F124" s="151" t="n">
        <f aca="false">OFFSET(TblMili[[#This Row],[Unit 2]],-1,0) + OFFSET(TblMili[[#This Row],[Train Unit 2]],-9,0)-TblMili[[#This Row],[Release Unit 2]]</f>
        <v>1246</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25</v>
      </c>
      <c r="J124" s="151" t="n">
        <f aca="false">OFFSET(TblMili[[#This Row],[Archspies]],-1,0) + OFFSET(TblMili[[#This Row],[Train AS]],-12,0) - TblMili[[#This Row],[Release AS]]</f>
        <v>0</v>
      </c>
      <c r="K124" s="151" t="n">
        <f aca="false">OFFSET(TblMili[[#This Row],[Wizards]],-1,0) + OFFSET(TblMili[[#This Row],[Train Wiz]],-12,0) - TblMili[[#This Row],[Release Wizards]]-TblMili[[#This Row],[Train AM]]</f>
        <v>25</v>
      </c>
      <c r="L124" s="151" t="n">
        <f aca="false">OFFSET(TblMili[[#This Row],[Archmages]],-1,0) + OFFSET(TblMili[[#This Row],[Train AM]],-12,0) - TblMili[[#This Row],[Release AM]]</f>
        <v>0</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0.1375</v>
      </c>
      <c r="V124" s="274" t="e">
        <f aca="false">TblMili[[#This Row],[Non Draft]] * (1 + TblMili[[#This Row],[Mods_Def]])</f>
        <v>#VALUE!</v>
      </c>
      <c r="W124" s="285" t="e">
        <f aca="false">TblMili[[#This Row],[Draft]] * (1 + TblMili[[#This Row],[Mods_Def]])</f>
        <v>#VALUE!</v>
      </c>
      <c r="X124" s="285" t="n">
        <f aca="false">TblConstr[[#This Row],[Land]]</f>
        <v>700</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3487</v>
      </c>
      <c r="AB124" s="146"/>
      <c r="AC124" s="130" t="n">
        <f aca="false">(TblConstr[[#This Row],[Tot Smi]]+TblConstr[[#This Row],[Dest Smi]])/(TblConstr[[#This Row],[Land]]-TblExplore[[#This Row],[Land Bonus]]*20)</f>
        <v>0.18</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1866489</v>
      </c>
      <c r="AQ124" s="69" t="n">
        <f aca="false">INDEX(TblProd[[#Headers],[Lumber]]:TblProd[[#This Row],[Ore]],COUNTA(TblProd[[#Headers],[Lumber]]:TblProd[[#This Row],[Lumber]]),MATCH(Military!$AQ$2,TblProd[[#Headers],[Lumber]:[Ore]],0))</f>
        <v>-357</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3487</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0</v>
      </c>
      <c r="CG124" s="288" t="e">
        <f aca="false">MIN(frost_mage_cap,TblMili[[#This Row],[Hill]]/frost_mage_bonus)</f>
        <v>#VALUE!</v>
      </c>
      <c r="CH124" s="151" t="n">
        <f aca="false">MIN(ice_elem_cap,TblMili[[#This Row],[Raw (2)]]*ice_elem_bonus)</f>
        <v>0.0357142857142857</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0.064285714285715</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0.0357142857142857</v>
      </c>
      <c r="DF124" s="291" t="n">
        <f aca="false">TblMili[[#This Row],[Raw (2)]]*(1+race_wizard_strength+IF(TblMili[[#This Row],[Hour]]&gt;72,tech_magical_weaponry_wiz*TblTech[[#This Row],[3-5]],0))</f>
        <v>0.0357142857142857</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6773</v>
      </c>
      <c r="C125" s="150" t="n">
        <f aca="false">TblPop[[#This Row],[Military%]]</f>
        <v>0.523456217636603</v>
      </c>
      <c r="D125" s="132"/>
      <c r="E125" s="151" t="n">
        <f aca="false">OFFSET(TblMili[[#This Row],[Unit 1]],-1,0) + OFFSET(TblMili[[#This Row],[Train Unit 1]],-9,0) - TblMili[[#This Row],[Release Unit 1]]</f>
        <v>0</v>
      </c>
      <c r="F125" s="151" t="n">
        <f aca="false">OFFSET(TblMili[[#This Row],[Unit 2]],-1,0) + OFFSET(TblMili[[#This Row],[Train Unit 2]],-9,0)-TblMili[[#This Row],[Release Unit 2]]</f>
        <v>1246</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25</v>
      </c>
      <c r="J125" s="151" t="n">
        <f aca="false">OFFSET(TblMili[[#This Row],[Archspies]],-1,0) + OFFSET(TblMili[[#This Row],[Train AS]],-12,0) - TblMili[[#This Row],[Release AS]]</f>
        <v>0</v>
      </c>
      <c r="K125" s="151" t="n">
        <f aca="false">OFFSET(TblMili[[#This Row],[Wizards]],-1,0) + OFFSET(TblMili[[#This Row],[Train Wiz]],-12,0) - TblMili[[#This Row],[Release Wizards]]-TblMili[[#This Row],[Train AM]]</f>
        <v>25</v>
      </c>
      <c r="L125" s="151" t="n">
        <f aca="false">OFFSET(TblMili[[#This Row],[Archmages]],-1,0) + OFFSET(TblMili[[#This Row],[Train AM]],-12,0) - TblMili[[#This Row],[Release AM]]</f>
        <v>0</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0.1375</v>
      </c>
      <c r="V125" s="274" t="e">
        <f aca="false">TblMili[[#This Row],[Non Draft]] * (1 + TblMili[[#This Row],[Mods_Def]])</f>
        <v>#VALUE!</v>
      </c>
      <c r="W125" s="285" t="e">
        <f aca="false">TblMili[[#This Row],[Draft]] * (1 + TblMili[[#This Row],[Mods_Def]])</f>
        <v>#VALUE!</v>
      </c>
      <c r="X125" s="285" t="n">
        <f aca="false">TblConstr[[#This Row],[Land]]</f>
        <v>700</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3549</v>
      </c>
      <c r="AB125" s="146"/>
      <c r="AC125" s="130" t="n">
        <f aca="false">(TblConstr[[#This Row],[Tot Smi]]+TblConstr[[#This Row],[Dest Smi]])/(TblConstr[[#This Row],[Land]]-TblExplore[[#This Row],[Land Bonus]]*20)</f>
        <v>0.18</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1895679</v>
      </c>
      <c r="AQ125" s="69" t="n">
        <f aca="false">INDEX(TblProd[[#Headers],[Lumber]]:TblProd[[#This Row],[Ore]],COUNTA(TblProd[[#Headers],[Lumber]]:TblProd[[#This Row],[Lumber]]),MATCH(Military!$AQ$2,TblProd[[#Headers],[Lumber]:[Ore]],0))</f>
        <v>-357</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3549</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0</v>
      </c>
      <c r="CG125" s="288" t="e">
        <f aca="false">MIN(frost_mage_cap,TblMili[[#This Row],[Hill]]/frost_mage_bonus)</f>
        <v>#VALUE!</v>
      </c>
      <c r="CH125" s="151" t="n">
        <f aca="false">MIN(ice_elem_cap,TblMili[[#This Row],[Raw (2)]]*ice_elem_bonus)</f>
        <v>0.0357142857142857</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0.064285714285715</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0.0357142857142857</v>
      </c>
      <c r="DF125" s="291" t="n">
        <f aca="false">TblMili[[#This Row],[Raw (2)]]*(1+race_wizard_strength+IF(TblMili[[#This Row],[Hour]]&gt;72,tech_magical_weaponry_wiz*TblTech[[#This Row],[3-5]],0))</f>
        <v>0.0357142857142857</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6835</v>
      </c>
      <c r="C126" s="150" t="n">
        <f aca="false">TblPop[[#This Row],[Military%]]</f>
        <v>0.528247932606848</v>
      </c>
      <c r="D126" s="132"/>
      <c r="E126" s="151" t="n">
        <f aca="false">OFFSET(TblMili[[#This Row],[Unit 1]],-1,0) + OFFSET(TblMili[[#This Row],[Train Unit 1]],-9,0) - TblMili[[#This Row],[Release Unit 1]]</f>
        <v>0</v>
      </c>
      <c r="F126" s="151" t="n">
        <f aca="false">OFFSET(TblMili[[#This Row],[Unit 2]],-1,0) + OFFSET(TblMili[[#This Row],[Train Unit 2]],-9,0)-TblMili[[#This Row],[Release Unit 2]]</f>
        <v>1246</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25</v>
      </c>
      <c r="J126" s="151" t="n">
        <f aca="false">OFFSET(TblMili[[#This Row],[Archspies]],-1,0) + OFFSET(TblMili[[#This Row],[Train AS]],-12,0) - TblMili[[#This Row],[Release AS]]</f>
        <v>0</v>
      </c>
      <c r="K126" s="151" t="n">
        <f aca="false">OFFSET(TblMili[[#This Row],[Wizards]],-1,0) + OFFSET(TblMili[[#This Row],[Train Wiz]],-12,0) - TblMili[[#This Row],[Release Wizards]]-TblMili[[#This Row],[Train AM]]</f>
        <v>25</v>
      </c>
      <c r="L126" s="151" t="n">
        <f aca="false">OFFSET(TblMili[[#This Row],[Archmages]],-1,0) + OFFSET(TblMili[[#This Row],[Train AM]],-12,0) - TblMili[[#This Row],[Release AM]]</f>
        <v>0</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0.1375</v>
      </c>
      <c r="V126" s="274" t="e">
        <f aca="false">TblMili[[#This Row],[Non Draft]] * (1 + TblMili[[#This Row],[Mods_Def]])</f>
        <v>#VALUE!</v>
      </c>
      <c r="W126" s="285" t="e">
        <f aca="false">TblMili[[#This Row],[Draft]] * (1 + TblMili[[#This Row],[Mods_Def]])</f>
        <v>#VALUE!</v>
      </c>
      <c r="X126" s="285" t="n">
        <f aca="false">TblConstr[[#This Row],[Land]]</f>
        <v>700</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3611</v>
      </c>
      <c r="AB126" s="146"/>
      <c r="AC126" s="130" t="n">
        <f aca="false">(TblConstr[[#This Row],[Tot Smi]]+TblConstr[[#This Row],[Dest Smi]])/(TblConstr[[#This Row],[Land]]-TblExplore[[#This Row],[Land Bonus]]*20)</f>
        <v>0.18</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1924702</v>
      </c>
      <c r="AQ126" s="69" t="n">
        <f aca="false">INDEX(TblProd[[#Headers],[Lumber]]:TblProd[[#This Row],[Ore]],COUNTA(TblProd[[#Headers],[Lumber]]:TblProd[[#This Row],[Lumber]]),MATCH(Military!$AQ$2,TblProd[[#Headers],[Lumber]:[Ore]],0))</f>
        <v>-357</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3611</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0</v>
      </c>
      <c r="CG126" s="288" t="e">
        <f aca="false">MIN(frost_mage_cap,TblMili[[#This Row],[Hill]]/frost_mage_bonus)</f>
        <v>#VALUE!</v>
      </c>
      <c r="CH126" s="151" t="n">
        <f aca="false">MIN(ice_elem_cap,TblMili[[#This Row],[Raw (2)]]*ice_elem_bonus)</f>
        <v>0.0357142857142857</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0.064285714285715</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0.0357142857142857</v>
      </c>
      <c r="DF126" s="291" t="n">
        <f aca="false">TblMili[[#This Row],[Raw (2)]]*(1+race_wizard_strength+IF(TblMili[[#This Row],[Hour]]&gt;72,tech_magical_weaponry_wiz*TblTech[[#This Row],[3-5]],0))</f>
        <v>0.0357142857142857</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6896</v>
      </c>
      <c r="C127" s="150" t="n">
        <f aca="false">TblPop[[#This Row],[Military%]]</f>
        <v>0.532962361851766</v>
      </c>
      <c r="D127" s="132"/>
      <c r="E127" s="151" t="n">
        <f aca="false">OFFSET(TblMili[[#This Row],[Unit 1]],-1,0) + OFFSET(TblMili[[#This Row],[Train Unit 1]],-9,0) - TblMili[[#This Row],[Release Unit 1]]</f>
        <v>0</v>
      </c>
      <c r="F127" s="151" t="n">
        <f aca="false">OFFSET(TblMili[[#This Row],[Unit 2]],-1,0) + OFFSET(TblMili[[#This Row],[Train Unit 2]],-9,0)-TblMili[[#This Row],[Release Unit 2]]</f>
        <v>1246</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25</v>
      </c>
      <c r="J127" s="151" t="n">
        <f aca="false">OFFSET(TblMili[[#This Row],[Archspies]],-1,0) + OFFSET(TblMili[[#This Row],[Train AS]],-12,0) - TblMili[[#This Row],[Release AS]]</f>
        <v>0</v>
      </c>
      <c r="K127" s="151" t="n">
        <f aca="false">OFFSET(TblMili[[#This Row],[Wizards]],-1,0) + OFFSET(TblMili[[#This Row],[Train Wiz]],-12,0) - TblMili[[#This Row],[Release Wizards]]-TblMili[[#This Row],[Train AM]]</f>
        <v>25</v>
      </c>
      <c r="L127" s="151" t="n">
        <f aca="false">OFFSET(TblMili[[#This Row],[Archmages]],-1,0) + OFFSET(TblMili[[#This Row],[Train AM]],-12,0) - TblMili[[#This Row],[Release AM]]</f>
        <v>0</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0.1375</v>
      </c>
      <c r="V127" s="274" t="e">
        <f aca="false">TblMili[[#This Row],[Non Draft]] * (1 + TblMili[[#This Row],[Mods_Def]])</f>
        <v>#VALUE!</v>
      </c>
      <c r="W127" s="285" t="e">
        <f aca="false">TblMili[[#This Row],[Draft]] * (1 + TblMili[[#This Row],[Mods_Def]])</f>
        <v>#VALUE!</v>
      </c>
      <c r="X127" s="285" t="n">
        <f aca="false">TblConstr[[#This Row],[Land]]</f>
        <v>700</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3672</v>
      </c>
      <c r="AB127" s="146"/>
      <c r="AC127" s="130" t="n">
        <f aca="false">(TblConstr[[#This Row],[Tot Smi]]+TblConstr[[#This Row],[Dest Smi]])/(TblConstr[[#This Row],[Land]]-TblExplore[[#This Row],[Land Bonus]]*20)</f>
        <v>0.18</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1953557</v>
      </c>
      <c r="AQ127" s="69" t="n">
        <f aca="false">INDEX(TblProd[[#Headers],[Lumber]]:TblProd[[#This Row],[Ore]],COUNTA(TblProd[[#Headers],[Lumber]]:TblProd[[#This Row],[Lumber]]),MATCH(Military!$AQ$2,TblProd[[#Headers],[Lumber]:[Ore]],0))</f>
        <v>-357</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3672</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0</v>
      </c>
      <c r="CG127" s="288" t="e">
        <f aca="false">MIN(frost_mage_cap,TblMili[[#This Row],[Hill]]/frost_mage_bonus)</f>
        <v>#VALUE!</v>
      </c>
      <c r="CH127" s="151" t="n">
        <f aca="false">MIN(ice_elem_cap,TblMili[[#This Row],[Raw (2)]]*ice_elem_bonus)</f>
        <v>0.0357142857142857</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0.064285714285715</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0.0357142857142857</v>
      </c>
      <c r="DF127" s="291" t="n">
        <f aca="false">TblMili[[#This Row],[Raw (2)]]*(1+race_wizard_strength+IF(TblMili[[#This Row],[Hour]]&gt;72,tech_magical_weaponry_wiz*TblTech[[#This Row],[3-5]],0))</f>
        <v>0.0357142857142857</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6956</v>
      </c>
      <c r="C128" s="150" t="n">
        <f aca="false">TblPop[[#This Row],[Military%]]</f>
        <v>0.537599505371358</v>
      </c>
      <c r="D128" s="132"/>
      <c r="E128" s="151" t="n">
        <f aca="false">OFFSET(TblMili[[#This Row],[Unit 1]],-1,0) + OFFSET(TblMili[[#This Row],[Train Unit 1]],-9,0) - TblMili[[#This Row],[Release Unit 1]]</f>
        <v>0</v>
      </c>
      <c r="F128" s="151" t="n">
        <f aca="false">OFFSET(TblMili[[#This Row],[Unit 2]],-1,0) + OFFSET(TblMili[[#This Row],[Train Unit 2]],-9,0)-TblMili[[#This Row],[Release Unit 2]]</f>
        <v>1246</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25</v>
      </c>
      <c r="J128" s="151" t="n">
        <f aca="false">OFFSET(TblMili[[#This Row],[Archspies]],-1,0) + OFFSET(TblMili[[#This Row],[Train AS]],-12,0) - TblMili[[#This Row],[Release AS]]</f>
        <v>0</v>
      </c>
      <c r="K128" s="151" t="n">
        <f aca="false">OFFSET(TblMili[[#This Row],[Wizards]],-1,0) + OFFSET(TblMili[[#This Row],[Train Wiz]],-12,0) - TblMili[[#This Row],[Release Wizards]]-TblMili[[#This Row],[Train AM]]</f>
        <v>25</v>
      </c>
      <c r="L128" s="151" t="n">
        <f aca="false">OFFSET(TblMili[[#This Row],[Archmages]],-1,0) + OFFSET(TblMili[[#This Row],[Train AM]],-12,0) - TblMili[[#This Row],[Release AM]]</f>
        <v>0</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0.1375</v>
      </c>
      <c r="V128" s="274" t="e">
        <f aca="false">TblMili[[#This Row],[Non Draft]] * (1 + TblMili[[#This Row],[Mods_Def]])</f>
        <v>#VALUE!</v>
      </c>
      <c r="W128" s="285" t="e">
        <f aca="false">TblMili[[#This Row],[Draft]] * (1 + TblMili[[#This Row],[Mods_Def]])</f>
        <v>#VALUE!</v>
      </c>
      <c r="X128" s="285" t="n">
        <f aca="false">TblConstr[[#This Row],[Land]]</f>
        <v>700</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3732</v>
      </c>
      <c r="AB128" s="146"/>
      <c r="AC128" s="130" t="n">
        <f aca="false">(TblConstr[[#This Row],[Tot Smi]]+TblConstr[[#This Row],[Dest Smi]])/(TblConstr[[#This Row],[Land]]-TblExplore[[#This Row],[Land Bonus]]*20)</f>
        <v>0.18</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1982248</v>
      </c>
      <c r="AQ128" s="69" t="n">
        <f aca="false">INDEX(TblProd[[#Headers],[Lumber]]:TblProd[[#This Row],[Ore]],COUNTA(TblProd[[#Headers],[Lumber]]:TblProd[[#This Row],[Lumber]]),MATCH(Military!$AQ$2,TblProd[[#Headers],[Lumber]:[Ore]],0))</f>
        <v>-357</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3732</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0</v>
      </c>
      <c r="CG128" s="288" t="e">
        <f aca="false">MIN(frost_mage_cap,TblMili[[#This Row],[Hill]]/frost_mage_bonus)</f>
        <v>#VALUE!</v>
      </c>
      <c r="CH128" s="151" t="n">
        <f aca="false">MIN(ice_elem_cap,TblMili[[#This Row],[Raw (2)]]*ice_elem_bonus)</f>
        <v>0.0357142857142857</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0.064285714285715</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0.0357142857142857</v>
      </c>
      <c r="DF128" s="291" t="n">
        <f aca="false">TblMili[[#This Row],[Raw (2)]]*(1+race_wizard_strength+IF(TblMili[[#This Row],[Hour]]&gt;72,tech_magical_weaponry_wiz*TblTech[[#This Row],[3-5]],0))</f>
        <v>0.0357142857142857</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7016</v>
      </c>
      <c r="C129" s="150" t="n">
        <f aca="false">TblPop[[#This Row],[Military%]]</f>
        <v>0.54223664889095</v>
      </c>
      <c r="D129" s="132"/>
      <c r="E129" s="151" t="n">
        <f aca="false">OFFSET(TblMili[[#This Row],[Unit 1]],-1,0) + OFFSET(TblMili[[#This Row],[Train Unit 1]],-9,0) - TblMili[[#This Row],[Release Unit 1]]</f>
        <v>0</v>
      </c>
      <c r="F129" s="151" t="n">
        <f aca="false">OFFSET(TblMili[[#This Row],[Unit 2]],-1,0) + OFFSET(TblMili[[#This Row],[Train Unit 2]],-9,0)-TblMili[[#This Row],[Release Unit 2]]</f>
        <v>1246</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25</v>
      </c>
      <c r="J129" s="151" t="n">
        <f aca="false">OFFSET(TblMili[[#This Row],[Archspies]],-1,0) + OFFSET(TblMili[[#This Row],[Train AS]],-12,0) - TblMili[[#This Row],[Release AS]]</f>
        <v>0</v>
      </c>
      <c r="K129" s="151" t="n">
        <f aca="false">OFFSET(TblMili[[#This Row],[Wizards]],-1,0) + OFFSET(TblMili[[#This Row],[Train Wiz]],-12,0) - TblMili[[#This Row],[Release Wizards]]-TblMili[[#This Row],[Train AM]]</f>
        <v>25</v>
      </c>
      <c r="L129" s="151" t="n">
        <f aca="false">OFFSET(TblMili[[#This Row],[Archmages]],-1,0) + OFFSET(TblMili[[#This Row],[Train AM]],-12,0) - TblMili[[#This Row],[Release AM]]</f>
        <v>0</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0.1375</v>
      </c>
      <c r="V129" s="274" t="e">
        <f aca="false">TblMili[[#This Row],[Non Draft]] * (1 + TblMili[[#This Row],[Mods_Def]])</f>
        <v>#VALUE!</v>
      </c>
      <c r="W129" s="285" t="e">
        <f aca="false">TblMili[[#This Row],[Draft]] * (1 + TblMili[[#This Row],[Mods_Def]])</f>
        <v>#VALUE!</v>
      </c>
      <c r="X129" s="285" t="n">
        <f aca="false">TblConstr[[#This Row],[Land]]</f>
        <v>700</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3792</v>
      </c>
      <c r="AB129" s="146"/>
      <c r="AC129" s="130" t="n">
        <f aca="false">(TblConstr[[#This Row],[Tot Smi]]+TblConstr[[#This Row],[Dest Smi]])/(TblConstr[[#This Row],[Land]]-TblExplore[[#This Row],[Land Bonus]]*20)</f>
        <v>0.18</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2010777</v>
      </c>
      <c r="AQ129" s="69" t="n">
        <f aca="false">INDEX(TblProd[[#Headers],[Lumber]]:TblProd[[#This Row],[Ore]],COUNTA(TblProd[[#Headers],[Lumber]]:TblProd[[#This Row],[Lumber]]),MATCH(Military!$AQ$2,TblProd[[#Headers],[Lumber]:[Ore]],0))</f>
        <v>-357</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3792</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0</v>
      </c>
      <c r="CG129" s="288" t="e">
        <f aca="false">MIN(frost_mage_cap,TblMili[[#This Row],[Hill]]/frost_mage_bonus)</f>
        <v>#VALUE!</v>
      </c>
      <c r="CH129" s="151" t="n">
        <f aca="false">MIN(ice_elem_cap,TblMili[[#This Row],[Raw (2)]]*ice_elem_bonus)</f>
        <v>0.0357142857142857</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0.064285714285715</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0.0357142857142857</v>
      </c>
      <c r="DF129" s="291" t="n">
        <f aca="false">TblMili[[#This Row],[Raw (2)]]*(1+race_wizard_strength+IF(TblMili[[#This Row],[Hour]]&gt;72,tech_magical_weaponry_wiz*TblTech[[#This Row],[3-5]],0))</f>
        <v>0.0357142857142857</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7075</v>
      </c>
      <c r="C130" s="150" t="n">
        <f aca="false">TblPop[[#This Row],[Military%]]</f>
        <v>0.546796506685215</v>
      </c>
      <c r="D130" s="132"/>
      <c r="E130" s="151" t="n">
        <f aca="false">OFFSET(TblMili[[#This Row],[Unit 1]],-1,0) + OFFSET(TblMili[[#This Row],[Train Unit 1]],-9,0) - TblMili[[#This Row],[Release Unit 1]]</f>
        <v>0</v>
      </c>
      <c r="F130" s="151" t="n">
        <f aca="false">OFFSET(TblMili[[#This Row],[Unit 2]],-1,0) + OFFSET(TblMili[[#This Row],[Train Unit 2]],-9,0)-TblMili[[#This Row],[Release Unit 2]]</f>
        <v>1246</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25</v>
      </c>
      <c r="J130" s="151" t="n">
        <f aca="false">OFFSET(TblMili[[#This Row],[Archspies]],-1,0) + OFFSET(TblMili[[#This Row],[Train AS]],-12,0) - TblMili[[#This Row],[Release AS]]</f>
        <v>0</v>
      </c>
      <c r="K130" s="151" t="n">
        <f aca="false">OFFSET(TblMili[[#This Row],[Wizards]],-1,0) + OFFSET(TblMili[[#This Row],[Train Wiz]],-12,0) - TblMili[[#This Row],[Release Wizards]]-TblMili[[#This Row],[Train AM]]</f>
        <v>25</v>
      </c>
      <c r="L130" s="151" t="n">
        <f aca="false">OFFSET(TblMili[[#This Row],[Archmages]],-1,0) + OFFSET(TblMili[[#This Row],[Train AM]],-12,0) - TblMili[[#This Row],[Release AM]]</f>
        <v>0</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0.1375</v>
      </c>
      <c r="V130" s="274" t="e">
        <f aca="false">TblMili[[#This Row],[Non Draft]] * (1 + TblMili[[#This Row],[Mods_Def]])</f>
        <v>#VALUE!</v>
      </c>
      <c r="W130" s="285" t="e">
        <f aca="false">TblMili[[#This Row],[Draft]] * (1 + TblMili[[#This Row],[Mods_Def]])</f>
        <v>#VALUE!</v>
      </c>
      <c r="X130" s="285" t="n">
        <f aca="false">TblConstr[[#This Row],[Land]]</f>
        <v>700</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3851</v>
      </c>
      <c r="AB130" s="146"/>
      <c r="AC130" s="130" t="n">
        <f aca="false">(TblConstr[[#This Row],[Tot Smi]]+TblConstr[[#This Row],[Dest Smi]])/(TblConstr[[#This Row],[Land]]-TblExplore[[#This Row],[Land Bonus]]*20)</f>
        <v>0.18</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2039144</v>
      </c>
      <c r="AQ130" s="69" t="n">
        <f aca="false">INDEX(TblProd[[#Headers],[Lumber]]:TblProd[[#This Row],[Ore]],COUNTA(TblProd[[#Headers],[Lumber]]:TblProd[[#This Row],[Lumber]]),MATCH(Military!$AQ$2,TblProd[[#Headers],[Lumber]:[Ore]],0))</f>
        <v>-357</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3851</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0</v>
      </c>
      <c r="CG130" s="288" t="e">
        <f aca="false">MIN(frost_mage_cap,TblMili[[#This Row],[Hill]]/frost_mage_bonus)</f>
        <v>#VALUE!</v>
      </c>
      <c r="CH130" s="151" t="n">
        <f aca="false">MIN(ice_elem_cap,TblMili[[#This Row],[Raw (2)]]*ice_elem_bonus)</f>
        <v>0.0357142857142857</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0.064285714285715</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0.0357142857142857</v>
      </c>
      <c r="DF130" s="291" t="n">
        <f aca="false">TblMili[[#This Row],[Raw (2)]]*(1+race_wizard_strength+IF(TblMili[[#This Row],[Hour]]&gt;72,tech_magical_weaponry_wiz*TblTech[[#This Row],[3-5]],0))</f>
        <v>0.0357142857142857</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7134</v>
      </c>
      <c r="C131" s="150" t="n">
        <f aca="false">TblPop[[#This Row],[Military%]]</f>
        <v>0.551356364479481</v>
      </c>
      <c r="D131" s="132"/>
      <c r="E131" s="151" t="n">
        <f aca="false">OFFSET(TblMili[[#This Row],[Unit 1]],-1,0) + OFFSET(TblMili[[#This Row],[Train Unit 1]],-9,0) - TblMili[[#This Row],[Release Unit 1]]</f>
        <v>0</v>
      </c>
      <c r="F131" s="151" t="n">
        <f aca="false">OFFSET(TblMili[[#This Row],[Unit 2]],-1,0) + OFFSET(TblMili[[#This Row],[Train Unit 2]],-9,0)-TblMili[[#This Row],[Release Unit 2]]</f>
        <v>1246</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25</v>
      </c>
      <c r="J131" s="151" t="n">
        <f aca="false">OFFSET(TblMili[[#This Row],[Archspies]],-1,0) + OFFSET(TblMili[[#This Row],[Train AS]],-12,0) - TblMili[[#This Row],[Release AS]]</f>
        <v>0</v>
      </c>
      <c r="K131" s="151" t="n">
        <f aca="false">OFFSET(TblMili[[#This Row],[Wizards]],-1,0) + OFFSET(TblMili[[#This Row],[Train Wiz]],-12,0) - TblMili[[#This Row],[Release Wizards]]-TblMili[[#This Row],[Train AM]]</f>
        <v>25</v>
      </c>
      <c r="L131" s="151" t="n">
        <f aca="false">OFFSET(TblMili[[#This Row],[Archmages]],-1,0) + OFFSET(TblMili[[#This Row],[Train AM]],-12,0) - TblMili[[#This Row],[Release AM]]</f>
        <v>0</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0.1375</v>
      </c>
      <c r="V131" s="274" t="e">
        <f aca="false">TblMili[[#This Row],[Non Draft]] * (1 + TblMili[[#This Row],[Mods_Def]])</f>
        <v>#VALUE!</v>
      </c>
      <c r="W131" s="285" t="e">
        <f aca="false">TblMili[[#This Row],[Draft]] * (1 + TblMili[[#This Row],[Mods_Def]])</f>
        <v>#VALUE!</v>
      </c>
      <c r="X131" s="285" t="n">
        <f aca="false">TblConstr[[#This Row],[Land]]</f>
        <v>700</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3910</v>
      </c>
      <c r="AB131" s="146"/>
      <c r="AC131" s="130" t="n">
        <f aca="false">(TblConstr[[#This Row],[Tot Smi]]+TblConstr[[#This Row],[Dest Smi]])/(TblConstr[[#This Row],[Land]]-TblExplore[[#This Row],[Land Bonus]]*20)</f>
        <v>0.18</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2067351</v>
      </c>
      <c r="AQ131" s="69" t="n">
        <f aca="false">INDEX(TblProd[[#Headers],[Lumber]]:TblProd[[#This Row],[Ore]],COUNTA(TblProd[[#Headers],[Lumber]]:TblProd[[#This Row],[Lumber]]),MATCH(Military!$AQ$2,TblProd[[#Headers],[Lumber]:[Ore]],0))</f>
        <v>-357</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3910</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0</v>
      </c>
      <c r="CG131" s="288" t="e">
        <f aca="false">MIN(frost_mage_cap,TblMili[[#This Row],[Hill]]/frost_mage_bonus)</f>
        <v>#VALUE!</v>
      </c>
      <c r="CH131" s="151" t="n">
        <f aca="false">MIN(ice_elem_cap,TblMili[[#This Row],[Raw (2)]]*ice_elem_bonus)</f>
        <v>0.0357142857142857</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0.064285714285715</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0.0357142857142857</v>
      </c>
      <c r="DF131" s="291" t="n">
        <f aca="false">TblMili[[#This Row],[Raw (2)]]*(1+race_wizard_strength+IF(TblMili[[#This Row],[Hour]]&gt;72,tech_magical_weaponry_wiz*TblTech[[#This Row],[3-5]],0))</f>
        <v>0.0357142857142857</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7192</v>
      </c>
      <c r="C132" s="150" t="n">
        <f aca="false">TblPop[[#This Row],[Military%]]</f>
        <v>0.55583893654842</v>
      </c>
      <c r="D132" s="132"/>
      <c r="E132" s="151" t="n">
        <f aca="false">OFFSET(TblMili[[#This Row],[Unit 1]],-1,0) + OFFSET(TblMili[[#This Row],[Train Unit 1]],-9,0) - TblMili[[#This Row],[Release Unit 1]]</f>
        <v>0</v>
      </c>
      <c r="F132" s="151" t="n">
        <f aca="false">OFFSET(TblMili[[#This Row],[Unit 2]],-1,0) + OFFSET(TblMili[[#This Row],[Train Unit 2]],-9,0)-TblMili[[#This Row],[Release Unit 2]]</f>
        <v>1246</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25</v>
      </c>
      <c r="J132" s="151" t="n">
        <f aca="false">OFFSET(TblMili[[#This Row],[Archspies]],-1,0) + OFFSET(TblMili[[#This Row],[Train AS]],-12,0) - TblMili[[#This Row],[Release AS]]</f>
        <v>0</v>
      </c>
      <c r="K132" s="151" t="n">
        <f aca="false">OFFSET(TblMili[[#This Row],[Wizards]],-1,0) + OFFSET(TblMili[[#This Row],[Train Wiz]],-12,0) - TblMili[[#This Row],[Release Wizards]]-TblMili[[#This Row],[Train AM]]</f>
        <v>25</v>
      </c>
      <c r="L132" s="151" t="n">
        <f aca="false">OFFSET(TblMili[[#This Row],[Archmages]],-1,0) + OFFSET(TblMili[[#This Row],[Train AM]],-12,0) - TblMili[[#This Row],[Release AM]]</f>
        <v>0</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0.1375</v>
      </c>
      <c r="V132" s="274" t="e">
        <f aca="false">TblMili[[#This Row],[Non Draft]] * (1 + TblMili[[#This Row],[Mods_Def]])</f>
        <v>#VALUE!</v>
      </c>
      <c r="W132" s="285" t="e">
        <f aca="false">TblMili[[#This Row],[Draft]] * (1 + TblMili[[#This Row],[Mods_Def]])</f>
        <v>#VALUE!</v>
      </c>
      <c r="X132" s="285" t="n">
        <f aca="false">TblConstr[[#This Row],[Land]]</f>
        <v>700</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3968</v>
      </c>
      <c r="AB132" s="146"/>
      <c r="AC132" s="130" t="n">
        <f aca="false">(TblConstr[[#This Row],[Tot Smi]]+TblConstr[[#This Row],[Dest Smi]])/(TblConstr[[#This Row],[Land]]-TblExplore[[#This Row],[Land Bonus]]*20)</f>
        <v>0.18</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2095399</v>
      </c>
      <c r="AQ132" s="69" t="n">
        <f aca="false">INDEX(TblProd[[#Headers],[Lumber]]:TblProd[[#This Row],[Ore]],COUNTA(TblProd[[#Headers],[Lumber]]:TblProd[[#This Row],[Lumber]]),MATCH(Military!$AQ$2,TblProd[[#Headers],[Lumber]:[Ore]],0))</f>
        <v>-357</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3968</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0</v>
      </c>
      <c r="CG132" s="288" t="e">
        <f aca="false">MIN(frost_mage_cap,TblMili[[#This Row],[Hill]]/frost_mage_bonus)</f>
        <v>#VALUE!</v>
      </c>
      <c r="CH132" s="151" t="n">
        <f aca="false">MIN(ice_elem_cap,TblMili[[#This Row],[Raw (2)]]*ice_elem_bonus)</f>
        <v>0.0357142857142857</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0.064285714285715</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0.0357142857142857</v>
      </c>
      <c r="DF132" s="291" t="n">
        <f aca="false">TblMili[[#This Row],[Raw (2)]]*(1+race_wizard_strength+IF(TblMili[[#This Row],[Hour]]&gt;72,tech_magical_weaponry_wiz*TblTech[[#This Row],[3-5]],0))</f>
        <v>0.0357142857142857</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7249</v>
      </c>
      <c r="C133" s="150" t="n">
        <f aca="false">TblPop[[#This Row],[Military%]]</f>
        <v>0.560244222892032</v>
      </c>
      <c r="D133" s="132"/>
      <c r="E133" s="151" t="n">
        <f aca="false">OFFSET(TblMili[[#This Row],[Unit 1]],-1,0) + OFFSET(TblMili[[#This Row],[Train Unit 1]],-9,0) - TblMili[[#This Row],[Release Unit 1]]</f>
        <v>0</v>
      </c>
      <c r="F133" s="151" t="n">
        <f aca="false">OFFSET(TblMili[[#This Row],[Unit 2]],-1,0) + OFFSET(TblMili[[#This Row],[Train Unit 2]],-9,0)-TblMili[[#This Row],[Release Unit 2]]</f>
        <v>1246</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25</v>
      </c>
      <c r="J133" s="151" t="n">
        <f aca="false">OFFSET(TblMili[[#This Row],[Archspies]],-1,0) + OFFSET(TblMili[[#This Row],[Train AS]],-12,0) - TblMili[[#This Row],[Release AS]]</f>
        <v>0</v>
      </c>
      <c r="K133" s="151" t="n">
        <f aca="false">OFFSET(TblMili[[#This Row],[Wizards]],-1,0) + OFFSET(TblMili[[#This Row],[Train Wiz]],-12,0) - TblMili[[#This Row],[Release Wizards]]-TblMili[[#This Row],[Train AM]]</f>
        <v>25</v>
      </c>
      <c r="L133" s="151" t="n">
        <f aca="false">OFFSET(TblMili[[#This Row],[Archmages]],-1,0) + OFFSET(TblMili[[#This Row],[Train AM]],-12,0) - TblMili[[#This Row],[Release AM]]</f>
        <v>0</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0.1375</v>
      </c>
      <c r="V133" s="274" t="e">
        <f aca="false">TblMili[[#This Row],[Non Draft]] * (1 + TblMili[[#This Row],[Mods_Def]])</f>
        <v>#VALUE!</v>
      </c>
      <c r="W133" s="285" t="e">
        <f aca="false">TblMili[[#This Row],[Draft]] * (1 + TblMili[[#This Row],[Mods_Def]])</f>
        <v>#VALUE!</v>
      </c>
      <c r="X133" s="285" t="n">
        <f aca="false">TblConstr[[#This Row],[Land]]</f>
        <v>700</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4025</v>
      </c>
      <c r="AB133" s="146"/>
      <c r="AC133" s="130" t="n">
        <f aca="false">(TblConstr[[#This Row],[Tot Smi]]+TblConstr[[#This Row],[Dest Smi]])/(TblConstr[[#This Row],[Land]]-TblExplore[[#This Row],[Land Bonus]]*20)</f>
        <v>0.18</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2123290</v>
      </c>
      <c r="AQ133" s="69" t="n">
        <f aca="false">INDEX(TblProd[[#Headers],[Lumber]]:TblProd[[#This Row],[Ore]],COUNTA(TblProd[[#Headers],[Lumber]]:TblProd[[#This Row],[Lumber]]),MATCH(Military!$AQ$2,TblProd[[#Headers],[Lumber]:[Ore]],0))</f>
        <v>-357</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4025</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0</v>
      </c>
      <c r="CG133" s="288" t="e">
        <f aca="false">MIN(frost_mage_cap,TblMili[[#This Row],[Hill]]/frost_mage_bonus)</f>
        <v>#VALUE!</v>
      </c>
      <c r="CH133" s="151" t="n">
        <f aca="false">MIN(ice_elem_cap,TblMili[[#This Row],[Raw (2)]]*ice_elem_bonus)</f>
        <v>0.0357142857142857</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0.064285714285715</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0.0357142857142857</v>
      </c>
      <c r="DF133" s="291" t="n">
        <f aca="false">TblMili[[#This Row],[Raw (2)]]*(1+race_wizard_strength+IF(TblMili[[#This Row],[Hour]]&gt;72,tech_magical_weaponry_wiz*TblTech[[#This Row],[3-5]],0))</f>
        <v>0.0357142857142857</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7306</v>
      </c>
      <c r="C134" s="150" t="n">
        <f aca="false">TblPop[[#This Row],[Military%]]</f>
        <v>0.564649509235644</v>
      </c>
      <c r="D134" s="132"/>
      <c r="E134" s="151" t="n">
        <f aca="false">OFFSET(TblMili[[#This Row],[Unit 1]],-1,0) + OFFSET(TblMili[[#This Row],[Train Unit 1]],-9,0) - TblMili[[#This Row],[Release Unit 1]]</f>
        <v>0</v>
      </c>
      <c r="F134" s="151" t="n">
        <f aca="false">OFFSET(TblMili[[#This Row],[Unit 2]],-1,0) + OFFSET(TblMili[[#This Row],[Train Unit 2]],-9,0)-TblMili[[#This Row],[Release Unit 2]]</f>
        <v>1246</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25</v>
      </c>
      <c r="J134" s="151" t="n">
        <f aca="false">OFFSET(TblMili[[#This Row],[Archspies]],-1,0) + OFFSET(TblMili[[#This Row],[Train AS]],-12,0) - TblMili[[#This Row],[Release AS]]</f>
        <v>0</v>
      </c>
      <c r="K134" s="151" t="n">
        <f aca="false">OFFSET(TblMili[[#This Row],[Wizards]],-1,0) + OFFSET(TblMili[[#This Row],[Train Wiz]],-12,0) - TblMili[[#This Row],[Release Wizards]]-TblMili[[#This Row],[Train AM]]</f>
        <v>25</v>
      </c>
      <c r="L134" s="151" t="n">
        <f aca="false">OFFSET(TblMili[[#This Row],[Archmages]],-1,0) + OFFSET(TblMili[[#This Row],[Train AM]],-12,0) - TblMili[[#This Row],[Release AM]]</f>
        <v>0</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0.1375</v>
      </c>
      <c r="V134" s="274" t="e">
        <f aca="false">TblMili[[#This Row],[Non Draft]] * (1 + TblMili[[#This Row],[Mods_Def]])</f>
        <v>#VALUE!</v>
      </c>
      <c r="W134" s="285" t="e">
        <f aca="false">TblMili[[#This Row],[Draft]] * (1 + TblMili[[#This Row],[Mods_Def]])</f>
        <v>#VALUE!</v>
      </c>
      <c r="X134" s="285" t="n">
        <f aca="false">TblConstr[[#This Row],[Land]]</f>
        <v>700</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4082</v>
      </c>
      <c r="AB134" s="146"/>
      <c r="AC134" s="130" t="n">
        <f aca="false">(TblConstr[[#This Row],[Tot Smi]]+TblConstr[[#This Row],[Dest Smi]])/(TblConstr[[#This Row],[Land]]-TblExplore[[#This Row],[Land Bonus]]*20)</f>
        <v>0.18</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2151028</v>
      </c>
      <c r="AQ134" s="69" t="n">
        <f aca="false">INDEX(TblProd[[#Headers],[Lumber]]:TblProd[[#This Row],[Ore]],COUNTA(TblProd[[#Headers],[Lumber]]:TblProd[[#This Row],[Lumber]]),MATCH(Military!$AQ$2,TblProd[[#Headers],[Lumber]:[Ore]],0))</f>
        <v>-357</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4082</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0</v>
      </c>
      <c r="CG134" s="288" t="e">
        <f aca="false">MIN(frost_mage_cap,TblMili[[#This Row],[Hill]]/frost_mage_bonus)</f>
        <v>#VALUE!</v>
      </c>
      <c r="CH134" s="151" t="n">
        <f aca="false">MIN(ice_elem_cap,TblMili[[#This Row],[Raw (2)]]*ice_elem_bonus)</f>
        <v>0.0357142857142857</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0.064285714285715</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0.0357142857142857</v>
      </c>
      <c r="DF134" s="291" t="n">
        <f aca="false">TblMili[[#This Row],[Raw (2)]]*(1+race_wizard_strength+IF(TblMili[[#This Row],[Hour]]&gt;72,tech_magical_weaponry_wiz*TblTech[[#This Row],[3-5]],0))</f>
        <v>0.0357142857142857</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7362</v>
      </c>
      <c r="C135" s="150" t="n">
        <f aca="false">TblPop[[#This Row],[Military%]]</f>
        <v>0.56897750985393</v>
      </c>
      <c r="D135" s="132"/>
      <c r="E135" s="151" t="n">
        <f aca="false">OFFSET(TblMili[[#This Row],[Unit 1]],-1,0) + OFFSET(TblMili[[#This Row],[Train Unit 1]],-9,0) - TblMili[[#This Row],[Release Unit 1]]</f>
        <v>0</v>
      </c>
      <c r="F135" s="151" t="n">
        <f aca="false">OFFSET(TblMili[[#This Row],[Unit 2]],-1,0) + OFFSET(TblMili[[#This Row],[Train Unit 2]],-9,0)-TblMili[[#This Row],[Release Unit 2]]</f>
        <v>1246</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25</v>
      </c>
      <c r="J135" s="151" t="n">
        <f aca="false">OFFSET(TblMili[[#This Row],[Archspies]],-1,0) + OFFSET(TblMili[[#This Row],[Train AS]],-12,0) - TblMili[[#This Row],[Release AS]]</f>
        <v>0</v>
      </c>
      <c r="K135" s="151" t="n">
        <f aca="false">OFFSET(TblMili[[#This Row],[Wizards]],-1,0) + OFFSET(TblMili[[#This Row],[Train Wiz]],-12,0) - TblMili[[#This Row],[Release Wizards]]-TblMili[[#This Row],[Train AM]]</f>
        <v>25</v>
      </c>
      <c r="L135" s="151" t="n">
        <f aca="false">OFFSET(TblMili[[#This Row],[Archmages]],-1,0) + OFFSET(TblMili[[#This Row],[Train AM]],-12,0) - TblMili[[#This Row],[Release AM]]</f>
        <v>0</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0.1375</v>
      </c>
      <c r="V135" s="274" t="e">
        <f aca="false">TblMili[[#This Row],[Non Draft]] * (1 + TblMili[[#This Row],[Mods_Def]])</f>
        <v>#VALUE!</v>
      </c>
      <c r="W135" s="285" t="e">
        <f aca="false">TblMili[[#This Row],[Draft]] * (1 + TblMili[[#This Row],[Mods_Def]])</f>
        <v>#VALUE!</v>
      </c>
      <c r="X135" s="285" t="n">
        <f aca="false">TblConstr[[#This Row],[Land]]</f>
        <v>700</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4138</v>
      </c>
      <c r="AB135" s="146"/>
      <c r="AC135" s="130" t="n">
        <f aca="false">(TblConstr[[#This Row],[Tot Smi]]+TblConstr[[#This Row],[Dest Smi]])/(TblConstr[[#This Row],[Land]]-TblExplore[[#This Row],[Land Bonus]]*20)</f>
        <v>0.18</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2178612</v>
      </c>
      <c r="AQ135" s="69" t="n">
        <f aca="false">INDEX(TblProd[[#Headers],[Lumber]]:TblProd[[#This Row],[Ore]],COUNTA(TblProd[[#Headers],[Lumber]]:TblProd[[#This Row],[Lumber]]),MATCH(Military!$AQ$2,TblProd[[#Headers],[Lumber]:[Ore]],0))</f>
        <v>-357</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4138</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0</v>
      </c>
      <c r="CG135" s="288" t="e">
        <f aca="false">MIN(frost_mage_cap,TblMili[[#This Row],[Hill]]/frost_mage_bonus)</f>
        <v>#VALUE!</v>
      </c>
      <c r="CH135" s="151" t="n">
        <f aca="false">MIN(ice_elem_cap,TblMili[[#This Row],[Raw (2)]]*ice_elem_bonus)</f>
        <v>0.0357142857142857</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0.064285714285715</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0.0357142857142857</v>
      </c>
      <c r="DF135" s="291" t="n">
        <f aca="false">TblMili[[#This Row],[Raw (2)]]*(1+race_wizard_strength+IF(TblMili[[#This Row],[Hour]]&gt;72,tech_magical_weaponry_wiz*TblTech[[#This Row],[3-5]],0))</f>
        <v>0.0357142857142857</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7418</v>
      </c>
      <c r="C136" s="150" t="n">
        <f aca="false">TblPop[[#This Row],[Military%]]</f>
        <v>0.573305510472216</v>
      </c>
      <c r="D136" s="132"/>
      <c r="E136" s="151" t="n">
        <f aca="false">OFFSET(TblMili[[#This Row],[Unit 1]],-1,0) + OFFSET(TblMili[[#This Row],[Train Unit 1]],-9,0) - TblMili[[#This Row],[Release Unit 1]]</f>
        <v>0</v>
      </c>
      <c r="F136" s="151" t="n">
        <f aca="false">OFFSET(TblMili[[#This Row],[Unit 2]],-1,0) + OFFSET(TblMili[[#This Row],[Train Unit 2]],-9,0)-TblMili[[#This Row],[Release Unit 2]]</f>
        <v>1246</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25</v>
      </c>
      <c r="J136" s="151" t="n">
        <f aca="false">OFFSET(TblMili[[#This Row],[Archspies]],-1,0) + OFFSET(TblMili[[#This Row],[Train AS]],-12,0) - TblMili[[#This Row],[Release AS]]</f>
        <v>0</v>
      </c>
      <c r="K136" s="151" t="n">
        <f aca="false">OFFSET(TblMili[[#This Row],[Wizards]],-1,0) + OFFSET(TblMili[[#This Row],[Train Wiz]],-12,0) - TblMili[[#This Row],[Release Wizards]]-TblMili[[#This Row],[Train AM]]</f>
        <v>25</v>
      </c>
      <c r="L136" s="151" t="n">
        <f aca="false">OFFSET(TblMili[[#This Row],[Archmages]],-1,0) + OFFSET(TblMili[[#This Row],[Train AM]],-12,0) - TblMili[[#This Row],[Release AM]]</f>
        <v>0</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0.1375</v>
      </c>
      <c r="V136" s="274" t="e">
        <f aca="false">TblMili[[#This Row],[Non Draft]] * (1 + TblMili[[#This Row],[Mods_Def]])</f>
        <v>#VALUE!</v>
      </c>
      <c r="W136" s="285" t="e">
        <f aca="false">TblMili[[#This Row],[Draft]] * (1 + TblMili[[#This Row],[Mods_Def]])</f>
        <v>#VALUE!</v>
      </c>
      <c r="X136" s="285" t="n">
        <f aca="false">TblConstr[[#This Row],[Land]]</f>
        <v>700</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4194</v>
      </c>
      <c r="AB136" s="146"/>
      <c r="AC136" s="130" t="n">
        <f aca="false">(TblConstr[[#This Row],[Tot Smi]]+TblConstr[[#This Row],[Dest Smi]])/(TblConstr[[#This Row],[Land]]-TblExplore[[#This Row],[Land Bonus]]*20)</f>
        <v>0.18</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2206044</v>
      </c>
      <c r="AQ136" s="69" t="n">
        <f aca="false">INDEX(TblProd[[#Headers],[Lumber]]:TblProd[[#This Row],[Ore]],COUNTA(TblProd[[#Headers],[Lumber]]:TblProd[[#This Row],[Lumber]]),MATCH(Military!$AQ$2,TblProd[[#Headers],[Lumber]:[Ore]],0))</f>
        <v>-357</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4194</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0</v>
      </c>
      <c r="CG136" s="288" t="e">
        <f aca="false">MIN(frost_mage_cap,TblMili[[#This Row],[Hill]]/frost_mage_bonus)</f>
        <v>#VALUE!</v>
      </c>
      <c r="CH136" s="151" t="n">
        <f aca="false">MIN(ice_elem_cap,TblMili[[#This Row],[Raw (2)]]*ice_elem_bonus)</f>
        <v>0.0357142857142857</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0.064285714285715</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0.0357142857142857</v>
      </c>
      <c r="DF136" s="291" t="n">
        <f aca="false">TblMili[[#This Row],[Raw (2)]]*(1+race_wizard_strength+IF(TblMili[[#This Row],[Hour]]&gt;72,tech_magical_weaponry_wiz*TblTech[[#This Row],[3-5]],0))</f>
        <v>0.0357142857142857</v>
      </c>
    </row>
    <row r="137" customFormat="false" ht="12.75" hidden="false" customHeight="false" outlineLevel="0" collapsed="false">
      <c r="AJ137" s="1" t="n">
        <v>100</v>
      </c>
    </row>
    <row r="139" customFormat="false" ht="12.75" hidden="false" customHeight="false" outlineLevel="0" collapsed="false">
      <c r="AF139" s="1" t="n">
        <f aca="false">SUM(E136:L136)</f>
        <v>3224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8">
      <formula>ROW()-3=$B$1270</formula>
    </cfRule>
    <cfRule type="expression" priority="3" aboveAverage="0" equalAverage="0" bottom="0" percent="0" rank="0" text="" dxfId="89">
      <formula>OR(ROW()-3=$B$1270,A4&lt;0)</formula>
    </cfRule>
    <cfRule type="expression" priority="4" aboveAverage="0" equalAverage="0" bottom="0" percent="0" rank="0" text="" dxfId="90">
      <formula>$A4=73</formula>
    </cfRule>
  </conditionalFormatting>
  <conditionalFormatting sqref="A6994:A65053 A1271:DF60143 A137:DF1268">
    <cfRule type="expression" priority="5" aboveAverage="0" equalAverage="0" bottom="0" percent="0" rank="0" text="" dxfId="91">
      <formula>ROW(-2=#ref!)</formula>
    </cfRule>
  </conditionalFormatting>
  <conditionalFormatting sqref="A1269:DF1270">
    <cfRule type="expression" priority="6" aboveAverage="0" equalAverage="0" bottom="0" percent="0" rank="0" text="" dxfId="92">
      <formula>$B$1270&gt;144</formula>
    </cfRule>
  </conditionalFormatting>
  <conditionalFormatting sqref="A3:DF136">
    <cfRule type="expression" priority="7" aboveAverage="0" equalAverage="0" bottom="0" percent="0" rank="0" text="" dxfId="93">
      <formula>ROUND(($A3-1)/12,0)=INT($A3-1)/12</formula>
    </cfRule>
  </conditionalFormatting>
  <conditionalFormatting sqref="A1:XFD3">
    <cfRule type="expression" priority="8" aboveAverage="0" equalAverage="0" bottom="0" percent="0" rank="0" text="" dxfId="94">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Q10" activeCellId="0" sqref="Q10"/>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-1250</v>
      </c>
      <c r="D5" s="149" t="n">
        <f aca="false">MIN(1,OFFSET(TblMagic[[#This Row],[Wiz str]],-1,0)+0.04+ROUNDDOWN(10*OFFSET(TblMili[[#This Row],[WG''s]],-1,0),0)+ tech_2_7*OFFSET(TblTech[[#This Row],[2-7]],-1,0) + tech_5_6*OFFSET(TblTech[[#This Row],[5-6]],-1,0) )-TblMagic[[#This Row],[Wiz str cost]]</f>
        <v>0.95</v>
      </c>
      <c r="E5" s="153" t="n">
        <f aca="false">OFFSET(TblMagic[[#This Row],[Time]],-1,0)+1/24</f>
        <v>45429.7916666667</v>
      </c>
      <c r="F5" s="149" t="n">
        <f aca="false">TblImps[[#This Row],[Population]]</f>
        <v>0.423076923076923</v>
      </c>
      <c r="G5" s="248"/>
      <c r="H5" s="248"/>
      <c r="I5" s="248"/>
      <c r="J5" s="248"/>
      <c r="K5" s="312"/>
      <c r="L5" s="248" t="n">
        <v>1</v>
      </c>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5" s="149" t="n">
        <f aca="false">SUMIF(TblMagic[[#This Row],[Gaia''s Watch]:[Useless spell]],1)*0.05</f>
        <v>0.05</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12</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-2475</v>
      </c>
      <c r="D6" s="149" t="n">
        <f aca="false">MIN(1,OFFSET(TblMagic[[#This Row],[Wiz str]],-1,0)+0.04+ROUNDDOWN(10*OFFSET(TblMili[[#This Row],[WG''s]],-1,0),0)+ tech_2_7*OFFSET(TblTech[[#This Row],[2-7]],-1,0) + tech_5_6*OFFSET(TblTech[[#This Row],[5-6]],-1,0) )-TblMagic[[#This Row],[Wiz str cost]]</f>
        <v>0.94</v>
      </c>
      <c r="E6" s="153" t="n">
        <f aca="false">OFFSET(TblMagic[[#This Row],[Time]],-1,0)+1/24</f>
        <v>45429.8333333333</v>
      </c>
      <c r="F6" s="149" t="n">
        <f aca="false">TblImps[[#This Row],[Population]]</f>
        <v>0.433144037170883</v>
      </c>
      <c r="G6" s="248"/>
      <c r="H6" s="248"/>
      <c r="I6" s="248"/>
      <c r="J6" s="248"/>
      <c r="K6" s="312"/>
      <c r="L6" s="248"/>
      <c r="M6" s="248" t="n">
        <v>1</v>
      </c>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6" s="149" t="n">
        <f aca="false">SUMIF(TblMagic[[#This Row],[Gaia''s Watch]:[Useless spell]],1)*0.05</f>
        <v>0.05</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11</v>
      </c>
      <c r="AG6" s="26" t="n">
        <f aca="false">IF(TblMagic[[#This Row],[Mechanical Genius]],12,IF(OFFSET(TblMagic[[#This Row],[Active Mechanical Genius]],-1,0)&gt;0,OFFSET(TblMagic[[#This Row],[Active Mechanical Genius]],-1,0)-1,0))</f>
        <v>12</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-3675</v>
      </c>
      <c r="D7" s="149" t="n">
        <f aca="false">MIN(1,OFFSET(TblMagic[[#This Row],[Wiz str]],-1,0)+0.04+ROUNDDOWN(10*OFFSET(TblMili[[#This Row],[WG''s]],-1,0),0)+ tech_2_7*OFFSET(TblTech[[#This Row],[2-7]],-1,0) + tech_5_6*OFFSET(TblTech[[#This Row],[5-6]],-1,0) )-TblMagic[[#This Row],[Wiz str cost]]</f>
        <v>0.93</v>
      </c>
      <c r="E7" s="153" t="n">
        <f aca="false">OFFSET(TblMagic[[#This Row],[Time]],-1,0)+1/24</f>
        <v>45429.875</v>
      </c>
      <c r="F7" s="149" t="n">
        <f aca="false">TblImps[[#This Row],[Population]]</f>
        <v>0.443469282395457</v>
      </c>
      <c r="G7" s="248"/>
      <c r="H7" s="248"/>
      <c r="I7" s="248"/>
      <c r="J7" s="248"/>
      <c r="K7" s="312"/>
      <c r="L7" s="248"/>
      <c r="M7" s="248"/>
      <c r="N7" s="248" t="n">
        <v>1</v>
      </c>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7" s="149" t="n">
        <f aca="false">SUMIF(TblMagic[[#This Row],[Gaia''s Watch]:[Useless spell]],1)*0.05</f>
        <v>0.05</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10</v>
      </c>
      <c r="AG7" s="26" t="n">
        <f aca="false">IF(TblMagic[[#This Row],[Mechanical Genius]],12,IF(OFFSET(TblMagic[[#This Row],[Active Mechanical Genius]],-1,0)&gt;0,OFFSET(TblMagic[[#This Row],[Active Mechanical Genius]],-1,0)-1,0))</f>
        <v>11</v>
      </c>
      <c r="AH7" s="26" t="n">
        <f aca="false">IF(TblMagic[[#This Row],[Frenzy]],12,IF(OFFSET(TblMagic[[#This Row],[Active Frenzy]],-1,0)&gt;0,OFFSET(TblMagic[[#This Row],[Active Frenzy]],-1,0)-1,0))</f>
        <v>12</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-4851</v>
      </c>
      <c r="D8" s="149" t="n">
        <f aca="false">MIN(1,OFFSET(TblMagic[[#This Row],[Wiz str]],-1,0)+0.04+ROUNDDOWN(10*OFFSET(TblMili[[#This Row],[WG''s]],-1,0),0)+ tech_2_7*OFFSET(TblTech[[#This Row],[2-7]],-1,0) + tech_5_6*OFFSET(TblTech[[#This Row],[5-6]],-1,0) )-TblMagic[[#This Row],[Wiz str cost]]</f>
        <v>0.92</v>
      </c>
      <c r="E8" s="153" t="n">
        <f aca="false">OFFSET(TblMagic[[#This Row],[Time]],-1,0)+1/24</f>
        <v>45429.9166666667</v>
      </c>
      <c r="F8" s="149" t="n">
        <f aca="false">TblImps[[#This Row],[Population]]</f>
        <v>0.454052658750645</v>
      </c>
      <c r="G8" s="248"/>
      <c r="H8" s="248"/>
      <c r="I8" s="248"/>
      <c r="J8" s="248"/>
      <c r="K8" s="312"/>
      <c r="L8" s="248"/>
      <c r="M8" s="248"/>
      <c r="N8" s="248"/>
      <c r="O8" s="248" t="n">
        <v>1</v>
      </c>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8" s="149" t="n">
        <f aca="false">SUMIF(TblMagic[[#This Row],[Gaia''s Watch]:[Useless spell]],1)*0.05</f>
        <v>0.05</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9</v>
      </c>
      <c r="AG8" s="26" t="n">
        <f aca="false">IF(TblMagic[[#This Row],[Mechanical Genius]],12,IF(OFFSET(TblMagic[[#This Row],[Active Mechanical Genius]],-1,0)&gt;0,OFFSET(TblMagic[[#This Row],[Active Mechanical Genius]],-1,0)-1,0))</f>
        <v>10</v>
      </c>
      <c r="AH8" s="26" t="n">
        <f aca="false">IF(TblMagic[[#This Row],[Frenzy]],12,IF(OFFSET(TblMagic[[#This Row],[Active Frenzy]],-1,0)&gt;0,OFFSET(TblMagic[[#This Row],[Active Frenzy]],-1,0)-1,0))</f>
        <v>11</v>
      </c>
      <c r="AI8" s="26" t="n">
        <f aca="false">IF(TblMagic[[#This Row],[Killing Rage / Bloodrage / Crusade]],12,IF(OFFSET(TblMagic[[#This Row],[Active Warsong / Killing Rage / Bloodrage]],-1,0)&gt;0,OFFSET(TblMagic[[#This Row],[Active Warsong / Killing Rage / Bloodrage]],-1,0)-1,0))</f>
        <v>12</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-6004</v>
      </c>
      <c r="D9" s="149" t="n">
        <f aca="false">MIN(1,OFFSET(TblMagic[[#This Row],[Wiz str]],-1,0)+0.04+ROUNDDOWN(10*OFFSET(TblMili[[#This Row],[WG''s]],-1,0),0)+ tech_2_7*OFFSET(TblTech[[#This Row],[2-7]],-1,0) + tech_5_6*OFFSET(TblTech[[#This Row],[5-6]],-1,0) )-TblMagic[[#This Row],[Wiz str cost]]</f>
        <v>0.91</v>
      </c>
      <c r="E9" s="153" t="n">
        <f aca="false">OFFSET(TblMagic[[#This Row],[Time]],-1,0)+1/24</f>
        <v>45429.9583333333</v>
      </c>
      <c r="F9" s="149" t="n">
        <f aca="false">TblImps[[#This Row],[Population]]</f>
        <v>0.44011357769747</v>
      </c>
      <c r="G9" s="248"/>
      <c r="H9" s="248"/>
      <c r="I9" s="248"/>
      <c r="J9" s="248"/>
      <c r="K9" s="312"/>
      <c r="L9" s="248"/>
      <c r="M9" s="248"/>
      <c r="N9" s="248"/>
      <c r="O9" s="248"/>
      <c r="P9" s="248" t="n">
        <v>1</v>
      </c>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9" s="149" t="n">
        <f aca="false">SUMIF(TblMagic[[#This Row],[Gaia''s Watch]:[Useless spell]],1)*0.05</f>
        <v>0.05</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8</v>
      </c>
      <c r="AG9" s="26" t="n">
        <f aca="false">IF(TblMagic[[#This Row],[Mechanical Genius]],12,IF(OFFSET(TblMagic[[#This Row],[Active Mechanical Genius]],-1,0)&gt;0,OFFSET(TblMagic[[#This Row],[Active Mechanical Genius]],-1,0)-1,0))</f>
        <v>9</v>
      </c>
      <c r="AH9" s="26" t="n">
        <f aca="false">IF(TblMagic[[#This Row],[Frenzy]],12,IF(OFFSET(TblMagic[[#This Row],[Active Frenzy]],-1,0)&gt;0,OFFSET(TblMagic[[#This Row],[Active Frenzy]],-1,0)-1,0))</f>
        <v>10</v>
      </c>
      <c r="AI9" s="26" t="n">
        <f aca="false">IF(TblMagic[[#This Row],[Killing Rage / Bloodrage / Crusade]],12,IF(OFFSET(TblMagic[[#This Row],[Active Warsong / Killing Rage / Bloodrage]],-1,0)&gt;0,OFFSET(TblMagic[[#This Row],[Active Warsong / Killing Rage / Bloodrage]],-1,0)-1,0))</f>
        <v>11</v>
      </c>
      <c r="AJ9" s="26" t="n">
        <f aca="false">IF(TblMagic[[#This Row],[Gaia''s Blessing]],12,IF(OFFSET(TblMagic[[#This Row],[Active Gaia''s Blessing]],-1,0)&gt;0,OFFSET(TblMagic[[#This Row],[Active Gaia''s Blessing]],-1,0)-1,0))</f>
        <v>12</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-7134</v>
      </c>
      <c r="D10" s="149" t="n">
        <f aca="false">MIN(1,OFFSET(TblMagic[[#This Row],[Wiz str]],-1,0)+0.04+ROUNDDOWN(10*OFFSET(TblMili[[#This Row],[WG''s]],-1,0),0)+ tech_2_7*OFFSET(TblTech[[#This Row],[2-7]],-1,0) + tech_5_6*OFFSET(TblTech[[#This Row],[5-6]],-1,0) )-TblMagic[[#This Row],[Wiz str cost]]</f>
        <v>0.9</v>
      </c>
      <c r="E10" s="153" t="n">
        <f aca="false">OFFSET(TblMagic[[#This Row],[Time]],-1,0)+1/24</f>
        <v>45430</v>
      </c>
      <c r="F10" s="149" t="n">
        <f aca="false">TblImps[[#This Row],[Population]]</f>
        <v>0.45018069179143</v>
      </c>
      <c r="G10" s="248"/>
      <c r="H10" s="248"/>
      <c r="I10" s="248"/>
      <c r="J10" s="248"/>
      <c r="K10" s="312"/>
      <c r="L10" s="248"/>
      <c r="M10" s="248"/>
      <c r="N10" s="248"/>
      <c r="O10" s="248"/>
      <c r="P10" s="248"/>
      <c r="Q10" s="248" t="n">
        <v>1</v>
      </c>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0" s="149" t="n">
        <f aca="false">SUMIF(TblMagic[[#This Row],[Gaia''s Watch]:[Useless spell]],1)*0.05</f>
        <v>0.05</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7</v>
      </c>
      <c r="AG10" s="26" t="n">
        <f aca="false">IF(TblMagic[[#This Row],[Mechanical Genius]],12,IF(OFFSET(TblMagic[[#This Row],[Active Mechanical Genius]],-1,0)&gt;0,OFFSET(TblMagic[[#This Row],[Active Mechanical Genius]],-1,0)-1,0))</f>
        <v>8</v>
      </c>
      <c r="AH10" s="26" t="n">
        <f aca="false">IF(TblMagic[[#This Row],[Frenzy]],12,IF(OFFSET(TblMagic[[#This Row],[Active Frenzy]],-1,0)&gt;0,OFFSET(TblMagic[[#This Row],[Active Frenzy]],-1,0)-1,0))</f>
        <v>9</v>
      </c>
      <c r="AI10" s="26" t="n">
        <f aca="false">IF(TblMagic[[#This Row],[Killing Rage / Bloodrage / Crusade]],12,IF(OFFSET(TblMagic[[#This Row],[Active Warsong / Killing Rage / Bloodrage]],-1,0)&gt;0,OFFSET(TblMagic[[#This Row],[Active Warsong / Killing Rage / Bloodrage]],-1,0)-1,0))</f>
        <v>10</v>
      </c>
      <c r="AJ10" s="26" t="n">
        <f aca="false">IF(TblMagic[[#This Row],[Gaia''s Blessing]],12,IF(OFFSET(TblMagic[[#This Row],[Active Gaia''s Blessing]],-1,0)&gt;0,OFFSET(TblMagic[[#This Row],[Active Gaia''s Blessing]],-1,0)-1,0))</f>
        <v>11</v>
      </c>
      <c r="AK10" s="26" t="n">
        <f aca="false">IF(TblMagic[[#This Row],[Howling]],12,IF(OFFSET(TblMagic[[#This Row],[Active Howling]],-1,0)&gt;0,OFFSET(TblMagic[[#This Row],[Active Howling]],-1,0)-1,0))</f>
        <v>12</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-8241</v>
      </c>
      <c r="D11" s="149" t="n">
        <f aca="false">MIN(1,OFFSET(TblMagic[[#This Row],[Wiz str]],-1,0)+0.04+ROUNDDOWN(10*OFFSET(TblMili[[#This Row],[WG''s]],-1,0),0)+ tech_2_7*OFFSET(TblTech[[#This Row],[2-7]],-1,0) + tech_5_6*OFFSET(TblTech[[#This Row],[5-6]],-1,0) )-TblMagic[[#This Row],[Wiz str cost]]</f>
        <v>0.89</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t="n">
        <v>1</v>
      </c>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1" s="149" t="n">
        <f aca="false">SUMIF(TblMagic[[#This Row],[Gaia''s Watch]:[Useless spell]],1)*0.05</f>
        <v>0.05</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6</v>
      </c>
      <c r="AG11" s="26" t="n">
        <f aca="false">IF(TblMagic[[#This Row],[Mechanical Genius]],12,IF(OFFSET(TblMagic[[#This Row],[Active Mechanical Genius]],-1,0)&gt;0,OFFSET(TblMagic[[#This Row],[Active Mechanical Genius]],-1,0)-1,0))</f>
        <v>7</v>
      </c>
      <c r="AH11" s="26" t="n">
        <f aca="false">IF(TblMagic[[#This Row],[Frenzy]],12,IF(OFFSET(TblMagic[[#This Row],[Active Frenzy]],-1,0)&gt;0,OFFSET(TblMagic[[#This Row],[Active Frenzy]],-1,0)-1,0))</f>
        <v>8</v>
      </c>
      <c r="AI11" s="26" t="n">
        <f aca="false">IF(TblMagic[[#This Row],[Killing Rage / Bloodrage / Crusade]],12,IF(OFFSET(TblMagic[[#This Row],[Active Warsong / Killing Rage / Bloodrage]],-1,0)&gt;0,OFFSET(TblMagic[[#This Row],[Active Warsong / Killing Rage / Bloodrage]],-1,0)-1,0))</f>
        <v>9</v>
      </c>
      <c r="AJ11" s="26" t="n">
        <f aca="false">IF(TblMagic[[#This Row],[Gaia''s Blessing]],12,IF(OFFSET(TblMagic[[#This Row],[Active Gaia''s Blessing]],-1,0)&gt;0,OFFSET(TblMagic[[#This Row],[Active Gaia''s Blessing]],-1,0)-1,0))</f>
        <v>10</v>
      </c>
      <c r="AK11" s="26" t="n">
        <f aca="false">IF(TblMagic[[#This Row],[Howling]],12,IF(OFFSET(TblMagic[[#This Row],[Active Howling]],-1,0)&gt;0,OFFSET(TblMagic[[#This Row],[Active Howling]],-1,0)-1,0))</f>
        <v>11</v>
      </c>
      <c r="AL11" s="26" t="n">
        <f aca="false">IF(TblMagic[[#This Row],[Alchemist Frost]],12,IF(OFFSET(TblMagic[[#This Row],[Active Alch Frost]],-1,0)&gt;0,OFFSET(TblMagic[[#This Row],[Active Alch Frost]],-1,0)-1,0))</f>
        <v>12</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-9326</v>
      </c>
      <c r="D12" s="149" t="n">
        <f aca="false">MIN(1,OFFSET(TblMagic[[#This Row],[Wiz str]],-1,0)+0.04+ROUNDDOWN(10*OFFSET(TblMili[[#This Row],[WG''s]],-1,0),0)+ tech_2_7*OFFSET(TblTech[[#This Row],[2-7]],-1,0) + tech_5_6*OFFSET(TblTech[[#This Row],[5-6]],-1,0) )-TblMagic[[#This Row],[Wiz str cost]]</f>
        <v>0.88</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t="n">
        <v>1</v>
      </c>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2" s="149" t="n">
        <f aca="false">SUMIF(TblMagic[[#This Row],[Gaia''s Watch]:[Useless spell]],1)*0.05</f>
        <v>0.05</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5</v>
      </c>
      <c r="AG12" s="26" t="n">
        <f aca="false">IF(TblMagic[[#This Row],[Mechanical Genius]],12,IF(OFFSET(TblMagic[[#This Row],[Active Mechanical Genius]],-1,0)&gt;0,OFFSET(TblMagic[[#This Row],[Active Mechanical Genius]],-1,0)-1,0))</f>
        <v>6</v>
      </c>
      <c r="AH12" s="26" t="n">
        <f aca="false">IF(TblMagic[[#This Row],[Frenzy]],12,IF(OFFSET(TblMagic[[#This Row],[Active Frenzy]],-1,0)&gt;0,OFFSET(TblMagic[[#This Row],[Active Frenzy]],-1,0)-1,0))</f>
        <v>7</v>
      </c>
      <c r="AI12" s="26" t="n">
        <f aca="false">IF(TblMagic[[#This Row],[Killing Rage / Bloodrage / Crusade]],12,IF(OFFSET(TblMagic[[#This Row],[Active Warsong / Killing Rage / Bloodrage]],-1,0)&gt;0,OFFSET(TblMagic[[#This Row],[Active Warsong / Killing Rage / Bloodrage]],-1,0)-1,0))</f>
        <v>8</v>
      </c>
      <c r="AJ12" s="26" t="n">
        <f aca="false">IF(TblMagic[[#This Row],[Gaia''s Blessing]],12,IF(OFFSET(TblMagic[[#This Row],[Active Gaia''s Blessing]],-1,0)&gt;0,OFFSET(TblMagic[[#This Row],[Active Gaia''s Blessing]],-1,0)-1,0))</f>
        <v>9</v>
      </c>
      <c r="AK12" s="26" t="n">
        <f aca="false">IF(TblMagic[[#This Row],[Howling]],12,IF(OFFSET(TblMagic[[#This Row],[Active Howling]],-1,0)&gt;0,OFFSET(TblMagic[[#This Row],[Active Howling]],-1,0)-1,0))</f>
        <v>10</v>
      </c>
      <c r="AL12" s="26" t="n">
        <f aca="false">IF(TblMagic[[#This Row],[Alchemist Frost]],12,IF(OFFSET(TblMagic[[#This Row],[Active Alch Frost]],-1,0)&gt;0,OFFSET(TblMagic[[#This Row],[Active Alch Frost]],-1,0)-1,0))</f>
        <v>11</v>
      </c>
      <c r="AM12" s="26" t="n">
        <f aca="false">IF(TblMagic[[#This Row],[Alchemists Flame]],12,IF(OFFSET(TblMagic[[#This Row],[Active Alchemists Flame]],-1,0)&gt;0,OFFSET(TblMagic[[#This Row],[Active Alchemists Flame]],-1,0)-1,0))</f>
        <v>12</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-10389</v>
      </c>
      <c r="D13" s="149" t="n">
        <f aca="false">MIN(1,OFFSET(TblMagic[[#This Row],[Wiz str]],-1,0)+0.04+ROUNDDOWN(10*OFFSET(TblMili[[#This Row],[WG''s]],-1,0),0)+ tech_2_7*OFFSET(TblTech[[#This Row],[2-7]],-1,0) + tech_5_6*OFFSET(TblTech[[#This Row],[5-6]],-1,0) )-TblMagic[[#This Row],[Wiz str cost]]</f>
        <v>0.87</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t="n">
        <v>1</v>
      </c>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3" s="149" t="n">
        <f aca="false">SUMIF(TblMagic[[#This Row],[Gaia''s Watch]:[Useless spell]],1)*0.05</f>
        <v>0.05</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4</v>
      </c>
      <c r="AG13" s="26" t="n">
        <f aca="false">IF(TblMagic[[#This Row],[Mechanical Genius]],12,IF(OFFSET(TblMagic[[#This Row],[Active Mechanical Genius]],-1,0)&gt;0,OFFSET(TblMagic[[#This Row],[Active Mechanical Genius]],-1,0)-1,0))</f>
        <v>5</v>
      </c>
      <c r="AH13" s="26" t="n">
        <f aca="false">IF(TblMagic[[#This Row],[Frenzy]],12,IF(OFFSET(TblMagic[[#This Row],[Active Frenzy]],-1,0)&gt;0,OFFSET(TblMagic[[#This Row],[Active Frenzy]],-1,0)-1,0))</f>
        <v>6</v>
      </c>
      <c r="AI13" s="26" t="n">
        <f aca="false">IF(TblMagic[[#This Row],[Killing Rage / Bloodrage / Crusade]],12,IF(OFFSET(TblMagic[[#This Row],[Active Warsong / Killing Rage / Bloodrage]],-1,0)&gt;0,OFFSET(TblMagic[[#This Row],[Active Warsong / Killing Rage / Bloodrage]],-1,0)-1,0))</f>
        <v>7</v>
      </c>
      <c r="AJ13" s="26" t="n">
        <f aca="false">IF(TblMagic[[#This Row],[Gaia''s Blessing]],12,IF(OFFSET(TblMagic[[#This Row],[Active Gaia''s Blessing]],-1,0)&gt;0,OFFSET(TblMagic[[#This Row],[Active Gaia''s Blessing]],-1,0)-1,0))</f>
        <v>8</v>
      </c>
      <c r="AK13" s="26" t="n">
        <f aca="false">IF(TblMagic[[#This Row],[Howling]],12,IF(OFFSET(TblMagic[[#This Row],[Active Howling]],-1,0)&gt;0,OFFSET(TblMagic[[#This Row],[Active Howling]],-1,0)-1,0))</f>
        <v>9</v>
      </c>
      <c r="AL13" s="26" t="n">
        <f aca="false">IF(TblMagic[[#This Row],[Alchemist Frost]],12,IF(OFFSET(TblMagic[[#This Row],[Active Alch Frost]],-1,0)&gt;0,OFFSET(TblMagic[[#This Row],[Active Alch Frost]],-1,0)-1,0))</f>
        <v>10</v>
      </c>
      <c r="AM13" s="26" t="n">
        <f aca="false">IF(TblMagic[[#This Row],[Alchemists Flame]],12,IF(OFFSET(TblMagic[[#This Row],[Active Alchemists Flame]],-1,0)&gt;0,OFFSET(TblMagic[[#This Row],[Active Alchemists Flame]],-1,0)-1,0))</f>
        <v>11</v>
      </c>
      <c r="AN13" s="26" t="n">
        <f aca="false">IF(TblMagic[[#This Row],[Nightfall]],12,IF(OFFSET(TblMagic[[#This Row],[Active Nightfall]],-1,0)&gt;0,OFFSET(TblMagic[[#This Row],[Active Nightfall]],-1,0)-1,0))</f>
        <v>12</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-11431</v>
      </c>
      <c r="D14" s="149" t="n">
        <f aca="false">MIN(1,OFFSET(TblMagic[[#This Row],[Wiz str]],-1,0)+0.04+ROUNDDOWN(10*OFFSET(TblMili[[#This Row],[WG''s]],-1,0),0)+ tech_2_7*OFFSET(TblTech[[#This Row],[2-7]],-1,0) + tech_5_6*OFFSET(TblTech[[#This Row],[5-6]],-1,0) )-TblMagic[[#This Row],[Wiz str cost]]</f>
        <v>0.86</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t="n">
        <v>1</v>
      </c>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4" s="149" t="n">
        <f aca="false">SUMIF(TblMagic[[#This Row],[Gaia''s Watch]:[Useless spell]],1)*0.05</f>
        <v>0.05</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3</v>
      </c>
      <c r="AG14" s="26" t="n">
        <f aca="false">IF(TblMagic[[#This Row],[Mechanical Genius]],12,IF(OFFSET(TblMagic[[#This Row],[Active Mechanical Genius]],-1,0)&gt;0,OFFSET(TblMagic[[#This Row],[Active Mechanical Genius]],-1,0)-1,0))</f>
        <v>4</v>
      </c>
      <c r="AH14" s="26" t="n">
        <f aca="false">IF(TblMagic[[#This Row],[Frenzy]],12,IF(OFFSET(TblMagic[[#This Row],[Active Frenzy]],-1,0)&gt;0,OFFSET(TblMagic[[#This Row],[Active Frenzy]],-1,0)-1,0))</f>
        <v>5</v>
      </c>
      <c r="AI14" s="26" t="n">
        <f aca="false">IF(TblMagic[[#This Row],[Killing Rage / Bloodrage / Crusade]],12,IF(OFFSET(TblMagic[[#This Row],[Active Warsong / Killing Rage / Bloodrage]],-1,0)&gt;0,OFFSET(TblMagic[[#This Row],[Active Warsong / Killing Rage / Bloodrage]],-1,0)-1,0))</f>
        <v>6</v>
      </c>
      <c r="AJ14" s="26" t="n">
        <f aca="false">IF(TblMagic[[#This Row],[Gaia''s Blessing]],12,IF(OFFSET(TblMagic[[#This Row],[Active Gaia''s Blessing]],-1,0)&gt;0,OFFSET(TblMagic[[#This Row],[Active Gaia''s Blessing]],-1,0)-1,0))</f>
        <v>7</v>
      </c>
      <c r="AK14" s="26" t="n">
        <f aca="false">IF(TblMagic[[#This Row],[Howling]],12,IF(OFFSET(TblMagic[[#This Row],[Active Howling]],-1,0)&gt;0,OFFSET(TblMagic[[#This Row],[Active Howling]],-1,0)-1,0))</f>
        <v>8</v>
      </c>
      <c r="AL14" s="26" t="n">
        <f aca="false">IF(TblMagic[[#This Row],[Alchemist Frost]],12,IF(OFFSET(TblMagic[[#This Row],[Active Alch Frost]],-1,0)&gt;0,OFFSET(TblMagic[[#This Row],[Active Alch Frost]],-1,0)-1,0))</f>
        <v>9</v>
      </c>
      <c r="AM14" s="26" t="n">
        <f aca="false">IF(TblMagic[[#This Row],[Alchemists Flame]],12,IF(OFFSET(TblMagic[[#This Row],[Active Alchemists Flame]],-1,0)&gt;0,OFFSET(TblMagic[[#This Row],[Active Alchemists Flame]],-1,0)-1,0))</f>
        <v>10</v>
      </c>
      <c r="AN14" s="26" t="n">
        <f aca="false">IF(TblMagic[[#This Row],[Nightfall]],12,IF(OFFSET(TblMagic[[#This Row],[Active Nightfall]],-1,0)&gt;0,OFFSET(TblMagic[[#This Row],[Active Nightfall]],-1,0)-1,0))</f>
        <v>11</v>
      </c>
      <c r="AO14" s="26" t="n">
        <f aca="false">IF(TblMagic[[#This Row],[Favorable Terrain]],12,IF(OFFSET(TblMagic[[#This Row],[Active Favorable Terrain]],-1,0)&gt;0,OFFSET(TblMagic[[#This Row],[Active Favorable Terrain]],-1,0)-1,0))</f>
        <v>12</v>
      </c>
    </row>
    <row r="15" customFormat="false" ht="12.75" hidden="false" customHeight="false" outlineLevel="0" collapsed="false">
      <c r="A15" s="128" t="n">
        <f aca="false">TblRezone[[#This Row],[Hour]]</f>
        <v>12</v>
      </c>
      <c r="B15" s="146" t="n">
        <f aca="false">TblConstr[[#This Row],[Land]]</f>
        <v>250</v>
      </c>
      <c r="C15" s="69" t="n">
        <f aca="false">TblProd[[#This Row],[Mana]]</f>
        <v>-11202</v>
      </c>
      <c r="D15" s="149" t="n">
        <f aca="false">MIN(1,OFFSET(TblMagic[[#This Row],[Wiz str]],-1,0)+0.04+ROUNDDOWN(10*OFFSET(TblMili[[#This Row],[WG''s]],-1,0),0)+ tech_2_7*OFFSET(TblTech[[#This Row],[2-7]],-1,0) + tech_5_6*OFFSET(TblTech[[#This Row],[5-6]],-1,0) )-TblMagic[[#This Row],[Wiz str cost]]</f>
        <v>0.9</v>
      </c>
      <c r="E15" s="153" t="n">
        <f aca="false">OFFSET(TblMagic[[#This Row],[Time]],-1,0)+1/24</f>
        <v>45430.2083333333</v>
      </c>
      <c r="F15" s="149" t="n">
        <f aca="false">TblImps[[#This Row],[Population]]</f>
        <v>0.50413009808983</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2</v>
      </c>
      <c r="AG15" s="26" t="n">
        <f aca="false">IF(TblMagic[[#This Row],[Mechanical Genius]],12,IF(OFFSET(TblMagic[[#This Row],[Active Mechanical Genius]],-1,0)&gt;0,OFFSET(TblMagic[[#This Row],[Active Mechanical Genius]],-1,0)-1,0))</f>
        <v>3</v>
      </c>
      <c r="AH15" s="26" t="n">
        <f aca="false">IF(TblMagic[[#This Row],[Frenzy]],12,IF(OFFSET(TblMagic[[#This Row],[Active Frenzy]],-1,0)&gt;0,OFFSET(TblMagic[[#This Row],[Active Frenzy]],-1,0)-1,0))</f>
        <v>4</v>
      </c>
      <c r="AI15" s="26" t="n">
        <f aca="false">IF(TblMagic[[#This Row],[Killing Rage / Bloodrage / Crusade]],12,IF(OFFSET(TblMagic[[#This Row],[Active Warsong / Killing Rage / Bloodrage]],-1,0)&gt;0,OFFSET(TblMagic[[#This Row],[Active Warsong / Killing Rage / Bloodrage]],-1,0)-1,0))</f>
        <v>5</v>
      </c>
      <c r="AJ15" s="26" t="n">
        <f aca="false">IF(TblMagic[[#This Row],[Gaia''s Blessing]],12,IF(OFFSET(TblMagic[[#This Row],[Active Gaia''s Blessing]],-1,0)&gt;0,OFFSET(TblMagic[[#This Row],[Active Gaia''s Blessing]],-1,0)-1,0))</f>
        <v>6</v>
      </c>
      <c r="AK15" s="26" t="n">
        <f aca="false">IF(TblMagic[[#This Row],[Howling]],12,IF(OFFSET(TblMagic[[#This Row],[Active Howling]],-1,0)&gt;0,OFFSET(TblMagic[[#This Row],[Active Howling]],-1,0)-1,0))</f>
        <v>7</v>
      </c>
      <c r="AL15" s="26" t="n">
        <f aca="false">IF(TblMagic[[#This Row],[Alchemist Frost]],12,IF(OFFSET(TblMagic[[#This Row],[Active Alch Frost]],-1,0)&gt;0,OFFSET(TblMagic[[#This Row],[Active Alch Frost]],-1,0)-1,0))</f>
        <v>8</v>
      </c>
      <c r="AM15" s="26" t="n">
        <f aca="false">IF(TblMagic[[#This Row],[Alchemists Flame]],12,IF(OFFSET(TblMagic[[#This Row],[Active Alchemists Flame]],-1,0)&gt;0,OFFSET(TblMagic[[#This Row],[Active Alchemists Flame]],-1,0)-1,0))</f>
        <v>9</v>
      </c>
      <c r="AN15" s="26" t="n">
        <f aca="false">IF(TblMagic[[#This Row],[Nightfall]],12,IF(OFFSET(TblMagic[[#This Row],[Active Nightfall]],-1,0)&gt;0,OFFSET(TblMagic[[#This Row],[Active Nightfall]],-1,0)-1,0))</f>
        <v>10</v>
      </c>
      <c r="AO15" s="26" t="n">
        <f aca="false">IF(TblMagic[[#This Row],[Favorable Terrain]],12,IF(OFFSET(TblMagic[[#This Row],[Active Favorable Terrain]],-1,0)&gt;0,OFFSET(TblMagic[[#This Row],[Active Favorable Terrain]],-1,0)-1,0))</f>
        <v>11</v>
      </c>
    </row>
    <row r="16" customFormat="false" ht="12.75" hidden="false" customHeight="false" outlineLevel="0" collapsed="false">
      <c r="A16" s="128" t="n">
        <f aca="false">TblRezone[[#This Row],[Hour]]</f>
        <v>13</v>
      </c>
      <c r="B16" s="146" t="n">
        <f aca="false">TblConstr[[#This Row],[Land]]</f>
        <v>250</v>
      </c>
      <c r="C16" s="69" t="n">
        <f aca="false">TblProd[[#This Row],[Mana]]</f>
        <v>-10603</v>
      </c>
      <c r="D16" s="149" t="n">
        <f aca="false">MIN(1,OFFSET(TblMagic[[#This Row],[Wiz str]],-1,0)+0.04+ROUNDDOWN(10*OFFSET(TblMili[[#This Row],[WG''s]],-1,0),0)+ tech_2_7*OFFSET(TblTech[[#This Row],[2-7]],-1,0) + tech_5_6*OFFSET(TblTech[[#This Row],[5-6]],-1,0) )-TblMagic[[#This Row],[Wiz str cost]]</f>
        <v>0.94</v>
      </c>
      <c r="E16" s="153" t="n">
        <f aca="false">OFFSET(TblMagic[[#This Row],[Time]],-1,0)+1/24</f>
        <v>45430.25</v>
      </c>
      <c r="F16" s="149" t="n">
        <f aca="false">TblImps[[#This Row],[Population]]</f>
        <v>0.530459473412494</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1</v>
      </c>
      <c r="AG16" s="26" t="n">
        <f aca="false">IF(TblMagic[[#This Row],[Mechanical Genius]],12,IF(OFFSET(TblMagic[[#This Row],[Active Mechanical Genius]],-1,0)&gt;0,OFFSET(TblMagic[[#This Row],[Active Mechanical Genius]],-1,0)-1,0))</f>
        <v>2</v>
      </c>
      <c r="AH16" s="26" t="n">
        <f aca="false">IF(TblMagic[[#This Row],[Frenzy]],12,IF(OFFSET(TblMagic[[#This Row],[Active Frenzy]],-1,0)&gt;0,OFFSET(TblMagic[[#This Row],[Active Frenzy]],-1,0)-1,0))</f>
        <v>3</v>
      </c>
      <c r="AI16" s="26" t="n">
        <f aca="false">IF(TblMagic[[#This Row],[Killing Rage / Bloodrage / Crusade]],12,IF(OFFSET(TblMagic[[#This Row],[Active Warsong / Killing Rage / Bloodrage]],-1,0)&gt;0,OFFSET(TblMagic[[#This Row],[Active Warsong / Killing Rage / Bloodrage]],-1,0)-1,0))</f>
        <v>4</v>
      </c>
      <c r="AJ16" s="26" t="n">
        <f aca="false">IF(TblMagic[[#This Row],[Gaia''s Blessing]],12,IF(OFFSET(TblMagic[[#This Row],[Active Gaia''s Blessing]],-1,0)&gt;0,OFFSET(TblMagic[[#This Row],[Active Gaia''s Blessing]],-1,0)-1,0))</f>
        <v>5</v>
      </c>
      <c r="AK16" s="26" t="n">
        <f aca="false">IF(TblMagic[[#This Row],[Howling]],12,IF(OFFSET(TblMagic[[#This Row],[Active Howling]],-1,0)&gt;0,OFFSET(TblMagic[[#This Row],[Active Howling]],-1,0)-1,0))</f>
        <v>6</v>
      </c>
      <c r="AL16" s="26" t="n">
        <f aca="false">IF(TblMagic[[#This Row],[Alchemist Frost]],12,IF(OFFSET(TblMagic[[#This Row],[Active Alch Frost]],-1,0)&gt;0,OFFSET(TblMagic[[#This Row],[Active Alch Frost]],-1,0)-1,0))</f>
        <v>7</v>
      </c>
      <c r="AM16" s="26" t="n">
        <f aca="false">IF(TblMagic[[#This Row],[Alchemists Flame]],12,IF(OFFSET(TblMagic[[#This Row],[Active Alchemists Flame]],-1,0)&gt;0,OFFSET(TblMagic[[#This Row],[Active Alchemists Flame]],-1,0)-1,0))</f>
        <v>8</v>
      </c>
      <c r="AN16" s="26" t="n">
        <f aca="false">IF(TblMagic[[#This Row],[Nightfall]],12,IF(OFFSET(TblMagic[[#This Row],[Active Nightfall]],-1,0)&gt;0,OFFSET(TblMagic[[#This Row],[Active Nightfall]],-1,0)-1,0))</f>
        <v>9</v>
      </c>
      <c r="AO16" s="26" t="n">
        <f aca="false">IF(TblMagic[[#This Row],[Favorable Terrain]],12,IF(OFFSET(TblMagic[[#This Row],[Active Favorable Terrain]],-1,0)&gt;0,OFFSET(TblMagic[[#This Row],[Active Favorable Terrain]],-1,0)-1,0))</f>
        <v>10</v>
      </c>
    </row>
    <row r="17" customFormat="false" ht="12.75" hidden="false" customHeight="false" outlineLevel="0" collapsed="false">
      <c r="A17" s="128" t="n">
        <f aca="false">TblRezone[[#This Row],[Hour]]</f>
        <v>14</v>
      </c>
      <c r="B17" s="146" t="n">
        <f aca="false">TblConstr[[#This Row],[Land]]</f>
        <v>250</v>
      </c>
      <c r="C17" s="69" t="n">
        <f aca="false">TblProd[[#This Row],[Mana]]</f>
        <v>-10016</v>
      </c>
      <c r="D17" s="149" t="n">
        <f aca="false">MIN(1,OFFSET(TblMagic[[#This Row],[Wiz str]],-1,0)+0.04+ROUNDDOWN(10*OFFSET(TblMili[[#This Row],[WG''s]],-1,0),0)+ tech_2_7*OFFSET(TblTech[[#This Row],[2-7]],-1,0) + tech_5_6*OFFSET(TblTech[[#This Row],[5-6]],-1,0) )-TblMagic[[#This Row],[Wiz str cost]]</f>
        <v>0.98</v>
      </c>
      <c r="E17" s="153" t="n">
        <f aca="false">OFFSET(TblMagic[[#This Row],[Time]],-1,0)+1/24</f>
        <v>45430.2916666667</v>
      </c>
      <c r="F17" s="149" t="n">
        <f aca="false">TblImps[[#This Row],[Population]]</f>
        <v>0.535678889990089</v>
      </c>
      <c r="G17" s="248"/>
      <c r="H17" s="248"/>
      <c r="I17" s="248"/>
      <c r="J17" s="248"/>
      <c r="K17" s="312"/>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49" t="n">
        <f aca="false">SUMIF(TblMagic[[#This Row],[Gaia''s Watch]:[Useless spell]],1)*0.05</f>
        <v>0</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0</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1</v>
      </c>
      <c r="AH17" s="26" t="n">
        <f aca="false">IF(TblMagic[[#This Row],[Frenzy]],12,IF(OFFSET(TblMagic[[#This Row],[Active Frenzy]],-1,0)&gt;0,OFFSET(TblMagic[[#This Row],[Active Frenzy]],-1,0)-1,0))</f>
        <v>2</v>
      </c>
      <c r="AI17" s="26" t="n">
        <f aca="false">IF(TblMagic[[#This Row],[Killing Rage / Bloodrage / Crusade]],12,IF(OFFSET(TblMagic[[#This Row],[Active Warsong / Killing Rage / Bloodrage]],-1,0)&gt;0,OFFSET(TblMagic[[#This Row],[Active Warsong / Killing Rage / Bloodrage]],-1,0)-1,0))</f>
        <v>3</v>
      </c>
      <c r="AJ17" s="26" t="n">
        <f aca="false">IF(TblMagic[[#This Row],[Gaia''s Blessing]],12,IF(OFFSET(TblMagic[[#This Row],[Active Gaia''s Blessing]],-1,0)&gt;0,OFFSET(TblMagic[[#This Row],[Active Gaia''s Blessing]],-1,0)-1,0))</f>
        <v>4</v>
      </c>
      <c r="AK17" s="26" t="n">
        <f aca="false">IF(TblMagic[[#This Row],[Howling]],12,IF(OFFSET(TblMagic[[#This Row],[Active Howling]],-1,0)&gt;0,OFFSET(TblMagic[[#This Row],[Active Howling]],-1,0)-1,0))</f>
        <v>5</v>
      </c>
      <c r="AL17" s="26" t="n">
        <f aca="false">IF(TblMagic[[#This Row],[Alchemist Frost]],12,IF(OFFSET(TblMagic[[#This Row],[Active Alch Frost]],-1,0)&gt;0,OFFSET(TblMagic[[#This Row],[Active Alch Frost]],-1,0)-1,0))</f>
        <v>6</v>
      </c>
      <c r="AM17" s="26" t="n">
        <f aca="false">IF(TblMagic[[#This Row],[Alchemists Flame]],12,IF(OFFSET(TblMagic[[#This Row],[Active Alchemists Flame]],-1,0)&gt;0,OFFSET(TblMagic[[#This Row],[Active Alchemists Flame]],-1,0)-1,0))</f>
        <v>7</v>
      </c>
      <c r="AN17" s="26" t="n">
        <f aca="false">IF(TblMagic[[#This Row],[Nightfall]],12,IF(OFFSET(TblMagic[[#This Row],[Active Nightfall]],-1,0)&gt;0,OFFSET(TblMagic[[#This Row],[Active Nightfall]],-1,0)-1,0))</f>
        <v>8</v>
      </c>
      <c r="AO17" s="26" t="n">
        <f aca="false">IF(TblMagic[[#This Row],[Favorable Terrain]],12,IF(OFFSET(TblMagic[[#This Row],[Active Favorable Terrain]],-1,0)&gt;0,OFFSET(TblMagic[[#This Row],[Active Favorable Terrain]],-1,0)-1,0))</f>
        <v>9</v>
      </c>
    </row>
    <row r="18" customFormat="false" ht="12.75" hidden="false" customHeight="false" outlineLevel="0" collapsed="false">
      <c r="A18" s="128" t="n">
        <f aca="false">TblRezone[[#This Row],[Hour]]</f>
        <v>15</v>
      </c>
      <c r="B18" s="146" t="n">
        <f aca="false">TblConstr[[#This Row],[Land]]</f>
        <v>250</v>
      </c>
      <c r="C18" s="69" t="n">
        <f aca="false">TblProd[[#This Row],[Mana]]</f>
        <v>-9441</v>
      </c>
      <c r="D18" s="149" t="n">
        <f aca="false">MIN(1,OFFSET(TblMagic[[#This Row],[Wiz str]],-1,0)+0.04+ROUNDDOWN(10*OFFSET(TblMili[[#This Row],[WG''s]],-1,0),0)+ tech_2_7*OFFSET(TblTech[[#This Row],[2-7]],-1,0) + tech_5_6*OFFSET(TblTech[[#This Row],[5-6]],-1,0) )-TblMagic[[#This Row],[Wiz str cost]]</f>
        <v>1</v>
      </c>
      <c r="E18" s="153" t="n">
        <f aca="false">OFFSET(TblMagic[[#This Row],[Time]],-1,0)+1/24</f>
        <v>45430.3333333333</v>
      </c>
      <c r="F18" s="149" t="n">
        <f aca="false">TblImps[[#This Row],[Population]]</f>
        <v>0.563676907829534</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0</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1</v>
      </c>
      <c r="AI18" s="26" t="n">
        <f aca="false">IF(TblMagic[[#This Row],[Killing Rage / Bloodrage / Crusade]],12,IF(OFFSET(TblMagic[[#This Row],[Active Warsong / Killing Rage / Bloodrage]],-1,0)&gt;0,OFFSET(TblMagic[[#This Row],[Active Warsong / Killing Rage / Bloodrage]],-1,0)-1,0))</f>
        <v>2</v>
      </c>
      <c r="AJ18" s="26" t="n">
        <f aca="false">IF(TblMagic[[#This Row],[Gaia''s Blessing]],12,IF(OFFSET(TblMagic[[#This Row],[Active Gaia''s Blessing]],-1,0)&gt;0,OFFSET(TblMagic[[#This Row],[Active Gaia''s Blessing]],-1,0)-1,0))</f>
        <v>3</v>
      </c>
      <c r="AK18" s="26" t="n">
        <f aca="false">IF(TblMagic[[#This Row],[Howling]],12,IF(OFFSET(TblMagic[[#This Row],[Active Howling]],-1,0)&gt;0,OFFSET(TblMagic[[#This Row],[Active Howling]],-1,0)-1,0))</f>
        <v>4</v>
      </c>
      <c r="AL18" s="26" t="n">
        <f aca="false">IF(TblMagic[[#This Row],[Alchemist Frost]],12,IF(OFFSET(TblMagic[[#This Row],[Active Alch Frost]],-1,0)&gt;0,OFFSET(TblMagic[[#This Row],[Active Alch Frost]],-1,0)-1,0))</f>
        <v>5</v>
      </c>
      <c r="AM18" s="26" t="n">
        <f aca="false">IF(TblMagic[[#This Row],[Alchemists Flame]],12,IF(OFFSET(TblMagic[[#This Row],[Active Alchemists Flame]],-1,0)&gt;0,OFFSET(TblMagic[[#This Row],[Active Alchemists Flame]],-1,0)-1,0))</f>
        <v>6</v>
      </c>
      <c r="AN18" s="26" t="n">
        <f aca="false">IF(TblMagic[[#This Row],[Nightfall]],12,IF(OFFSET(TblMagic[[#This Row],[Active Nightfall]],-1,0)&gt;0,OFFSET(TblMagic[[#This Row],[Active Nightfall]],-1,0)-1,0))</f>
        <v>7</v>
      </c>
      <c r="AO18" s="26" t="n">
        <f aca="false">IF(TblMagic[[#This Row],[Favorable Terrain]],12,IF(OFFSET(TblMagic[[#This Row],[Active Favorable Terrain]],-1,0)&gt;0,OFFSET(TblMagic[[#This Row],[Active Favorable Terrain]],-1,0)-1,0))</f>
        <v>8</v>
      </c>
    </row>
    <row r="19" customFormat="false" ht="12.75" hidden="false" customHeight="false" outlineLevel="0" collapsed="false">
      <c r="A19" s="128" t="n">
        <f aca="false">TblRezone[[#This Row],[Hour]]</f>
        <v>16</v>
      </c>
      <c r="B19" s="146" t="n">
        <f aca="false">TblConstr[[#This Row],[Land]]</f>
        <v>250</v>
      </c>
      <c r="C19" s="69" t="n">
        <f aca="false">TblProd[[#This Row],[Mana]]</f>
        <v>-8877</v>
      </c>
      <c r="D19" s="149" t="n">
        <f aca="false">MIN(1,OFFSET(TblMagic[[#This Row],[Wiz str]],-1,0)+0.04+ROUNDDOWN(10*OFFSET(TblMili[[#This Row],[WG''s]],-1,0),0)+ tech_2_7*OFFSET(TblTech[[#This Row],[2-7]],-1,0) + tech_5_6*OFFSET(TblTech[[#This Row],[5-6]],-1,0) )-TblMagic[[#This Row],[Wiz str cost]]</f>
        <v>1</v>
      </c>
      <c r="E19" s="153" t="n">
        <f aca="false">OFFSET(TblMagic[[#This Row],[Time]],-1,0)+1/24</f>
        <v>45430.375</v>
      </c>
      <c r="F19" s="149" t="n">
        <f aca="false">TblImps[[#This Row],[Population]]</f>
        <v>0.593161546085233</v>
      </c>
      <c r="G19" s="248"/>
      <c r="H19" s="248"/>
      <c r="I19" s="248"/>
      <c r="J19" s="248"/>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49" t="n">
        <f aca="false">SUMIF(TblMagic[[#This Row],[Gaia''s Watch]:[Useless spell]],1)*0.05</f>
        <v>0</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0</v>
      </c>
      <c r="AE19" s="26" t="n">
        <f aca="false">IF(TblMagic[[#This Row],[Harmony]],12,IF(OFFSET(TblMagic[[#This Row],[Active Harmony]],-1,0)&gt;0,OFFSET(TblMagic[[#This Row],[Active Harmony]],-1,0)-1,0))</f>
        <v>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1</v>
      </c>
      <c r="AJ19" s="26" t="n">
        <f aca="false">IF(TblMagic[[#This Row],[Gaia''s Blessing]],12,IF(OFFSET(TblMagic[[#This Row],[Active Gaia''s Blessing]],-1,0)&gt;0,OFFSET(TblMagic[[#This Row],[Active Gaia''s Blessing]],-1,0)-1,0))</f>
        <v>2</v>
      </c>
      <c r="AK19" s="26" t="n">
        <f aca="false">IF(TblMagic[[#This Row],[Howling]],12,IF(OFFSET(TblMagic[[#This Row],[Active Howling]],-1,0)&gt;0,OFFSET(TblMagic[[#This Row],[Active Howling]],-1,0)-1,0))</f>
        <v>3</v>
      </c>
      <c r="AL19" s="26" t="n">
        <f aca="false">IF(TblMagic[[#This Row],[Alchemist Frost]],12,IF(OFFSET(TblMagic[[#This Row],[Active Alch Frost]],-1,0)&gt;0,OFFSET(TblMagic[[#This Row],[Active Alch Frost]],-1,0)-1,0))</f>
        <v>4</v>
      </c>
      <c r="AM19" s="26" t="n">
        <f aca="false">IF(TblMagic[[#This Row],[Alchemists Flame]],12,IF(OFFSET(TblMagic[[#This Row],[Active Alchemists Flame]],-1,0)&gt;0,OFFSET(TblMagic[[#This Row],[Active Alchemists Flame]],-1,0)-1,0))</f>
        <v>5</v>
      </c>
      <c r="AN19" s="26" t="n">
        <f aca="false">IF(TblMagic[[#This Row],[Nightfall]],12,IF(OFFSET(TblMagic[[#This Row],[Active Nightfall]],-1,0)&gt;0,OFFSET(TblMagic[[#This Row],[Active Nightfall]],-1,0)-1,0))</f>
        <v>6</v>
      </c>
      <c r="AO19" s="26" t="n">
        <f aca="false">IF(TblMagic[[#This Row],[Favorable Terrain]],12,IF(OFFSET(TblMagic[[#This Row],[Active Favorable Terrain]],-1,0)&gt;0,OFFSET(TblMagic[[#This Row],[Active Favorable Terrain]],-1,0)-1,0))</f>
        <v>7</v>
      </c>
    </row>
    <row r="20" customFormat="false" ht="12.75" hidden="false" customHeight="false" outlineLevel="0" collapsed="false">
      <c r="A20" s="128" t="n">
        <f aca="false">TblRezone[[#This Row],[Hour]]</f>
        <v>17</v>
      </c>
      <c r="B20" s="146" t="n">
        <f aca="false">TblConstr[[#This Row],[Land]]</f>
        <v>250</v>
      </c>
      <c r="C20" s="69" t="n">
        <f aca="false">TblProd[[#This Row],[Mana]]</f>
        <v>-8324</v>
      </c>
      <c r="D20" s="149" t="n">
        <f aca="false">MIN(1,OFFSET(TblMagic[[#This Row],[Wiz str]],-1,0)+0.04+ROUNDDOWN(10*OFFSET(TblMili[[#This Row],[WG''s]],-1,0),0)+ tech_2_7*OFFSET(TblTech[[#This Row],[2-7]],-1,0) + tech_5_6*OFFSET(TblTech[[#This Row],[5-6]],-1,0) )-TblMagic[[#This Row],[Wiz str cost]]</f>
        <v>1</v>
      </c>
      <c r="E20" s="153" t="n">
        <f aca="false">OFFSET(TblMagic[[#This Row],[Time]],-1,0)+1/24</f>
        <v>45430.4166666667</v>
      </c>
      <c r="F20" s="149" t="n">
        <f aca="false">TblImps[[#This Row],[Population]]</f>
        <v>0.624132804757185</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0</v>
      </c>
      <c r="AE20" s="26" t="n">
        <f aca="false">IF(TblMagic[[#This Row],[Harmony]],12,IF(OFFSET(TblMagic[[#This Row],[Active Harmony]],-1,0)&gt;0,OFFSET(TblMagic[[#This Row],[Active Harmony]],-1,0)-1,0))</f>
        <v>0</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1</v>
      </c>
      <c r="AK20" s="26" t="n">
        <f aca="false">IF(TblMagic[[#This Row],[Howling]],12,IF(OFFSET(TblMagic[[#This Row],[Active Howling]],-1,0)&gt;0,OFFSET(TblMagic[[#This Row],[Active Howling]],-1,0)-1,0))</f>
        <v>2</v>
      </c>
      <c r="AL20" s="26" t="n">
        <f aca="false">IF(TblMagic[[#This Row],[Alchemist Frost]],12,IF(OFFSET(TblMagic[[#This Row],[Active Alch Frost]],-1,0)&gt;0,OFFSET(TblMagic[[#This Row],[Active Alch Frost]],-1,0)-1,0))</f>
        <v>3</v>
      </c>
      <c r="AM20" s="26" t="n">
        <f aca="false">IF(TblMagic[[#This Row],[Alchemists Flame]],12,IF(OFFSET(TblMagic[[#This Row],[Active Alchemists Flame]],-1,0)&gt;0,OFFSET(TblMagic[[#This Row],[Active Alchemists Flame]],-1,0)-1,0))</f>
        <v>4</v>
      </c>
      <c r="AN20" s="26" t="n">
        <f aca="false">IF(TblMagic[[#This Row],[Nightfall]],12,IF(OFFSET(TblMagic[[#This Row],[Active Nightfall]],-1,0)&gt;0,OFFSET(TblMagic[[#This Row],[Active Nightfall]],-1,0)-1,0))</f>
        <v>5</v>
      </c>
      <c r="AO20" s="26" t="n">
        <f aca="false">IF(TblMagic[[#This Row],[Favorable Terrain]],12,IF(OFFSET(TblMagic[[#This Row],[Active Favorable Terrain]],-1,0)&gt;0,OFFSET(TblMagic[[#This Row],[Active Favorable Terrain]],-1,0)-1,0))</f>
        <v>6</v>
      </c>
    </row>
    <row r="21" customFormat="false" ht="12.75" hidden="false" customHeight="false" outlineLevel="0" collapsed="false">
      <c r="A21" s="128" t="n">
        <f aca="false">TblRezone[[#This Row],[Hour]]</f>
        <v>18</v>
      </c>
      <c r="B21" s="146" t="n">
        <f aca="false">TblConstr[[#This Row],[Land]]</f>
        <v>274</v>
      </c>
      <c r="C21" s="69" t="n">
        <f aca="false">TblProd[[#This Row],[Mana]]</f>
        <v>-7783</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0.567827130852341</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0</v>
      </c>
      <c r="AE21" s="26" t="n">
        <f aca="false">IF(TblMagic[[#This Row],[Harmony]],12,IF(OFFSET(TblMagic[[#This Row],[Active Harmony]],-1,0)&gt;0,OFFSET(TblMagic[[#This Row],[Active Harmony]],-1,0)-1,0))</f>
        <v>0</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1</v>
      </c>
      <c r="AL21" s="26" t="n">
        <f aca="false">IF(TblMagic[[#This Row],[Alchemist Frost]],12,IF(OFFSET(TblMagic[[#This Row],[Active Alch Frost]],-1,0)&gt;0,OFFSET(TblMagic[[#This Row],[Active Alch Frost]],-1,0)-1,0))</f>
        <v>2</v>
      </c>
      <c r="AM21" s="26" t="n">
        <f aca="false">IF(TblMagic[[#This Row],[Alchemists Flame]],12,IF(OFFSET(TblMagic[[#This Row],[Active Alchemists Flame]],-1,0)&gt;0,OFFSET(TblMagic[[#This Row],[Active Alchemists Flame]],-1,0)-1,0))</f>
        <v>3</v>
      </c>
      <c r="AN21" s="26" t="n">
        <f aca="false">IF(TblMagic[[#This Row],[Nightfall]],12,IF(OFFSET(TblMagic[[#This Row],[Active Nightfall]],-1,0)&gt;0,OFFSET(TblMagic[[#This Row],[Active Nightfall]],-1,0)-1,0))</f>
        <v>4</v>
      </c>
      <c r="AO21" s="26" t="n">
        <f aca="false">IF(TblMagic[[#This Row],[Favorable Terrain]],12,IF(OFFSET(TblMagic[[#This Row],[Active Favorable Terrain]],-1,0)&gt;0,OFFSET(TblMagic[[#This Row],[Active Favorable Terrain]],-1,0)-1,0))</f>
        <v>5</v>
      </c>
    </row>
    <row r="22" customFormat="false" ht="12.75" hidden="false" customHeight="false" outlineLevel="0" collapsed="false">
      <c r="A22" s="128" t="n">
        <f aca="false">TblRezone[[#This Row],[Hour]]</f>
        <v>19</v>
      </c>
      <c r="B22" s="146" t="n">
        <f aca="false">TblConstr[[#This Row],[Land]]</f>
        <v>275</v>
      </c>
      <c r="C22" s="69" t="n">
        <f aca="false">TblProd[[#This Row],[Mana]]</f>
        <v>-7252</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0.553849627455408</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0</v>
      </c>
      <c r="AE22" s="26" t="n">
        <f aca="false">IF(TblMagic[[#This Row],[Harmony]],12,IF(OFFSET(TblMagic[[#This Row],[Active Harmony]],-1,0)&gt;0,OFFSET(TblMagic[[#This Row],[Active Harmony]],-1,0)-1,0))</f>
        <v>0</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1</v>
      </c>
      <c r="AM22" s="26" t="n">
        <f aca="false">IF(TblMagic[[#This Row],[Alchemists Flame]],12,IF(OFFSET(TblMagic[[#This Row],[Active Alchemists Flame]],-1,0)&gt;0,OFFSET(TblMagic[[#This Row],[Active Alchemists Flame]],-1,0)-1,0))</f>
        <v>2</v>
      </c>
      <c r="AN22" s="26" t="n">
        <f aca="false">IF(TblMagic[[#This Row],[Nightfall]],12,IF(OFFSET(TblMagic[[#This Row],[Active Nightfall]],-1,0)&gt;0,OFFSET(TblMagic[[#This Row],[Active Nightfall]],-1,0)-1,0))</f>
        <v>3</v>
      </c>
      <c r="AO22" s="26" t="n">
        <f aca="false">IF(TblMagic[[#This Row],[Favorable Terrain]],12,IF(OFFSET(TblMagic[[#This Row],[Active Favorable Terrain]],-1,0)&gt;0,OFFSET(TblMagic[[#This Row],[Active Favorable Terrain]],-1,0)-1,0))</f>
        <v>4</v>
      </c>
    </row>
    <row r="23" customFormat="false" ht="12.75" hidden="false" customHeight="false" outlineLevel="0" collapsed="false">
      <c r="A23" s="128" t="n">
        <f aca="false">TblRezone[[#This Row],[Hour]]</f>
        <v>20</v>
      </c>
      <c r="B23" s="146" t="n">
        <f aca="false">TblConstr[[#This Row],[Land]]</f>
        <v>276</v>
      </c>
      <c r="C23" s="69" t="n">
        <f aca="false">TblProd[[#This Row],[Mana]]</f>
        <v>-6732</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0.572103487064117</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0</v>
      </c>
      <c r="AE23" s="26" t="n">
        <f aca="false">IF(TblMagic[[#This Row],[Harmony]],12,IF(OFFSET(TblMagic[[#This Row],[Active Harmony]],-1,0)&gt;0,OFFSET(TblMagic[[#This Row],[Active Harmony]],-1,0)-1,0))</f>
        <v>0</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1</v>
      </c>
      <c r="AN23" s="26" t="n">
        <f aca="false">IF(TblMagic[[#This Row],[Nightfall]],12,IF(OFFSET(TblMagic[[#This Row],[Active Nightfall]],-1,0)&gt;0,OFFSET(TblMagic[[#This Row],[Active Nightfall]],-1,0)-1,0))</f>
        <v>2</v>
      </c>
      <c r="AO23" s="26" t="n">
        <f aca="false">IF(TblMagic[[#This Row],[Favorable Terrain]],12,IF(OFFSET(TblMagic[[#This Row],[Active Favorable Terrain]],-1,0)&gt;0,OFFSET(TblMagic[[#This Row],[Active Favorable Terrain]],-1,0)-1,0))</f>
        <v>3</v>
      </c>
    </row>
    <row r="24" customFormat="false" ht="12.75" hidden="false" customHeight="false" outlineLevel="0" collapsed="false">
      <c r="A24" s="128" t="n">
        <f aca="false">TblRezone[[#This Row],[Hour]]</f>
        <v>21</v>
      </c>
      <c r="B24" s="146" t="n">
        <f aca="false">TblConstr[[#This Row],[Land]]</f>
        <v>277</v>
      </c>
      <c r="C24" s="69" t="n">
        <f aca="false">TblProd[[#This Row],[Mana]]</f>
        <v>-6222</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0.591795561533289</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0</v>
      </c>
      <c r="AE24" s="26" t="n">
        <f aca="false">IF(TblMagic[[#This Row],[Harmony]],12,IF(OFFSET(TblMagic[[#This Row],[Active Harmony]],-1,0)&gt;0,OFFSET(TblMagic[[#This Row],[Active Harmony]],-1,0)-1,0))</f>
        <v>0</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1</v>
      </c>
      <c r="AO24" s="26" t="n">
        <f aca="false">IF(TblMagic[[#This Row],[Favorable Terrain]],12,IF(OFFSET(TblMagic[[#This Row],[Active Favorable Terrain]],-1,0)&gt;0,OFFSET(TblMagic[[#This Row],[Active Favorable Terrain]],-1,0)-1,0))</f>
        <v>2</v>
      </c>
    </row>
    <row r="25" customFormat="false" ht="12.75" hidden="false" customHeight="false" outlineLevel="0" collapsed="false">
      <c r="A25" s="128" t="n">
        <f aca="false">TblRezone[[#This Row],[Hour]]</f>
        <v>22</v>
      </c>
      <c r="B25" s="146" t="n">
        <f aca="false">TblConstr[[#This Row],[Land]]</f>
        <v>278</v>
      </c>
      <c r="C25" s="69" t="n">
        <f aca="false">TblProd[[#This Row],[Mana]]</f>
        <v>-5723</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0.620951530042439</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0</v>
      </c>
      <c r="AE25" s="26" t="n">
        <f aca="false">IF(TblMagic[[#This Row],[Harmony]],12,IF(OFFSET(TblMagic[[#This Row],[Active Harmony]],-1,0)&gt;0,OFFSET(TblMagic[[#This Row],[Active Harmony]],-1,0)-1,0))</f>
        <v>0</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1</v>
      </c>
    </row>
    <row r="26" customFormat="false" ht="12.75" hidden="false" customHeight="false" outlineLevel="0" collapsed="false">
      <c r="A26" s="128" t="n">
        <f aca="false">TblRezone[[#This Row],[Hour]]</f>
        <v>23</v>
      </c>
      <c r="B26" s="146" t="n">
        <f aca="false">TblConstr[[#This Row],[Land]]</f>
        <v>279</v>
      </c>
      <c r="C26" s="69" t="n">
        <f aca="false">TblProd[[#This Row],[Mana]]</f>
        <v>-5234</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0.65234809703984</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0</v>
      </c>
      <c r="AE26" s="26" t="n">
        <f aca="false">IF(TblMagic[[#This Row],[Harmony]],12,IF(OFFSET(TblMagic[[#This Row],[Active Harmony]],-1,0)&gt;0,OFFSET(TblMagic[[#This Row],[Active Harmony]],-1,0)-1,0))</f>
        <v>0</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-5451.5</v>
      </c>
      <c r="D27" s="149" t="n">
        <f aca="false">MIN(1,OFFSET(TblMagic[[#This Row],[Wiz str]],-1,0)+0.04+ROUNDDOWN(10*OFFSET(TblMili[[#This Row],[WG''s]],-1,0),0)+ tech_2_7*OFFSET(TblTech[[#This Row],[2-7]],-1,0) + tech_5_6*OFFSET(TblTech[[#This Row],[5-6]],-1,0) )-TblMagic[[#This Row],[Wiz str cost]]</f>
        <v>0.95</v>
      </c>
      <c r="E27" s="153" t="n">
        <f aca="false">OFFSET(TblMagic[[#This Row],[Time]],-1,0)+1/24</f>
        <v>45430.7083333333</v>
      </c>
      <c r="F27" s="149" t="n">
        <f aca="false">TblImps[[#This Row],[Population]]</f>
        <v>0.678952042628774</v>
      </c>
      <c r="G27" s="248"/>
      <c r="H27" s="248"/>
      <c r="I27" s="248"/>
      <c r="J27" s="248"/>
      <c r="K27" s="312" t="n">
        <v>1</v>
      </c>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697.5</v>
      </c>
      <c r="Y27" s="149" t="n">
        <f aca="false">SUMIF(TblMagic[[#This Row],[Gaia''s Watch]:[Useless spell]],1)*0.05</f>
        <v>0.05</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0</v>
      </c>
      <c r="AE27" s="26" t="n">
        <f aca="false">IF(TblMagic[[#This Row],[Harmony]],12,IF(OFFSET(TblMagic[[#This Row],[Active Harmony]],-1,0)&gt;0,OFFSET(TblMagic[[#This Row],[Active Harmony]],-1,0)-1,0))</f>
        <v>12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-4892.5</v>
      </c>
      <c r="D28" s="149" t="n">
        <f aca="false">MIN(1,OFFSET(TblMagic[[#This Row],[Wiz str]],-1,0)+0.04+ROUNDDOWN(10*OFFSET(TblMili[[#This Row],[WG''s]],-1,0),0)+ tech_2_7*OFFSET(TblTech[[#This Row],[2-7]],-1,0) + tech_5_6*OFFSET(TblTech[[#This Row],[5-6]],-1,0) )-TblMagic[[#This Row],[Wiz str cost]]</f>
        <v>0.99</v>
      </c>
      <c r="E28" s="153" t="n">
        <f aca="false">OFFSET(TblMagic[[#This Row],[Time]],-1,0)+1/24</f>
        <v>45430.75</v>
      </c>
      <c r="F28" s="149" t="n">
        <f aca="false">TblImps[[#This Row],[Population]]</f>
        <v>0.677646571369381</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0</v>
      </c>
      <c r="AE28" s="26" t="n">
        <f aca="false">IF(TblMagic[[#This Row],[Harmony]],12,IF(OFFSET(TblMagic[[#This Row],[Active Harmony]],-1,0)&gt;0,OFFSET(TblMagic[[#This Row],[Active Harmony]],-1,0)-1,0))</f>
        <v>11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-6587</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0.724466542365859</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0</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-6005</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0.774394033561218</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0</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-6182.5</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0.827429044955459</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1013483.5</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0.815827636212969</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993663.5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0.799577248270561</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974240.5</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0.729886968085106</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955205.5</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0.747539925794483</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936551.5</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0.764899108399812</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918270.5</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0.788926277148975</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900355.5</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0.826318188725118</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882798.5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0.860597866907015</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865592.5</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0.892814902424601</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845588</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0.941750443524542</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829126</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0.989651094027203</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811945.5</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0.990390301596688</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501</v>
      </c>
      <c r="C44" s="69" t="n">
        <f aca="false">TblProd[[#This Row],[Mana]]</f>
        <v>796156.5</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0.978348369188064</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510</v>
      </c>
      <c r="C45" s="69" t="n">
        <f aca="false">TblProd[[#This Row],[Mana]]</f>
        <v>780683.5</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0.911135693215339</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520</v>
      </c>
      <c r="C46" s="69" t="n">
        <f aca="false">TblProd[[#This Row],[Mana]]</f>
        <v>765519.5</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0.943767346446241</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530</v>
      </c>
      <c r="C47" s="69" t="n">
        <f aca="false">TblProd[[#This Row],[Mana]]</f>
        <v>750684.5</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0.982009705290567</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540</v>
      </c>
      <c r="C48" s="69" t="n">
        <f aca="false">TblProd[[#This Row],[Mana]]</f>
        <v>736295.5</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551</v>
      </c>
      <c r="C49" s="69" t="n">
        <f aca="false">TblProd[[#This Row],[Mana]]</f>
        <v>722194.5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563</v>
      </c>
      <c r="C50" s="69" t="n">
        <f aca="false">TblProd[[#This Row],[Mana]]</f>
        <v>708375.5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596</v>
      </c>
      <c r="C51" s="69" t="n">
        <f aca="false">TblProd[[#This Row],[Mana]]</f>
        <v>694832.5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629</v>
      </c>
      <c r="C52" s="69" t="n">
        <f aca="false">TblProd[[#This Row],[Mana]]</f>
        <v>681560.5</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0.998039620305407</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642</v>
      </c>
      <c r="C53" s="69" t="n">
        <f aca="false">TblProd[[#This Row],[Mana]]</f>
        <v>665344.5</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0.998141627543036</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3210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656</v>
      </c>
      <c r="C54" s="69" t="n">
        <f aca="false">TblProd[[#This Row],[Mana]]</f>
        <v>652662.5</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669</v>
      </c>
      <c r="C55" s="69" t="n">
        <f aca="false">TblProd[[#This Row],[Mana]]</f>
        <v>638562</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1672.5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680</v>
      </c>
      <c r="C56" s="69" t="n">
        <f aca="false">TblProd[[#This Row],[Mana]]</f>
        <v>626416</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692</v>
      </c>
      <c r="C57" s="69" t="n">
        <f aca="false">TblProd[[#This Row],[Mana]]</f>
        <v>614513</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700</v>
      </c>
      <c r="C58" s="69" t="n">
        <f aca="false">TblProd[[#This Row],[Mana]]</f>
        <v>602848</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700</v>
      </c>
      <c r="C59" s="69" t="n">
        <f aca="false">TblProd[[#This Row],[Mana]]</f>
        <v>591416</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700</v>
      </c>
      <c r="C60" s="69" t="n">
        <f aca="false">TblProd[[#This Row],[Mana]]</f>
        <v>580213</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700</v>
      </c>
      <c r="C61" s="69" t="n">
        <f aca="false">TblProd[[#This Row],[Mana]]</f>
        <v>569234</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700</v>
      </c>
      <c r="C62" s="69" t="n">
        <f aca="false">TblProd[[#This Row],[Mana]]</f>
        <v>558474</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700</v>
      </c>
      <c r="C63" s="69" t="n">
        <f aca="false">TblProd[[#This Row],[Mana]]</f>
        <v>547930</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700</v>
      </c>
      <c r="C64" s="69" t="n">
        <f aca="false">TblProd[[#This Row],[Mana]]</f>
        <v>537596</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700</v>
      </c>
      <c r="C65" s="69" t="n">
        <f aca="false">TblProd[[#This Row],[Mana]]</f>
        <v>523969</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3500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700</v>
      </c>
      <c r="C66" s="69" t="n">
        <f aca="false">TblProd[[#This Row],[Mana]]</f>
        <v>514115</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700</v>
      </c>
      <c r="C67" s="69" t="n">
        <f aca="false">TblProd[[#This Row],[Mana]]</f>
        <v>502708</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1750</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700</v>
      </c>
      <c r="C68" s="69" t="n">
        <f aca="false">TblProd[[#This Row],[Mana]]</f>
        <v>493279</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700</v>
      </c>
      <c r="C69" s="69" t="n">
        <f aca="false">TblProd[[#This Row],[Mana]]</f>
        <v>484038</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700</v>
      </c>
      <c r="C70" s="69" t="n">
        <f aca="false">TblProd[[#This Row],[Mana]]</f>
        <v>475082</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700</v>
      </c>
      <c r="C71" s="69" t="n">
        <f aca="false">TblProd[[#This Row],[Mana]]</f>
        <v>466305</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700</v>
      </c>
      <c r="C72" s="69" t="n">
        <f aca="false">TblProd[[#This Row],[Mana]]</f>
        <v>457704</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700</v>
      </c>
      <c r="C73" s="69" t="n">
        <f aca="false">TblProd[[#This Row],[Mana]]</f>
        <v>449275</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700</v>
      </c>
      <c r="C74" s="69" t="n">
        <f aca="false">TblProd[[#This Row],[Mana]]</f>
        <v>441014</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700</v>
      </c>
      <c r="C75" s="69" t="n">
        <f aca="false">TblProd[[#This Row],[Mana]]</f>
        <v>432919</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700</v>
      </c>
      <c r="C76" s="226" t="n">
        <f aca="false">TblProd[[#This Row],[Mana]]</f>
        <v>417986</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700</v>
      </c>
      <c r="C77" s="69" t="n">
        <f aca="false">TblProd[[#This Row],[Mana]]</f>
        <v>410351</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700</v>
      </c>
      <c r="C78" s="69" t="n">
        <f aca="false">TblProd[[#This Row],[Mana]]</f>
        <v>402869</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700</v>
      </c>
      <c r="C79" s="69" t="n">
        <f aca="false">TblProd[[#This Row],[Mana]]</f>
        <v>395537</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700</v>
      </c>
      <c r="C80" s="69" t="n">
        <f aca="false">TblProd[[#This Row],[Mana]]</f>
        <v>388351</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700</v>
      </c>
      <c r="C81" s="69" t="n">
        <f aca="false">TblProd[[#This Row],[Mana]]</f>
        <v>381309</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700</v>
      </c>
      <c r="C82" s="69" t="n">
        <f aca="false">TblProd[[#This Row],[Mana]]</f>
        <v>374408</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700</v>
      </c>
      <c r="C83" s="69" t="n">
        <f aca="false">TblProd[[#This Row],[Mana]]</f>
        <v>367645</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700</v>
      </c>
      <c r="C84" s="69" t="n">
        <f aca="false">TblProd[[#This Row],[Mana]]</f>
        <v>361017</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700</v>
      </c>
      <c r="C85" s="69" t="n">
        <f aca="false">TblProd[[#This Row],[Mana]]</f>
        <v>354522</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700</v>
      </c>
      <c r="C86" s="69" t="n">
        <f aca="false">TblProd[[#This Row],[Mana]]</f>
        <v>348157</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700</v>
      </c>
      <c r="C87" s="69" t="n">
        <f aca="false">TblProd[[#This Row],[Mana]]</f>
        <v>341919</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700</v>
      </c>
      <c r="C88" s="69" t="n">
        <f aca="false">TblProd[[#This Row],[Mana]]</f>
        <v>328806</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700</v>
      </c>
      <c r="C89" s="69" t="n">
        <f aca="false">TblProd[[#This Row],[Mana]]</f>
        <v>322955</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700</v>
      </c>
      <c r="C90" s="69" t="n">
        <f aca="false">TblProd[[#This Row],[Mana]]</f>
        <v>317221</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700</v>
      </c>
      <c r="C91" s="69" t="n">
        <f aca="false">TblProd[[#This Row],[Mana]]</f>
        <v>311602</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700</v>
      </c>
      <c r="C92" s="69" t="n">
        <f aca="false">TblProd[[#This Row],[Mana]]</f>
        <v>306095</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700</v>
      </c>
      <c r="C93" s="69" t="n">
        <f aca="false">TblProd[[#This Row],[Mana]]</f>
        <v>300698</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700</v>
      </c>
      <c r="C94" s="69" t="n">
        <f aca="false">TblProd[[#This Row],[Mana]]</f>
        <v>295409</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700</v>
      </c>
      <c r="C95" s="69" t="n">
        <f aca="false">TblProd[[#This Row],[Mana]]</f>
        <v>290226</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700</v>
      </c>
      <c r="C96" s="69" t="n">
        <f aca="false">TblProd[[#This Row],[Mana]]</f>
        <v>285146</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700</v>
      </c>
      <c r="C97" s="69" t="n">
        <f aca="false">TblProd[[#This Row],[Mana]]</f>
        <v>280168</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700</v>
      </c>
      <c r="C98" s="69" t="n">
        <f aca="false">TblProd[[#This Row],[Mana]]</f>
        <v>275290</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700</v>
      </c>
      <c r="C99" s="69" t="n">
        <f aca="false">TblProd[[#This Row],[Mana]]</f>
        <v>270509</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700</v>
      </c>
      <c r="C100" s="69" t="n">
        <f aca="false">TblProd[[#This Row],[Mana]]</f>
        <v>258824</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700</v>
      </c>
      <c r="C101" s="69" t="n">
        <f aca="false">TblProd[[#This Row],[Mana]]</f>
        <v>254373</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700</v>
      </c>
      <c r="C102" s="69" t="n">
        <f aca="false">TblProd[[#This Row],[Mana]]</f>
        <v>250011</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700</v>
      </c>
      <c r="C103" s="69" t="n">
        <f aca="false">TblProd[[#This Row],[Mana]]</f>
        <v>245736</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700</v>
      </c>
      <c r="C104" s="69" t="n">
        <f aca="false">TblProd[[#This Row],[Mana]]</f>
        <v>241546</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700</v>
      </c>
      <c r="C105" s="69" t="n">
        <f aca="false">TblProd[[#This Row],[Mana]]</f>
        <v>237440</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700</v>
      </c>
      <c r="C106" s="69" t="n">
        <f aca="false">TblProd[[#This Row],[Mana]]</f>
        <v>233416</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700</v>
      </c>
      <c r="C107" s="69" t="n">
        <f aca="false">TblProd[[#This Row],[Mana]]</f>
        <v>229473</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700</v>
      </c>
      <c r="C108" s="69" t="n">
        <f aca="false">TblProd[[#This Row],[Mana]]</f>
        <v>225609</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700</v>
      </c>
      <c r="C109" s="69" t="n">
        <f aca="false">TblProd[[#This Row],[Mana]]</f>
        <v>221822</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700</v>
      </c>
      <c r="C110" s="69" t="n">
        <f aca="false">TblProd[[#This Row],[Mana]]</f>
        <v>218111</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700</v>
      </c>
      <c r="C111" s="69" t="n">
        <f aca="false">TblProd[[#This Row],[Mana]]</f>
        <v>214474</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700</v>
      </c>
      <c r="C112" s="69" t="n">
        <f aca="false">TblProd[[#This Row],[Mana]]</f>
        <v>210910</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700</v>
      </c>
      <c r="C113" s="69" t="n">
        <f aca="false">TblProd[[#This Row],[Mana]]</f>
        <v>207417</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700</v>
      </c>
      <c r="C114" s="69" t="n">
        <f aca="false">TblProd[[#This Row],[Mana]]</f>
        <v>203994</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700</v>
      </c>
      <c r="C115" s="69" t="n">
        <f aca="false">TblProd[[#This Row],[Mana]]</f>
        <v>200639</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700</v>
      </c>
      <c r="C116" s="69" t="n">
        <f aca="false">TblProd[[#This Row],[Mana]]</f>
        <v>197351</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700</v>
      </c>
      <c r="C117" s="69" t="n">
        <f aca="false">TblProd[[#This Row],[Mana]]</f>
        <v>194129</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700</v>
      </c>
      <c r="C118" s="69" t="n">
        <f aca="false">TblProd[[#This Row],[Mana]]</f>
        <v>190971</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700</v>
      </c>
      <c r="C119" s="69" t="n">
        <f aca="false">TblProd[[#This Row],[Mana]]</f>
        <v>187877</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700</v>
      </c>
      <c r="C120" s="69" t="n">
        <f aca="false">TblProd[[#This Row],[Mana]]</f>
        <v>184844</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700</v>
      </c>
      <c r="C121" s="69" t="n">
        <f aca="false">TblProd[[#This Row],[Mana]]</f>
        <v>181872</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700</v>
      </c>
      <c r="C122" s="69" t="n">
        <f aca="false">TblProd[[#This Row],[Mana]]</f>
        <v>178960</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700</v>
      </c>
      <c r="C123" s="69" t="n">
        <f aca="false">TblProd[[#This Row],[Mana]]</f>
        <v>176106</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700</v>
      </c>
      <c r="C124" s="69" t="n">
        <f aca="false">TblProd[[#This Row],[Mana]]</f>
        <v>173309</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700</v>
      </c>
      <c r="C125" s="69" t="n">
        <f aca="false">TblProd[[#This Row],[Mana]]</f>
        <v>170568</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700</v>
      </c>
      <c r="C126" s="69" t="n">
        <f aca="false">TblProd[[#This Row],[Mana]]</f>
        <v>167882</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700</v>
      </c>
      <c r="C127" s="69" t="n">
        <f aca="false">TblProd[[#This Row],[Mana]]</f>
        <v>165249</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700</v>
      </c>
      <c r="C128" s="69" t="n">
        <f aca="false">TblProd[[#This Row],[Mana]]</f>
        <v>162669</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700</v>
      </c>
      <c r="C129" s="69" t="n">
        <f aca="false">TblProd[[#This Row],[Mana]]</f>
        <v>160141</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700</v>
      </c>
      <c r="C130" s="69" t="n">
        <f aca="false">TblProd[[#This Row],[Mana]]</f>
        <v>157663</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700</v>
      </c>
      <c r="C131" s="69" t="n">
        <f aca="false">TblProd[[#This Row],[Mana]]</f>
        <v>155235</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700</v>
      </c>
      <c r="C132" s="69" t="n">
        <f aca="false">TblProd[[#This Row],[Mana]]</f>
        <v>152855</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700</v>
      </c>
      <c r="C133" s="69" t="n">
        <f aca="false">TblProd[[#This Row],[Mana]]</f>
        <v>150523</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700</v>
      </c>
      <c r="C134" s="69" t="n">
        <f aca="false">TblProd[[#This Row],[Mana]]</f>
        <v>148238</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700</v>
      </c>
      <c r="C135" s="69" t="n">
        <f aca="false">TblProd[[#This Row],[Mana]]</f>
        <v>145998</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700</v>
      </c>
      <c r="C136" s="69" t="n">
        <f aca="false">TblProd[[#This Row],[Mana]]</f>
        <v>143803</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1</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6">
      <formula>ROW()-3=$C$1270</formula>
    </cfRule>
    <cfRule type="expression" priority="3" aboveAverage="0" equalAverage="0" bottom="0" percent="0" rank="0" text="" dxfId="97">
      <formula>OR(ROW()-3=$C$1270,A4&lt;0)</formula>
    </cfRule>
    <cfRule type="expression" priority="4" aboveAverage="0" equalAverage="0" bottom="0" percent="0" rank="0" text="" dxfId="98">
      <formula>$A4=73</formula>
    </cfRule>
    <cfRule type="expression" priority="5" aboveAverage="0" equalAverage="0" bottom="0" percent="0" rank="0" text="" dxfId="99">
      <formula>ROUND(($A4-1)/12,0)=INT($A4-1)/12</formula>
    </cfRule>
  </conditionalFormatting>
  <conditionalFormatting sqref="G16:V136">
    <cfRule type="expression" priority="6" aboveAverage="0" equalAverage="0" bottom="0" percent="0" rank="0" text="" dxfId="100">
      <formula>COUNTA(G5:G16)&gt;0</formula>
    </cfRule>
  </conditionalFormatting>
  <conditionalFormatting sqref="A3:XFD3 A2:N2 A1:S1 U1:XFD1 P2:XFD2">
    <cfRule type="expression" priority="7" aboveAverage="0" equalAverage="0" bottom="0" percent="0" rank="0" text="" dxfId="101">
      <formula>$C$1270&lt;0</formula>
    </cfRule>
  </conditionalFormatting>
  <conditionalFormatting sqref="Y18614:AN29782 B12459:C20616 AO18583:IW29751 AO8199:IW8199 B8250:AN8250">
    <cfRule type="expression" priority="8" aboveAverage="0" equalAverage="0" bottom="0" percent="0" rank="0" text="" dxfId="102">
      <formula>ROW(-2=#ref!)</formula>
    </cfRule>
  </conditionalFormatting>
  <conditionalFormatting sqref="A1269:XFD1270">
    <cfRule type="expression" priority="9" aboveAverage="0" equalAverage="0" bottom="0" percent="0" rank="0" text="" dxfId="103">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A2756289-E1A6-4D5F-A210-4CDDA280FA15}">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N31" activeCellId="0" sqref="N31"/>
    </sheetView>
  </sheetViews>
  <sheetFormatPr defaultColWidth="30.4335937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v>45292</v>
      </c>
      <c r="N31" s="329" t="n">
        <v>45293</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501</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510</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520</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530</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540</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551</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563</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576</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609</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642</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656</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669</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680</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692</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700</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700</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700</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700</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700</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700</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700</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700</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700</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700</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700</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700</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700</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700</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700</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700</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700</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700</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700</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700</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700</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700</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700</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700</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700</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700</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700</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700</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700</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700</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700</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700</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700</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700</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700</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700</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700</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700</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700</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700</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700</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700</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700</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700</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700</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700</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700</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700</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700</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700</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700</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700</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700</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700</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700</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700</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700</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700</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700</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700</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700</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700</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700</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700</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700</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700</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700</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700</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700</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700</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700</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700</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700</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700</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700</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700</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700</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700</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700</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B5C32EC5-8161-4057-9F2F-DE56898C233D}">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2F6631C6-9B16-49B9-8F8A-F334A8E41298}">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false" showOutlineSymbols="true" defaultGridColor="true" view="normal" topLeftCell="AK1" colorId="64" zoomScale="85" zoomScaleNormal="85" zoomScalePageLayoutView="100" workbookViewId="0">
      <pane xSplit="0" ySplit="3" topLeftCell="A4" activePane="bottomLeft" state="frozen"/>
      <selection pane="topLeft" activeCell="AK1" activeCellId="0" sqref="AK1"/>
      <selection pane="bottomLeft" activeCell="CB5" activeCellId="0" sqref="CB5"/>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2" t="n">
        <f aca="false">Overview!E15</f>
        <v>45429.75</v>
      </c>
      <c r="BZ4" s="343" t="n">
        <f aca="false">Overview!B15</f>
        <v>45430</v>
      </c>
      <c r="CA4" s="26"/>
      <c r="CB4" s="344"/>
      <c r="CC4" s="345"/>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1</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 s="33" t="n">
        <f aca="false">TblImps[[#This Row],[Login]]</f>
        <v>1</v>
      </c>
      <c r="BX5" s="128"/>
      <c r="BY5" s="346" t="n">
        <f aca="false">OFFSET(TblImps[[#This Row],[Real time]],-1,0)+1/24</f>
        <v>45429.7916666667</v>
      </c>
      <c r="BZ5" s="347" t="n">
        <f aca="false">OFFSET(TblImps[[#This Row],[Servertime]],-1,0)+1/24</f>
        <v>45430.0416666667</v>
      </c>
      <c r="CA5" s="26"/>
      <c r="CB5" s="345"/>
      <c r="CC5" s="345"/>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1</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 s="33" t="n">
        <f aca="false">TblImps[[#This Row],[Login]]</f>
        <v>1</v>
      </c>
      <c r="BX6" s="128"/>
      <c r="BY6" s="346" t="n">
        <f aca="false">OFFSET(TblImps[[#This Row],[Real time]],-1,0)+1/24</f>
        <v>45429.8333333333</v>
      </c>
      <c r="BZ6" s="347" t="n">
        <f aca="false">OFFSET(TblImps[[#This Row],[Servertime]],-1,0)+1/24</f>
        <v>45430.0833333333</v>
      </c>
      <c r="CA6" s="26"/>
      <c r="CB6" s="345"/>
      <c r="CC6" s="345"/>
      <c r="CF6" s="348"/>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1</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 s="33" t="n">
        <f aca="false">TblImps[[#This Row],[Login]]</f>
        <v>1</v>
      </c>
      <c r="BX7" s="128"/>
      <c r="BY7" s="346" t="n">
        <f aca="false">OFFSET(TblImps[[#This Row],[Real time]],-1,0)+1/24</f>
        <v>45429.875</v>
      </c>
      <c r="BZ7" s="347" t="n">
        <f aca="false">OFFSET(TblImps[[#This Row],[Servertime]],-1,0)+1/24</f>
        <v>45430.125</v>
      </c>
      <c r="CA7" s="26"/>
      <c r="CB7" s="345"/>
      <c r="CC7" s="345"/>
      <c r="CF7" s="349"/>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1</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 s="33" t="n">
        <f aca="false">TblImps[[#This Row],[Login]]</f>
        <v>1</v>
      </c>
      <c r="BX8" s="128"/>
      <c r="BY8" s="346" t="n">
        <f aca="false">OFFSET(TblImps[[#This Row],[Real time]],-1,0)+1/24</f>
        <v>45429.9166666667</v>
      </c>
      <c r="BZ8" s="347" t="n">
        <f aca="false">OFFSET(TblImps[[#This Row],[Servertime]],-1,0)+1/24</f>
        <v>45430.1666666667</v>
      </c>
      <c r="CA8" s="26"/>
      <c r="CB8" s="345"/>
      <c r="CC8" s="345"/>
      <c r="CF8" s="348"/>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6" t="n">
        <f aca="false">OFFSET(TblImps[[#This Row],[Real time]],-1,0)+1/24</f>
        <v>45429.9583333333</v>
      </c>
      <c r="BZ9" s="347" t="n">
        <f aca="false">OFFSET(TblImps[[#This Row],[Servertime]],-1,0)+1/24</f>
        <v>45430.2083333333</v>
      </c>
      <c r="CA9" s="26"/>
      <c r="CB9" s="345"/>
      <c r="CC9" s="345"/>
      <c r="CF9" s="348"/>
    </row>
    <row r="10" customFormat="false" ht="12.75" hidden="false" customHeight="false" outlineLevel="0" collapsed="false">
      <c r="A10" s="181" t="n">
        <f aca="false">TblConstr[[#This Row],[Land]]</f>
        <v>250</v>
      </c>
      <c r="B10" s="132"/>
      <c r="C10" s="69" t="n">
        <f aca="false">TblProd[[#This Row],[Platinum]]</f>
        <v>21502</v>
      </c>
      <c r="D10" s="69" t="n">
        <f aca="false">TblProd[[#This Row],[Lumber]]</f>
        <v>100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6" t="n">
        <f aca="false">OFFSET(TblImps[[#This Row],[Real time]],-1,0)+1/24</f>
        <v>45430</v>
      </c>
      <c r="BZ10" s="347" t="n">
        <f aca="false">OFFSET(TblImps[[#This Row],[Servertime]],-1,0)+1/24</f>
        <v>45430.25</v>
      </c>
      <c r="CA10" s="26"/>
      <c r="CB10" s="345"/>
      <c r="CC10" s="345"/>
    </row>
    <row r="11" customFormat="false" ht="12.75" hidden="false" customHeight="false" outlineLevel="0" collapsed="false">
      <c r="A11" s="181" t="n">
        <f aca="false">TblConstr[[#This Row],[Land]]</f>
        <v>250</v>
      </c>
      <c r="B11" s="132"/>
      <c r="C11" s="69" t="n">
        <f aca="false">TblProd[[#This Row],[Platinum]]</f>
        <v>26399</v>
      </c>
      <c r="D11" s="69" t="n">
        <f aca="false">TblProd[[#This Row],[Lumber]]</f>
        <v>199</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6" t="n">
        <f aca="false">OFFSET(TblImps[[#This Row],[Real time]],-1,0)+1/24</f>
        <v>45430.0416666667</v>
      </c>
      <c r="BZ11" s="347" t="n">
        <f aca="false">OFFSET(TblImps[[#This Row],[Servertime]],-1,0)+1/24</f>
        <v>45430.2916666667</v>
      </c>
      <c r="CA11" s="26"/>
      <c r="CB11" s="345"/>
      <c r="CC11" s="345"/>
    </row>
    <row r="12" customFormat="false" ht="12.75" hidden="false" customHeight="false" outlineLevel="0" collapsed="false">
      <c r="A12" s="181" t="n">
        <f aca="false">TblConstr[[#This Row],[Land]]</f>
        <v>250</v>
      </c>
      <c r="B12" s="132"/>
      <c r="C12" s="69" t="n">
        <f aca="false">TblProd[[#This Row],[Platinum]]</f>
        <v>32177</v>
      </c>
      <c r="D12" s="69" t="n">
        <f aca="false">TblProd[[#This Row],[Lumber]]</f>
        <v>297</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6" t="n">
        <f aca="false">OFFSET(TblImps[[#This Row],[Real time]],-1,0)+1/24</f>
        <v>45430.0833333333</v>
      </c>
      <c r="BZ12" s="347" t="n">
        <f aca="false">OFFSET(TblImps[[#This Row],[Servertime]],-1,0)+1/24</f>
        <v>45430.3333333333</v>
      </c>
      <c r="CA12" s="26"/>
      <c r="CB12" s="345"/>
      <c r="CC12" s="345"/>
    </row>
    <row r="13" customFormat="false" ht="12.75" hidden="false" customHeight="false" outlineLevel="0" collapsed="false">
      <c r="A13" s="181" t="n">
        <f aca="false">TblConstr[[#This Row],[Land]]</f>
        <v>250</v>
      </c>
      <c r="B13" s="132"/>
      <c r="C13" s="69" t="n">
        <f aca="false">TblProd[[#This Row],[Platinum]]</f>
        <v>38394</v>
      </c>
      <c r="D13" s="69" t="n">
        <f aca="false">TblProd[[#This Row],[Lumber]]</f>
        <v>594</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6" t="n">
        <f aca="false">OFFSET(TblImps[[#This Row],[Real time]],-1,0)+1/24</f>
        <v>45430.125</v>
      </c>
      <c r="BZ13" s="347" t="n">
        <f aca="false">OFFSET(TblImps[[#This Row],[Servertime]],-1,0)+1/24</f>
        <v>45430.375</v>
      </c>
      <c r="CA13" s="26"/>
      <c r="CB13" s="345"/>
      <c r="CC13" s="345"/>
    </row>
    <row r="14" customFormat="false" ht="12.75" hidden="false" customHeight="false" outlineLevel="0" collapsed="false">
      <c r="A14" s="181" t="n">
        <f aca="false">TblConstr[[#This Row],[Land]]</f>
        <v>250</v>
      </c>
      <c r="B14" s="132"/>
      <c r="C14" s="69" t="n">
        <f aca="false">TblProd[[#This Row],[Platinum]]</f>
        <v>44502.5</v>
      </c>
      <c r="D14" s="69" t="n">
        <f aca="false">TblProd[[#This Row],[Lumber]]</f>
        <v>1291</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6" t="n">
        <f aca="false">OFFSET(TblImps[[#This Row],[Real time]],-1,0)+1/24</f>
        <v>45430.1666666667</v>
      </c>
      <c r="BZ14" s="347" t="n">
        <f aca="false">OFFSET(TblImps[[#This Row],[Servertime]],-1,0)+1/24</f>
        <v>45430.4166666667</v>
      </c>
      <c r="CA14" s="26"/>
      <c r="CB14" s="345"/>
      <c r="CC14" s="345"/>
    </row>
    <row r="15" customFormat="false" ht="12.75" hidden="false" customHeight="false" outlineLevel="0" collapsed="false">
      <c r="A15" s="181" t="n">
        <f aca="false">TblConstr[[#This Row],[Land]]</f>
        <v>250</v>
      </c>
      <c r="B15" s="132"/>
      <c r="C15" s="69" t="n">
        <f aca="false">TblProd[[#This Row],[Platinum]]</f>
        <v>53587</v>
      </c>
      <c r="D15" s="69" t="n">
        <f aca="false">TblProd[[#This Row],[Lumber]]</f>
        <v>2278</v>
      </c>
      <c r="E15" s="69" t="n">
        <f aca="false">TblProd[[#This Row],[Ore]]</f>
        <v>-357</v>
      </c>
      <c r="F15" s="69" t="n">
        <f aca="false">TblProd[[#This Row],[Gems]]</f>
        <v>-1000</v>
      </c>
      <c r="G15" s="146"/>
      <c r="H15" s="69" t="n">
        <f aca="false">TblMili[[#This Row],[Draftees]]</f>
        <v>342</v>
      </c>
      <c r="I15" s="130" t="n">
        <f aca="false">TblPop[[#This Row],[Employment]]</f>
        <v>1</v>
      </c>
      <c r="J15" s="130" t="n">
        <f aca="false">TblPop[[#This Row],[Total]]/TblPop[[#This Row],[Net max]]</f>
        <v>0.50413009808983</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c r="Q15" s="338" t="s">
        <v>734</v>
      </c>
      <c r="R15" s="338" t="s">
        <v>93</v>
      </c>
      <c r="S15" s="339"/>
      <c r="T15" s="338" t="s">
        <v>734</v>
      </c>
      <c r="U15" s="338" t="s">
        <v>35</v>
      </c>
      <c r="V15" s="339"/>
      <c r="W15" s="338" t="s">
        <v>734</v>
      </c>
      <c r="X15" s="132"/>
      <c r="Y15" s="340" t="n">
        <f aca="false">science_cap*(1-EXP(-TblImps[[#This Row],[Σ Science]]/(science_param*(OFFSET(TblImps[[#This Row],[Land]],1,0)-OFFSET(TblExplore[[#This Row],[Land Bonus]],1,0)*20)+15000)))*(1+(mason_bonus*TblConstr[[#This Row],[Tot Mas]]/TblConstr[[#This Row],[Land (2)]]))</f>
        <v>0</v>
      </c>
      <c r="Z15" s="340" t="n">
        <f aca="false">keep_cap*(1-EXP(-TblImps[[#This Row],[Σ Keep]]/(keep_param*(OFFSET(TblImps[[#This Row],[Land]],1,0)-OFFSET(TblExplore[[#This Row],[Land Bonus]],1,0)*20)+15000)))*(1+(mason_bonus*TblConstr[[#This Row],[Tot Mas]]/TblConstr[[#This Row],[Land (2)]]))</f>
        <v>0</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0</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0</v>
      </c>
      <c r="AG15" s="33" t="n">
        <f aca="false">(1+Overview!$I$28)*SUM(TblImps[[#This Row],[P3]:[G3]])+OFFSET(TblImps[[#This Row],[Σ Keep]],-1,0)</f>
        <v>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0</v>
      </c>
      <c r="AO15" s="26" t="n">
        <f aca="false">IF(AND(TblImps[[#This Row],[Resource]]=AO$2,TblImps[[#This Row],[Part]]&lt;&gt;""),TblImps[[#This Row],[Amount]]) + IF(AND(TblImps[[#This Row],[Resource 2]]=AO$2,TblImps[[#This Row],[Part 2]]&lt;&gt;""),TblImps[[#This Row],[Amount 2]]) + IF(AND(TblImps[[#This Row],[Resource 3]]=AO$2,TblImps[[#This Row],[Part 3]]&lt;&gt;""),TblImps[[#This Row],[Amount 3]])</f>
        <v>0</v>
      </c>
      <c r="AP15" s="26" t="n">
        <f aca="false">IF(AND(TblImps[[#This Row],[Resource]]=AP$2,TblImps[[#This Row],[Part]]&lt;&gt;""),TblImps[[#This Row],[Amount]]) + IF(AND(TblImps[[#This Row],[Resource 2]]=AP$2,TblImps[[#This Row],[Part 2]]&lt;&gt;""),TblImps[[#This Row],[Amount 2]]) + IF(AND(TblImps[[#This Row],[Resource 3]]=AP$2,TblImps[[#This Row],[Part 3]]&lt;&gt;""),TblImps[[#This Row],[Amount 3]])</f>
        <v>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6" t="n">
        <f aca="false">OFFSET(TblImps[[#This Row],[Real time]],-1,0)+1/24</f>
        <v>45430.2083333333</v>
      </c>
      <c r="BZ15" s="347" t="n">
        <f aca="false">OFFSET(TblImps[[#This Row],[Servertime]],-1,0)+1/24</f>
        <v>45430.4583333333</v>
      </c>
      <c r="CA15" s="26"/>
      <c r="CB15" s="345"/>
      <c r="CC15" s="345"/>
    </row>
    <row r="16" customFormat="false" ht="12.75" hidden="false" customHeight="false" outlineLevel="0" collapsed="false">
      <c r="A16" s="181" t="n">
        <f aca="false">TblConstr[[#This Row],[Land]]</f>
        <v>250</v>
      </c>
      <c r="B16" s="132"/>
      <c r="C16" s="69" t="n">
        <f aca="false">TblProd[[#This Row],[Platinum]]</f>
        <v>39408</v>
      </c>
      <c r="D16" s="69" t="n">
        <f aca="false">TblProd[[#This Row],[Lumber]]</f>
        <v>395</v>
      </c>
      <c r="E16" s="69" t="n">
        <f aca="false">TblProd[[#This Row],[Ore]]</f>
        <v>-357</v>
      </c>
      <c r="F16" s="69" t="n">
        <f aca="false">TblProd[[#This Row],[Gems]]</f>
        <v>-1000</v>
      </c>
      <c r="G16" s="146"/>
      <c r="H16" s="69" t="n">
        <f aca="false">TblMili[[#This Row],[Draftees]]</f>
        <v>358</v>
      </c>
      <c r="I16" s="130" t="n">
        <f aca="false">TblPop[[#This Row],[Employment]]</f>
        <v>1</v>
      </c>
      <c r="J16" s="130" t="n">
        <f aca="false">TblPop[[#This Row],[Total]]/TblPop[[#This Row],[Net max]]</f>
        <v>0.530459473412494</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0</v>
      </c>
      <c r="Z16" s="340" t="n">
        <f aca="false">keep_cap*(1-EXP(-TblImps[[#This Row],[Σ Keep]]/(keep_param*(OFFSET(TblImps[[#This Row],[Land]],1,0)-OFFSET(TblExplore[[#This Row],[Land Bonus]],1,0)*20)+15000)))*(1+(mason_bonus*TblConstr[[#This Row],[Tot Mas]]/TblConstr[[#This Row],[Land (2)]]))</f>
        <v>0</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0</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0</v>
      </c>
      <c r="AG16" s="33" t="n">
        <f aca="false">(1+Overview!$I$28)*SUM(TblImps[[#This Row],[P3]:[G3]])+OFFSET(TblImps[[#This Row],[Σ Keep]],-1,0)</f>
        <v>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6" t="n">
        <f aca="false">OFFSET(TblImps[[#This Row],[Real time]],-1,0)+1/24</f>
        <v>45430.25</v>
      </c>
      <c r="BZ16" s="347" t="n">
        <f aca="false">OFFSET(TblImps[[#This Row],[Servertime]],-1,0)+1/24</f>
        <v>45430.5</v>
      </c>
      <c r="CA16" s="26"/>
      <c r="CB16" s="345"/>
      <c r="CC16" s="345"/>
    </row>
    <row r="17" customFormat="false" ht="12.75" hidden="false" customHeight="false" outlineLevel="0" collapsed="false">
      <c r="A17" s="181" t="n">
        <f aca="false">TblConstr[[#This Row],[Land]]</f>
        <v>250</v>
      </c>
      <c r="B17" s="132"/>
      <c r="C17" s="69" t="n">
        <f aca="false">TblProd[[#This Row],[Platinum]]</f>
        <v>49346</v>
      </c>
      <c r="D17" s="69" t="n">
        <f aca="false">TblProd[[#This Row],[Lumber]]</f>
        <v>1391</v>
      </c>
      <c r="E17" s="69" t="n">
        <f aca="false">TblProd[[#This Row],[Ore]]</f>
        <v>-357</v>
      </c>
      <c r="F17" s="69" t="n">
        <f aca="false">TblProd[[#This Row],[Gems]]</f>
        <v>-1000</v>
      </c>
      <c r="G17" s="146"/>
      <c r="H17" s="69" t="n">
        <f aca="false">TblMili[[#This Row],[Draftees]]</f>
        <v>375</v>
      </c>
      <c r="I17" s="130" t="n">
        <f aca="false">TblPop[[#This Row],[Employment]]</f>
        <v>1</v>
      </c>
      <c r="J17" s="130" t="n">
        <f aca="false">TblPop[[#This Row],[Total]]/TblPop[[#This Row],[Net max]]</f>
        <v>0.535678889990089</v>
      </c>
      <c r="K17" s="336" t="n">
        <f aca="false">TblRezone[[#This Row],[Hour]]</f>
        <v>14</v>
      </c>
      <c r="L17" s="337" t="n">
        <f aca="false">TblImps[[#This Row],[Real time]]</f>
        <v>45430.2916666667</v>
      </c>
      <c r="M17" s="33" t="n">
        <f aca="false">IF(ISERROR(TblImps[[#This Row],[algorithm]]),0,TblImps[[#This Row],[algorithm]]*1)</f>
        <v>0</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0</v>
      </c>
      <c r="Z17" s="340" t="n">
        <f aca="false">keep_cap*(1-EXP(-TblImps[[#This Row],[Σ Keep]]/(keep_param*(OFFSET(TblImps[[#This Row],[Land]],1,0)-OFFSET(TblExplore[[#This Row],[Land Bonus]],1,0)*20)+15000)))*(1+(mason_bonus*TblConstr[[#This Row],[Tot Mas]]/TblConstr[[#This Row],[Land (2)]]))</f>
        <v>0</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0</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0</v>
      </c>
      <c r="AG17" s="33" t="n">
        <f aca="false">(1+Overview!$I$28)*SUM(TblImps[[#This Row],[P3]:[G3]])+OFFSET(TblImps[[#This Row],[Σ Keep]],-1,0)</f>
        <v>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33" t="n">
        <f aca="false">TblImps[[#This Row],[Login]]</f>
        <v>0</v>
      </c>
      <c r="BX17" s="128"/>
      <c r="BY17" s="346" t="n">
        <f aca="false">OFFSET(TblImps[[#This Row],[Real time]],-1,0)+1/24</f>
        <v>45430.2916666667</v>
      </c>
      <c r="BZ17" s="347" t="n">
        <f aca="false">OFFSET(TblImps[[#This Row],[Servertime]],-1,0)+1/24</f>
        <v>45430.5416666667</v>
      </c>
      <c r="CA17" s="26"/>
      <c r="CB17" s="345"/>
      <c r="CC17" s="345"/>
      <c r="CD17" s="153"/>
    </row>
    <row r="18" customFormat="false" ht="12.75" hidden="false" customHeight="false" outlineLevel="0" collapsed="false">
      <c r="A18" s="181" t="n">
        <f aca="false">TblConstr[[#This Row],[Land]]</f>
        <v>250</v>
      </c>
      <c r="B18" s="132"/>
      <c r="C18" s="69" t="n">
        <f aca="false">TblProd[[#This Row],[Platinum]]</f>
        <v>59563</v>
      </c>
      <c r="D18" s="69" t="n">
        <f aca="false">TblProd[[#This Row],[Lumber]]</f>
        <v>2377</v>
      </c>
      <c r="E18" s="69" t="n">
        <f aca="false">TblProd[[#This Row],[Ore]]</f>
        <v>-357</v>
      </c>
      <c r="F18" s="69" t="n">
        <f aca="false">TblProd[[#This Row],[Gems]]</f>
        <v>-1000</v>
      </c>
      <c r="G18" s="146"/>
      <c r="H18" s="69" t="n">
        <f aca="false">TblMili[[#This Row],[Draftees]]</f>
        <v>393</v>
      </c>
      <c r="I18" s="130" t="n">
        <f aca="false">TblPop[[#This Row],[Employment]]</f>
        <v>1</v>
      </c>
      <c r="J18" s="130" t="n">
        <f aca="false">TblPop[[#This Row],[Total]]/TblPop[[#This Row],[Net max]]</f>
        <v>0.563676907829534</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0</v>
      </c>
      <c r="Z18" s="340" t="n">
        <f aca="false">keep_cap*(1-EXP(-TblImps[[#This Row],[Σ Keep]]/(keep_param*(OFFSET(TblImps[[#This Row],[Land]],1,0)-OFFSET(TblExplore[[#This Row],[Land Bonus]],1,0)*20)+15000)))*(1+(mason_bonus*TblConstr[[#This Row],[Tot Mas]]/TblConstr[[#This Row],[Land (2)]]))</f>
        <v>0</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0</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0</v>
      </c>
      <c r="AG18" s="33" t="n">
        <f aca="false">(1+Overview!$I$28)*SUM(TblImps[[#This Row],[P3]:[G3]])+OFFSET(TblImps[[#This Row],[Σ Keep]],-1,0)</f>
        <v>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6" t="n">
        <f aca="false">OFFSET(TblImps[[#This Row],[Real time]],-1,0)+1/24</f>
        <v>45430.3333333333</v>
      </c>
      <c r="BZ18" s="347" t="n">
        <f aca="false">OFFSET(TblImps[[#This Row],[Servertime]],-1,0)+1/24</f>
        <v>45430.5833333333</v>
      </c>
      <c r="CA18" s="350"/>
      <c r="CB18" s="345"/>
      <c r="CC18" s="345"/>
      <c r="CF18" s="348"/>
    </row>
    <row r="19" customFormat="false" ht="12.75" hidden="false" customHeight="false" outlineLevel="0" collapsed="false">
      <c r="A19" s="181" t="n">
        <f aca="false">TblConstr[[#This Row],[Land]]</f>
        <v>250</v>
      </c>
      <c r="B19" s="132"/>
      <c r="C19" s="69" t="n">
        <f aca="false">TblProd[[#This Row],[Platinum]]</f>
        <v>70075</v>
      </c>
      <c r="D19" s="69" t="n">
        <f aca="false">TblProd[[#This Row],[Lumber]]</f>
        <v>3353</v>
      </c>
      <c r="E19" s="69" t="n">
        <f aca="false">TblProd[[#This Row],[Ore]]</f>
        <v>-357</v>
      </c>
      <c r="F19" s="69" t="n">
        <f aca="false">TblProd[[#This Row],[Gems]]</f>
        <v>-1000</v>
      </c>
      <c r="G19" s="146"/>
      <c r="H19" s="69" t="n">
        <f aca="false">TblMili[[#This Row],[Draftees]]</f>
        <v>412</v>
      </c>
      <c r="I19" s="130" t="n">
        <f aca="false">TblPop[[#This Row],[Employment]]</f>
        <v>1</v>
      </c>
      <c r="J19" s="130" t="n">
        <f aca="false">TblPop[[#This Row],[Total]]/TblPop[[#This Row],[Net max]]</f>
        <v>0.593161546085233</v>
      </c>
      <c r="K19" s="336" t="n">
        <f aca="false">TblRezone[[#This Row],[Hour]]</f>
        <v>16</v>
      </c>
      <c r="L19" s="337" t="n">
        <f aca="false">TblImps[[#This Row],[Real time]]</f>
        <v>45430.375</v>
      </c>
      <c r="M19" s="33" t="n">
        <f aca="false">IF(ISERROR(TblImps[[#This Row],[algorithm]]),0,TblImps[[#This Row],[algorithm]]*1)</f>
        <v>0</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0</v>
      </c>
      <c r="Z19" s="340" t="n">
        <f aca="false">keep_cap*(1-EXP(-TblImps[[#This Row],[Σ Keep]]/(keep_param*(OFFSET(TblImps[[#This Row],[Land]],1,0)-OFFSET(TblExplore[[#This Row],[Land Bonus]],1,0)*20)+15000)))*(1+(mason_bonus*TblConstr[[#This Row],[Tot Mas]]/TblConstr[[#This Row],[Land (2)]]))</f>
        <v>0</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0</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0</v>
      </c>
      <c r="AG19" s="33" t="n">
        <f aca="false">(1+Overview!$I$28)*SUM(TblImps[[#This Row],[P3]:[G3]])+OFFSET(TblImps[[#This Row],[Σ Keep]],-1,0)</f>
        <v>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33" t="n">
        <f aca="false">TblImps[[#This Row],[Login]]</f>
        <v>0</v>
      </c>
      <c r="BX19" s="128"/>
      <c r="BY19" s="346" t="n">
        <f aca="false">OFFSET(TblImps[[#This Row],[Real time]],-1,0)+1/24</f>
        <v>45430.375</v>
      </c>
      <c r="BZ19" s="347" t="n">
        <f aca="false">OFFSET(TblImps[[#This Row],[Servertime]],-1,0)+1/24</f>
        <v>45430.625</v>
      </c>
      <c r="CA19" s="26"/>
      <c r="CB19" s="345"/>
      <c r="CC19" s="345"/>
      <c r="CF19" s="349"/>
    </row>
    <row r="20" customFormat="false" ht="12.75" hidden="false" customHeight="false" outlineLevel="0" collapsed="false">
      <c r="A20" s="181" t="n">
        <f aca="false">TblConstr[[#This Row],[Land]]</f>
        <v>250</v>
      </c>
      <c r="B20" s="132"/>
      <c r="C20" s="69" t="n">
        <f aca="false">TblProd[[#This Row],[Platinum]]</f>
        <v>80898</v>
      </c>
      <c r="D20" s="69" t="n">
        <f aca="false">TblProd[[#This Row],[Lumber]]</f>
        <v>4319</v>
      </c>
      <c r="E20" s="69" t="n">
        <f aca="false">TblProd[[#This Row],[Ore]]</f>
        <v>-357</v>
      </c>
      <c r="F20" s="69" t="n">
        <f aca="false">TblProd[[#This Row],[Gems]]</f>
        <v>-1000</v>
      </c>
      <c r="G20" s="146"/>
      <c r="H20" s="69" t="n">
        <f aca="false">TblMili[[#This Row],[Draftees]]</f>
        <v>432</v>
      </c>
      <c r="I20" s="130" t="n">
        <f aca="false">TblPop[[#This Row],[Employment]]</f>
        <v>1</v>
      </c>
      <c r="J20" s="130" t="n">
        <f aca="false">TblPop[[#This Row],[Total]]/TblPop[[#This Row],[Net max]]</f>
        <v>0.624132804757185</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0</v>
      </c>
      <c r="Z20" s="340" t="n">
        <f aca="false">keep_cap*(1-EXP(-TblImps[[#This Row],[Σ Keep]]/(keep_param*(OFFSET(TblImps[[#This Row],[Land]],1,0)-OFFSET(TblExplore[[#This Row],[Land Bonus]],1,0)*20)+15000)))*(1+(mason_bonus*TblConstr[[#This Row],[Tot Mas]]/TblConstr[[#This Row],[Land (2)]]))</f>
        <v>0</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0</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0</v>
      </c>
      <c r="AG20" s="33" t="n">
        <f aca="false">(1+Overview!$I$28)*SUM(TblImps[[#This Row],[P3]:[G3]])+OFFSET(TblImps[[#This Row],[Σ Keep]],-1,0)</f>
        <v>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6" t="n">
        <f aca="false">OFFSET(TblImps[[#This Row],[Real time]],-1,0)+1/24</f>
        <v>45430.4166666667</v>
      </c>
      <c r="BZ20" s="347" t="n">
        <f aca="false">OFFSET(TblImps[[#This Row],[Servertime]],-1,0)+1/24</f>
        <v>45430.6666666667</v>
      </c>
      <c r="CA20" s="26"/>
      <c r="CB20" s="345"/>
      <c r="CC20" s="345"/>
      <c r="CF20" s="348"/>
    </row>
    <row r="21" customFormat="false" ht="12.75" hidden="false" customHeight="false" outlineLevel="0" collapsed="false">
      <c r="A21" s="181" t="n">
        <f aca="false">TblConstr[[#This Row],[Land]]</f>
        <v>274</v>
      </c>
      <c r="B21" s="132"/>
      <c r="C21" s="69" t="n">
        <f aca="false">TblProd[[#This Row],[Platinum]]</f>
        <v>21929</v>
      </c>
      <c r="D21" s="69" t="n">
        <f aca="false">TblProd[[#This Row],[Lumber]]</f>
        <v>4148</v>
      </c>
      <c r="E21" s="69" t="n">
        <f aca="false">TblProd[[#This Row],[Ore]]</f>
        <v>-357</v>
      </c>
      <c r="F21" s="69" t="n">
        <f aca="false">TblProd[[#This Row],[Gems]]</f>
        <v>-1000</v>
      </c>
      <c r="G21" s="146"/>
      <c r="H21" s="69" t="n">
        <f aca="false">TblMili[[#This Row],[Draftees]]</f>
        <v>173</v>
      </c>
      <c r="I21" s="130" t="n">
        <f aca="false">TblPop[[#This Row],[Employment]]</f>
        <v>1</v>
      </c>
      <c r="J21" s="130" t="n">
        <f aca="false">TblPop[[#This Row],[Total]]/TblPop[[#This Row],[Net max]]</f>
        <v>0.567827130852341</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0</v>
      </c>
      <c r="Z21" s="340" t="n">
        <f aca="false">keep_cap*(1-EXP(-TblImps[[#This Row],[Σ Keep]]/(keep_param*(OFFSET(TblImps[[#This Row],[Land]],1,0)-OFFSET(TblExplore[[#This Row],[Land Bonus]],1,0)*20)+15000)))*(1+(mason_bonus*TblConstr[[#This Row],[Tot Mas]]/TblConstr[[#This Row],[Land (2)]]))</f>
        <v>0</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0</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0</v>
      </c>
      <c r="AG21" s="33" t="n">
        <f aca="false">(1+Overview!$I$28)*SUM(TblImps[[#This Row],[P3]:[G3]])+OFFSET(TblImps[[#This Row],[Σ Keep]],-1,0)</f>
        <v>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6" t="n">
        <f aca="false">OFFSET(TblImps[[#This Row],[Real time]],-1,0)+1/24</f>
        <v>45430.4583333333</v>
      </c>
      <c r="BZ21" s="347" t="n">
        <f aca="false">OFFSET(TblImps[[#This Row],[Servertime]],-1,0)+1/24</f>
        <v>45430.7083333333</v>
      </c>
      <c r="CA21" s="26"/>
      <c r="CB21" s="345"/>
      <c r="CC21" s="345"/>
      <c r="CF21" s="348"/>
    </row>
    <row r="22" customFormat="false" ht="12.75" hidden="false" customHeight="false" outlineLevel="0" collapsed="false">
      <c r="A22" s="181" t="n">
        <f aca="false">TblConstr[[#This Row],[Land]]</f>
        <v>275</v>
      </c>
      <c r="B22" s="132"/>
      <c r="C22" s="69" t="n">
        <f aca="false">TblProd[[#This Row],[Platinum]]</f>
        <v>23317</v>
      </c>
      <c r="D22" s="69" t="n">
        <f aca="false">TblProd[[#This Row],[Lumber]]</f>
        <v>4960</v>
      </c>
      <c r="E22" s="69" t="n">
        <f aca="false">TblProd[[#This Row],[Ore]]</f>
        <v>-357</v>
      </c>
      <c r="F22" s="69" t="n">
        <f aca="false">TblProd[[#This Row],[Gems]]</f>
        <v>-1000</v>
      </c>
      <c r="G22" s="146"/>
      <c r="H22" s="69" t="n">
        <f aca="false">TblMili[[#This Row],[Draftees]]</f>
        <v>151</v>
      </c>
      <c r="I22" s="130" t="n">
        <f aca="false">TblPop[[#This Row],[Employment]]</f>
        <v>1</v>
      </c>
      <c r="J22" s="130" t="n">
        <f aca="false">TblPop[[#This Row],[Total]]/TblPop[[#This Row],[Net max]]</f>
        <v>0.553849627455408</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0</v>
      </c>
      <c r="Z22" s="340" t="n">
        <f aca="false">keep_cap*(1-EXP(-TblImps[[#This Row],[Σ Keep]]/(keep_param*(OFFSET(TblImps[[#This Row],[Land]],1,0)-OFFSET(TblExplore[[#This Row],[Land Bonus]],1,0)*20)+15000)))*(1+(mason_bonus*TblConstr[[#This Row],[Tot Mas]]/TblConstr[[#This Row],[Land (2)]]))</f>
        <v>0</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0</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0</v>
      </c>
      <c r="AG22" s="33" t="n">
        <f aca="false">(1+Overview!$I$28)*SUM(TblImps[[#This Row],[P3]:[G3]])+OFFSET(TblImps[[#This Row],[Σ Keep]],-1,0)</f>
        <v>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6" t="n">
        <f aca="false">OFFSET(TblImps[[#This Row],[Real time]],-1,0)+1/24</f>
        <v>45430.5</v>
      </c>
      <c r="BZ22" s="347" t="n">
        <f aca="false">OFFSET(TblImps[[#This Row],[Servertime]],-1,0)+1/24</f>
        <v>45430.75</v>
      </c>
      <c r="CA22" s="26"/>
      <c r="CB22" s="345"/>
      <c r="CC22" s="345"/>
    </row>
    <row r="23" customFormat="false" ht="12.75" hidden="false" customHeight="false" outlineLevel="0" collapsed="false">
      <c r="A23" s="181" t="n">
        <f aca="false">TblConstr[[#This Row],[Land]]</f>
        <v>276</v>
      </c>
      <c r="B23" s="132"/>
      <c r="C23" s="69" t="n">
        <f aca="false">TblProd[[#This Row],[Platinum]]</f>
        <v>24112</v>
      </c>
      <c r="D23" s="69" t="n">
        <f aca="false">TblProd[[#This Row],[Lumber]]</f>
        <v>5763</v>
      </c>
      <c r="E23" s="69" t="n">
        <f aca="false">TblProd[[#This Row],[Ore]]</f>
        <v>-357</v>
      </c>
      <c r="F23" s="69" t="n">
        <f aca="false">TblProd[[#This Row],[Gems]]</f>
        <v>-1000</v>
      </c>
      <c r="G23" s="146"/>
      <c r="H23" s="69" t="n">
        <f aca="false">TblMili[[#This Row],[Draftees]]</f>
        <v>126</v>
      </c>
      <c r="I23" s="130" t="n">
        <f aca="false">TblPop[[#This Row],[Employment]]</f>
        <v>1</v>
      </c>
      <c r="J23" s="130" t="n">
        <f aca="false">TblPop[[#This Row],[Total]]/TblPop[[#This Row],[Net max]]</f>
        <v>0.572103487064117</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0</v>
      </c>
      <c r="Z23" s="340" t="n">
        <f aca="false">keep_cap*(1-EXP(-TblImps[[#This Row],[Σ Keep]]/(keep_param*(OFFSET(TblImps[[#This Row],[Land]],1,0)-OFFSET(TblExplore[[#This Row],[Land Bonus]],1,0)*20)+15000)))*(1+(mason_bonus*TblConstr[[#This Row],[Tot Mas]]/TblConstr[[#This Row],[Land (2)]]))</f>
        <v>0</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0</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0</v>
      </c>
      <c r="AG23" s="33" t="n">
        <f aca="false">(1+Overview!$I$28)*SUM(TblImps[[#This Row],[P3]:[G3]])+OFFSET(TblImps[[#This Row],[Σ Keep]],-1,0)</f>
        <v>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6" t="n">
        <f aca="false">OFFSET(TblImps[[#This Row],[Real time]],-1,0)+1/24</f>
        <v>45430.5416666667</v>
      </c>
      <c r="BZ23" s="347" t="n">
        <f aca="false">OFFSET(TblImps[[#This Row],[Servertime]],-1,0)+1/24</f>
        <v>45430.7916666667</v>
      </c>
      <c r="CA23" s="26"/>
      <c r="CB23" s="345"/>
      <c r="CC23" s="345"/>
    </row>
    <row r="24" customFormat="false" ht="12.75" hidden="false" customHeight="false" outlineLevel="0" collapsed="false">
      <c r="A24" s="181" t="n">
        <f aca="false">TblConstr[[#This Row],[Land]]</f>
        <v>277</v>
      </c>
      <c r="B24" s="132"/>
      <c r="C24" s="69" t="n">
        <f aca="false">TblProd[[#This Row],[Platinum]]</f>
        <v>23628</v>
      </c>
      <c r="D24" s="69" t="n">
        <f aca="false">TblProd[[#This Row],[Lumber]]</f>
        <v>6558</v>
      </c>
      <c r="E24" s="69" t="n">
        <f aca="false">TblProd[[#This Row],[Ore]]</f>
        <v>-357</v>
      </c>
      <c r="F24" s="69" t="n">
        <f aca="false">TblProd[[#This Row],[Gems]]</f>
        <v>-1000</v>
      </c>
      <c r="G24" s="146"/>
      <c r="H24" s="69" t="n">
        <f aca="false">TblMili[[#This Row],[Draftees]]</f>
        <v>102</v>
      </c>
      <c r="I24" s="130" t="n">
        <f aca="false">TblPop[[#This Row],[Employment]]</f>
        <v>1</v>
      </c>
      <c r="J24" s="130" t="n">
        <f aca="false">TblPop[[#This Row],[Total]]/TblPop[[#This Row],[Net max]]</f>
        <v>0.591795561533289</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0</v>
      </c>
      <c r="Z24" s="340" t="n">
        <f aca="false">keep_cap*(1-EXP(-TblImps[[#This Row],[Σ Keep]]/(keep_param*(OFFSET(TblImps[[#This Row],[Land]],1,0)-OFFSET(TblExplore[[#This Row],[Land Bonus]],1,0)*20)+15000)))*(1+(mason_bonus*TblConstr[[#This Row],[Tot Mas]]/TblConstr[[#This Row],[Land (2)]]))</f>
        <v>0</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0</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0</v>
      </c>
      <c r="AG24" s="33" t="n">
        <f aca="false">(1+Overview!$I$28)*SUM(TblImps[[#This Row],[P3]:[G3]])+OFFSET(TblImps[[#This Row],[Σ Keep]],-1,0)</f>
        <v>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6" t="n">
        <f aca="false">OFFSET(TblImps[[#This Row],[Real time]],-1,0)+1/24</f>
        <v>45430.5833333333</v>
      </c>
      <c r="BZ24" s="347" t="n">
        <f aca="false">OFFSET(TblImps[[#This Row],[Servertime]],-1,0)+1/24</f>
        <v>45430.8333333333</v>
      </c>
      <c r="CA24" s="26"/>
      <c r="CB24" s="345"/>
      <c r="CC24" s="345"/>
    </row>
    <row r="25" customFormat="false" ht="12.75" hidden="false" customHeight="false" outlineLevel="0" collapsed="false">
      <c r="A25" s="181" t="n">
        <f aca="false">TblConstr[[#This Row],[Land]]</f>
        <v>278</v>
      </c>
      <c r="B25" s="132"/>
      <c r="C25" s="69" t="n">
        <f aca="false">TblProd[[#This Row],[Platinum]]</f>
        <v>30585</v>
      </c>
      <c r="D25" s="69" t="n">
        <f aca="false">TblProd[[#This Row],[Lumber]]</f>
        <v>7345</v>
      </c>
      <c r="E25" s="69" t="n">
        <f aca="false">TblProd[[#This Row],[Ore]]</f>
        <v>-357</v>
      </c>
      <c r="F25" s="69" t="n">
        <f aca="false">TblProd[[#This Row],[Gems]]</f>
        <v>-1000</v>
      </c>
      <c r="G25" s="146"/>
      <c r="H25" s="69" t="n">
        <f aca="false">TblMili[[#This Row],[Draftees]]</f>
        <v>115</v>
      </c>
      <c r="I25" s="130" t="n">
        <f aca="false">TblPop[[#This Row],[Employment]]</f>
        <v>1</v>
      </c>
      <c r="J25" s="130" t="n">
        <f aca="false">TblPop[[#This Row],[Total]]/TblPop[[#This Row],[Net max]]</f>
        <v>0.620951530042439</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0</v>
      </c>
      <c r="Z25" s="340" t="n">
        <f aca="false">keep_cap*(1-EXP(-TblImps[[#This Row],[Σ Keep]]/(keep_param*(OFFSET(TblImps[[#This Row],[Land]],1,0)-OFFSET(TblExplore[[#This Row],[Land Bonus]],1,0)*20)+15000)))*(1+(mason_bonus*TblConstr[[#This Row],[Tot Mas]]/TblConstr[[#This Row],[Land (2)]]))</f>
        <v>0</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0</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0</v>
      </c>
      <c r="AG25" s="33" t="n">
        <f aca="false">(1+Overview!$I$28)*SUM(TblImps[[#This Row],[P3]:[G3]])+OFFSET(TblImps[[#This Row],[Σ Keep]],-1,0)</f>
        <v>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6" t="n">
        <f aca="false">OFFSET(TblImps[[#This Row],[Real time]],-1,0)+1/24</f>
        <v>45430.625</v>
      </c>
      <c r="BZ25" s="347" t="n">
        <f aca="false">OFFSET(TblImps[[#This Row],[Servertime]],-1,0)+1/24</f>
        <v>45430.875</v>
      </c>
      <c r="CA25" s="26"/>
      <c r="CB25" s="345"/>
      <c r="CC25" s="345"/>
    </row>
    <row r="26" customFormat="false" ht="12.75" hidden="false" customHeight="false" outlineLevel="0" collapsed="false">
      <c r="A26" s="181" t="n">
        <f aca="false">TblConstr[[#This Row],[Land]]</f>
        <v>279</v>
      </c>
      <c r="B26" s="132"/>
      <c r="C26" s="69" t="n">
        <f aca="false">TblProd[[#This Row],[Platinum]]</f>
        <v>38772</v>
      </c>
      <c r="D26" s="69" t="n">
        <f aca="false">TblProd[[#This Row],[Lumber]]</f>
        <v>8124</v>
      </c>
      <c r="E26" s="69" t="n">
        <f aca="false">TblProd[[#This Row],[Ore]]</f>
        <v>-357</v>
      </c>
      <c r="F26" s="69" t="n">
        <f aca="false">TblProd[[#This Row],[Gems]]</f>
        <v>-1000</v>
      </c>
      <c r="G26" s="146"/>
      <c r="H26" s="69" t="n">
        <f aca="false">TblMili[[#This Row],[Draftees]]</f>
        <v>134</v>
      </c>
      <c r="I26" s="130" t="n">
        <f aca="false">TblPop[[#This Row],[Employment]]</f>
        <v>1</v>
      </c>
      <c r="J26" s="130" t="n">
        <f aca="false">TblPop[[#This Row],[Total]]/TblPop[[#This Row],[Net max]]</f>
        <v>0.65234809703984</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0</v>
      </c>
      <c r="Z26" s="340" t="n">
        <f aca="false">keep_cap*(1-EXP(-TblImps[[#This Row],[Σ Keep]]/(keep_param*(OFFSET(TblImps[[#This Row],[Land]],1,0)-OFFSET(TblExplore[[#This Row],[Land Bonus]],1,0)*20)+15000)))*(1+(mason_bonus*TblConstr[[#This Row],[Tot Mas]]/TblConstr[[#This Row],[Land (2)]]))</f>
        <v>0</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0</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0</v>
      </c>
      <c r="AG26" s="33" t="n">
        <f aca="false">(1+Overview!$I$28)*SUM(TblImps[[#This Row],[P3]:[G3]])+OFFSET(TblImps[[#This Row],[Σ Keep]],-1,0)</f>
        <v>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6" t="n">
        <f aca="false">OFFSET(TblImps[[#This Row],[Real time]],-1,0)+1/24</f>
        <v>45430.6666666667</v>
      </c>
      <c r="BZ26" s="347" t="n">
        <f aca="false">OFFSET(TblImps[[#This Row],[Servertime]],-1,0)+1/24</f>
        <v>45430.9166666667</v>
      </c>
      <c r="CA26" s="26"/>
      <c r="CB26" s="345"/>
      <c r="CC26" s="345"/>
    </row>
    <row r="27" customFormat="false" ht="12.75" hidden="false" customHeight="false" outlineLevel="0" collapsed="false">
      <c r="A27" s="181" t="n">
        <f aca="false">TblConstr[[#This Row],[Land]]</f>
        <v>299</v>
      </c>
      <c r="B27" s="132"/>
      <c r="C27" s="69" t="n">
        <f aca="false">TblProd[[#This Row],[Platinum]]</f>
        <v>41357</v>
      </c>
      <c r="D27" s="69" t="n">
        <f aca="false">TblProd[[#This Row],[Lumber]]</f>
        <v>7883</v>
      </c>
      <c r="E27" s="69" t="n">
        <f aca="false">TblProd[[#This Row],[Ore]]</f>
        <v>-357</v>
      </c>
      <c r="F27" s="69" t="n">
        <f aca="false">TblProd[[#This Row],[Gems]]</f>
        <v>-1000</v>
      </c>
      <c r="G27" s="146"/>
      <c r="H27" s="69" t="n">
        <f aca="false">TblMili[[#This Row],[Draftees]]</f>
        <v>122</v>
      </c>
      <c r="I27" s="130" t="n">
        <f aca="false">TblPop[[#This Row],[Employment]]</f>
        <v>1</v>
      </c>
      <c r="J27" s="130" t="n">
        <f aca="false">TblPop[[#This Row],[Total]]/TblPop[[#This Row],[Net max]]</f>
        <v>0.678952042628774</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0</v>
      </c>
      <c r="Z27" s="340" t="n">
        <f aca="false">keep_cap*(1-EXP(-TblImps[[#This Row],[Σ Keep]]/(keep_param*(OFFSET(TblImps[[#This Row],[Land]],1,0)-OFFSET(TblExplore[[#This Row],[Land Bonus]],1,0)*20)+15000)))*(1+(mason_bonus*TblConstr[[#This Row],[Tot Mas]]/TblConstr[[#This Row],[Land (2)]]))</f>
        <v>0</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0</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0</v>
      </c>
      <c r="AG27" s="33" t="n">
        <f aca="false">(1+Overview!$I$28)*SUM(TblImps[[#This Row],[P3]:[G3]])+OFFSET(TblImps[[#This Row],[Σ Keep]],-1,0)</f>
        <v>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6" t="n">
        <f aca="false">OFFSET(TblImps[[#This Row],[Real time]],-1,0)+1/24</f>
        <v>45430.7083333333</v>
      </c>
      <c r="BZ27" s="347" t="n">
        <f aca="false">OFFSET(TblImps[[#This Row],[Servertime]],-1,0)+1/24</f>
        <v>45430.9583333333</v>
      </c>
      <c r="CA27" s="26"/>
      <c r="CB27" s="345"/>
      <c r="CC27" s="345"/>
    </row>
    <row r="28" customFormat="false" ht="12.75" hidden="false" customHeight="false" outlineLevel="0" collapsed="false">
      <c r="A28" s="181" t="n">
        <f aca="false">TblConstr[[#This Row],[Land]]</f>
        <v>299</v>
      </c>
      <c r="B28" s="132"/>
      <c r="C28" s="69" t="n">
        <f aca="false">TblProd[[#This Row],[Platinum]]</f>
        <v>54909</v>
      </c>
      <c r="D28" s="69" t="n">
        <f aca="false">TblProd[[#This Row],[Lumber]]</f>
        <v>8704</v>
      </c>
      <c r="E28" s="69" t="n">
        <f aca="false">TblProd[[#This Row],[Ore]]</f>
        <v>-357</v>
      </c>
      <c r="F28" s="69" t="n">
        <f aca="false">TblProd[[#This Row],[Gems]]</f>
        <v>-1000</v>
      </c>
      <c r="G28" s="146"/>
      <c r="H28" s="69" t="n">
        <f aca="false">TblMili[[#This Row],[Draftees]]</f>
        <v>151</v>
      </c>
      <c r="I28" s="130" t="n">
        <f aca="false">TblPop[[#This Row],[Employment]]</f>
        <v>1</v>
      </c>
      <c r="J28" s="130" t="n">
        <f aca="false">TblPop[[#This Row],[Total]]/TblPop[[#This Row],[Net max]]</f>
        <v>0.677646571369381</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0</v>
      </c>
      <c r="Z28" s="340" t="n">
        <f aca="false">keep_cap*(1-EXP(-TblImps[[#This Row],[Σ Keep]]/(keep_param*(OFFSET(TblImps[[#This Row],[Land]],1,0)-OFFSET(TblExplore[[#This Row],[Land Bonus]],1,0)*20)+15000)))*(1+(mason_bonus*TblConstr[[#This Row],[Tot Mas]]/TblConstr[[#This Row],[Land (2)]]))</f>
        <v>0</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0</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0</v>
      </c>
      <c r="AG28" s="33" t="n">
        <f aca="false">(1+Overview!$I$28)*SUM(TblImps[[#This Row],[P3]:[G3]])+OFFSET(TblImps[[#This Row],[Σ Keep]],-1,0)</f>
        <v>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6" t="n">
        <f aca="false">OFFSET(TblImps[[#This Row],[Real time]],-1,0)+1/24</f>
        <v>45430.75</v>
      </c>
      <c r="BZ28" s="347" t="n">
        <f aca="false">OFFSET(TblImps[[#This Row],[Servertime]],-1,0)+1/24</f>
        <v>45431</v>
      </c>
      <c r="CA28" s="26"/>
      <c r="CB28" s="345"/>
      <c r="CC28" s="345"/>
    </row>
    <row r="29" customFormat="false" ht="12.75" hidden="false" customHeight="false" outlineLevel="0" collapsed="false">
      <c r="A29" s="181" t="n">
        <f aca="false">TblConstr[[#This Row],[Land]]</f>
        <v>299</v>
      </c>
      <c r="B29" s="132"/>
      <c r="C29" s="69" t="n">
        <f aca="false">TblProd[[#This Row],[Platinum]]</f>
        <v>68958</v>
      </c>
      <c r="D29" s="69" t="n">
        <f aca="false">TblProd[[#This Row],[Lumber]]</f>
        <v>9517</v>
      </c>
      <c r="E29" s="69" t="n">
        <f aca="false">TblProd[[#This Row],[Ore]]</f>
        <v>-357</v>
      </c>
      <c r="F29" s="69" t="n">
        <f aca="false">TblProd[[#This Row],[Gems]]</f>
        <v>-1000</v>
      </c>
      <c r="G29" s="146"/>
      <c r="H29" s="69" t="n">
        <f aca="false">TblMili[[#This Row],[Draftees]]</f>
        <v>182</v>
      </c>
      <c r="I29" s="130" t="n">
        <f aca="false">TblPop[[#This Row],[Employment]]</f>
        <v>1</v>
      </c>
      <c r="J29" s="130" t="n">
        <f aca="false">TblPop[[#This Row],[Total]]/TblPop[[#This Row],[Net max]]</f>
        <v>0.724466542365859</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0</v>
      </c>
      <c r="Z29" s="340" t="n">
        <f aca="false">keep_cap*(1-EXP(-TblImps[[#This Row],[Σ Keep]]/(keep_param*(OFFSET(TblImps[[#This Row],[Land]],1,0)-OFFSET(TblExplore[[#This Row],[Land Bonus]],1,0)*20)+15000)))*(1+(mason_bonus*TblConstr[[#This Row],[Tot Mas]]/TblConstr[[#This Row],[Land (2)]]))</f>
        <v>0</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0</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0</v>
      </c>
      <c r="AG29" s="33" t="n">
        <f aca="false">(1+Overview!$I$28)*SUM(TblImps[[#This Row],[P3]:[G3]])+OFFSET(TblImps[[#This Row],[Σ Keep]],-1,0)</f>
        <v>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6" t="n">
        <f aca="false">OFFSET(TblImps[[#This Row],[Real time]],-1,0)+1/24</f>
        <v>45430.7916666667</v>
      </c>
      <c r="BZ29" s="347" t="n">
        <f aca="false">OFFSET(TblImps[[#This Row],[Servertime]],-1,0)+1/24</f>
        <v>45431.0416666667</v>
      </c>
      <c r="CA29" s="26"/>
      <c r="CB29" s="345"/>
      <c r="CC29" s="345"/>
    </row>
    <row r="30" customFormat="false" ht="12.75" hidden="false" customHeight="false" outlineLevel="0" collapsed="false">
      <c r="A30" s="181" t="n">
        <f aca="false">TblConstr[[#This Row],[Land]]</f>
        <v>299</v>
      </c>
      <c r="B30" s="132"/>
      <c r="C30" s="69" t="n">
        <f aca="false">TblProd[[#This Row],[Platinum]]</f>
        <v>85158</v>
      </c>
      <c r="D30" s="69" t="n">
        <f aca="false">TblProd[[#This Row],[Lumber]]</f>
        <v>10322</v>
      </c>
      <c r="E30" s="69" t="n">
        <f aca="false">TblProd[[#This Row],[Ore]]</f>
        <v>-357</v>
      </c>
      <c r="F30" s="69" t="n">
        <f aca="false">TblProd[[#This Row],[Gems]]</f>
        <v>-1000</v>
      </c>
      <c r="G30" s="146"/>
      <c r="H30" s="69" t="n">
        <f aca="false">TblMili[[#This Row],[Draftees]]</f>
        <v>215</v>
      </c>
      <c r="I30" s="130" t="n">
        <f aca="false">TblPop[[#This Row],[Employment]]</f>
        <v>1</v>
      </c>
      <c r="J30" s="130" t="n">
        <f aca="false">TblPop[[#This Row],[Total]]/TblPop[[#This Row],[Net max]]</f>
        <v>0.774394033561218</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0</v>
      </c>
      <c r="Z30" s="340" t="n">
        <f aca="false">keep_cap*(1-EXP(-TblImps[[#This Row],[Σ Keep]]/(keep_param*(OFFSET(TblImps[[#This Row],[Land]],1,0)-OFFSET(TblExplore[[#This Row],[Land Bonus]],1,0)*20)+15000)))*(1+(mason_bonus*TblConstr[[#This Row],[Tot Mas]]/TblConstr[[#This Row],[Land (2)]]))</f>
        <v>0</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0</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0</v>
      </c>
      <c r="AG30" s="33" t="n">
        <f aca="false">(1+Overview!$I$28)*SUM(TblImps[[#This Row],[P3]:[G3]])+OFFSET(TblImps[[#This Row],[Σ Keep]],-1,0)</f>
        <v>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6" t="n">
        <f aca="false">OFFSET(TblImps[[#This Row],[Real time]],-1,0)+1/24</f>
        <v>45430.8333333333</v>
      </c>
      <c r="BZ30" s="347" t="n">
        <f aca="false">OFFSET(TblImps[[#This Row],[Servertime]],-1,0)+1/24</f>
        <v>45431.0833333333</v>
      </c>
      <c r="CA30" s="26"/>
      <c r="CB30" s="345"/>
      <c r="CC30" s="345"/>
      <c r="CD30" s="1" t="s">
        <v>97</v>
      </c>
    </row>
    <row r="31" customFormat="false" ht="12.75" hidden="false" customHeight="false" outlineLevel="0" collapsed="false">
      <c r="A31" s="181" t="n">
        <f aca="false">TblConstr[[#This Row],[Land]]</f>
        <v>299</v>
      </c>
      <c r="B31" s="132"/>
      <c r="C31" s="69" t="n">
        <f aca="false">TblProd[[#This Row],[Platinum]]</f>
        <v>101920</v>
      </c>
      <c r="D31" s="69" t="n">
        <f aca="false">TblProd[[#This Row],[Lumber]]</f>
        <v>11119</v>
      </c>
      <c r="E31" s="69" t="n">
        <f aca="false">TblProd[[#This Row],[Ore]]</f>
        <v>-357</v>
      </c>
      <c r="F31" s="69" t="n">
        <f aca="false">TblProd[[#This Row],[Gems]]</f>
        <v>-1000</v>
      </c>
      <c r="G31" s="146"/>
      <c r="H31" s="69" t="n">
        <f aca="false">TblMili[[#This Row],[Draftees]]</f>
        <v>250</v>
      </c>
      <c r="I31" s="130" t="n">
        <f aca="false">TblPop[[#This Row],[Employment]]</f>
        <v>1</v>
      </c>
      <c r="J31" s="130" t="n">
        <f aca="false">TblPop[[#This Row],[Total]]/TblPop[[#This Row],[Net max]]</f>
        <v>0.827429044955459</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0</v>
      </c>
      <c r="Z31" s="340" t="n">
        <f aca="false">keep_cap*(1-EXP(-TblImps[[#This Row],[Σ Keep]]/(keep_param*(OFFSET(TblImps[[#This Row],[Land]],1,0)-OFFSET(TblExplore[[#This Row],[Land Bonus]],1,0)*20)+15000)))*(1+(mason_bonus*TblConstr[[#This Row],[Tot Mas]]/TblConstr[[#This Row],[Land (2)]]))</f>
        <v>0</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0</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0</v>
      </c>
      <c r="AG31" s="33" t="n">
        <f aca="false">(1+Overview!$I$28)*SUM(TblImps[[#This Row],[P3]:[G3]])+OFFSET(TblImps[[#This Row],[Σ Keep]],-1,0)</f>
        <v>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6" t="n">
        <f aca="false">OFFSET(TblImps[[#This Row],[Real time]],-1,0)+1/24</f>
        <v>45430.875</v>
      </c>
      <c r="BZ31" s="347" t="n">
        <f aca="false">OFFSET(TblImps[[#This Row],[Servertime]],-1,0)+1/24</f>
        <v>45431.125</v>
      </c>
      <c r="CA31" s="26"/>
      <c r="CB31" s="345"/>
      <c r="CC31" s="345"/>
      <c r="CD31" s="1" t="s">
        <v>93</v>
      </c>
    </row>
    <row r="32" customFormat="false" ht="12.75" hidden="false" customHeight="false" outlineLevel="0" collapsed="false">
      <c r="A32" s="181" t="n">
        <f aca="false">TblConstr[[#This Row],[Land]]</f>
        <v>299</v>
      </c>
      <c r="B32" s="132"/>
      <c r="C32" s="69" t="n">
        <f aca="false">TblProd[[#This Row],[Platinum]]</f>
        <v>40162</v>
      </c>
      <c r="D32" s="69" t="n">
        <f aca="false">TblProd[[#This Row],[Lumber]]</f>
        <v>11908</v>
      </c>
      <c r="E32" s="69" t="n">
        <f aca="false">TblProd[[#This Row],[Ore]]</f>
        <v>-357</v>
      </c>
      <c r="F32" s="69" t="n">
        <f aca="false">TblProd[[#This Row],[Gems]]</f>
        <v>-1000</v>
      </c>
      <c r="G32" s="146"/>
      <c r="H32" s="69" t="n">
        <f aca="false">TblMili[[#This Row],[Draftees]]</f>
        <v>-41</v>
      </c>
      <c r="I32" s="130" t="n">
        <f aca="false">TblPop[[#This Row],[Employment]]</f>
        <v>1</v>
      </c>
      <c r="J32" s="130" t="n">
        <f aca="false">TblPop[[#This Row],[Total]]/TblPop[[#This Row],[Net max]]</f>
        <v>0.815827636212969</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0</v>
      </c>
      <c r="Z32" s="340" t="n">
        <f aca="false">keep_cap*(1-EXP(-TblImps[[#This Row],[Σ Keep]]/(keep_param*(OFFSET(TblImps[[#This Row],[Land]],1,0)-OFFSET(TblExplore[[#This Row],[Land Bonus]],1,0)*20)+15000)))*(1+(mason_bonus*TblConstr[[#This Row],[Tot Mas]]/TblConstr[[#This Row],[Land (2)]]))</f>
        <v>0</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0</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0</v>
      </c>
      <c r="AG32" s="33" t="n">
        <f aca="false">(1+Overview!$I$28)*SUM(TblImps[[#This Row],[P3]:[G3]])+OFFSET(TblImps[[#This Row],[Σ Keep]],-1,0)</f>
        <v>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6" t="n">
        <f aca="false">OFFSET(TblImps[[#This Row],[Real time]],-1,0)+1/24</f>
        <v>45430.9166666667</v>
      </c>
      <c r="BZ32" s="347" t="n">
        <f aca="false">OFFSET(TblImps[[#This Row],[Servertime]],-1,0)+1/24</f>
        <v>45431.1666666667</v>
      </c>
      <c r="CA32" s="26"/>
      <c r="CB32" s="345"/>
      <c r="CC32" s="345"/>
      <c r="CD32" s="1" t="s">
        <v>35</v>
      </c>
    </row>
    <row r="33" customFormat="false" ht="12.75" hidden="false" customHeight="false" outlineLevel="0" collapsed="false">
      <c r="A33" s="181" t="n">
        <f aca="false">TblConstr[[#This Row],[Land]]</f>
        <v>369</v>
      </c>
      <c r="B33" s="132"/>
      <c r="C33" s="69" t="n">
        <f aca="false">TblProd[[#This Row],[Platinum]]</f>
        <v>21126</v>
      </c>
      <c r="D33" s="69" t="n">
        <f aca="false">TblProd[[#This Row],[Lumber]]</f>
        <v>8489</v>
      </c>
      <c r="E33" s="69" t="n">
        <f aca="false">TblProd[[#This Row],[Ore]]</f>
        <v>-357</v>
      </c>
      <c r="F33" s="69" t="n">
        <f aca="false">TblProd[[#This Row],[Gems]]</f>
        <v>-1000</v>
      </c>
      <c r="G33" s="146"/>
      <c r="H33" s="69" t="n">
        <f aca="false">TblMili[[#This Row],[Draftees]]</f>
        <v>-46</v>
      </c>
      <c r="I33" s="130" t="n">
        <f aca="false">TblPop[[#This Row],[Employment]]</f>
        <v>1</v>
      </c>
      <c r="J33" s="130" t="n">
        <f aca="false">TblPop[[#This Row],[Total]]/TblPop[[#This Row],[Net max]]</f>
        <v>0.799577248270561</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0</v>
      </c>
      <c r="Z33" s="340" t="n">
        <f aca="false">keep_cap*(1-EXP(-TblImps[[#This Row],[Σ Keep]]/(keep_param*(OFFSET(TblImps[[#This Row],[Land]],1,0)-OFFSET(TblExplore[[#This Row],[Land Bonus]],1,0)*20)+15000)))*(1+(mason_bonus*TblConstr[[#This Row],[Tot Mas]]/TblConstr[[#This Row],[Land (2)]]))</f>
        <v>0</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0</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0</v>
      </c>
      <c r="AG33" s="33" t="n">
        <f aca="false">(1+Overview!$I$28)*SUM(TblImps[[#This Row],[P3]:[G3]])+OFFSET(TblImps[[#This Row],[Σ Keep]],-1,0)</f>
        <v>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6" t="n">
        <f aca="false">OFFSET(TblImps[[#This Row],[Real time]],-1,0)+1/24</f>
        <v>45430.9583333333</v>
      </c>
      <c r="BZ33" s="347" t="n">
        <f aca="false">OFFSET(TblImps[[#This Row],[Servertime]],-1,0)+1/24</f>
        <v>45431.2083333333</v>
      </c>
      <c r="CA33" s="26"/>
      <c r="CB33" s="345"/>
      <c r="CC33" s="345"/>
      <c r="CD33" s="1" t="s">
        <v>34</v>
      </c>
    </row>
    <row r="34" customFormat="false" ht="12.75" hidden="false" customHeight="false" outlineLevel="0" collapsed="false">
      <c r="A34" s="181" t="n">
        <f aca="false">TblConstr[[#This Row],[Land]]</f>
        <v>380</v>
      </c>
      <c r="B34" s="132"/>
      <c r="C34" s="69" t="n">
        <f aca="false">TblProd[[#This Row],[Platinum]]</f>
        <v>24436</v>
      </c>
      <c r="D34" s="69" t="n">
        <f aca="false">TblProd[[#This Row],[Lumber]]</f>
        <v>8757</v>
      </c>
      <c r="E34" s="69" t="n">
        <f aca="false">TblProd[[#This Row],[Ore]]</f>
        <v>-357</v>
      </c>
      <c r="F34" s="69" t="n">
        <f aca="false">TblProd[[#This Row],[Gems]]</f>
        <v>-1000</v>
      </c>
      <c r="G34" s="146"/>
      <c r="H34" s="69" t="n">
        <f aca="false">TblMili[[#This Row],[Draftees]]</f>
        <v>-54</v>
      </c>
      <c r="I34" s="130" t="n">
        <f aca="false">TblPop[[#This Row],[Employment]]</f>
        <v>1</v>
      </c>
      <c r="J34" s="130" t="n">
        <f aca="false">TblPop[[#This Row],[Total]]/TblPop[[#This Row],[Net max]]</f>
        <v>0.729886968085106</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0</v>
      </c>
      <c r="Z34" s="340" t="n">
        <f aca="false">keep_cap*(1-EXP(-TblImps[[#This Row],[Σ Keep]]/(keep_param*(OFFSET(TblImps[[#This Row],[Land]],1,0)-OFFSET(TblExplore[[#This Row],[Land Bonus]],1,0)*20)+15000)))*(1+(mason_bonus*TblConstr[[#This Row],[Tot Mas]]/TblConstr[[#This Row],[Land (2)]]))</f>
        <v>0</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0</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0</v>
      </c>
      <c r="AG34" s="33" t="n">
        <f aca="false">(1+Overview!$I$28)*SUM(TblImps[[#This Row],[P3]:[G3]])+OFFSET(TblImps[[#This Row],[Σ Keep]],-1,0)</f>
        <v>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6" t="n">
        <f aca="false">OFFSET(TblImps[[#This Row],[Real time]],-1,0)+1/24</f>
        <v>45431</v>
      </c>
      <c r="BZ34" s="347" t="n">
        <f aca="false">OFFSET(TblImps[[#This Row],[Servertime]],-1,0)+1/24</f>
        <v>45431.25</v>
      </c>
      <c r="CA34" s="26"/>
      <c r="CB34" s="345"/>
      <c r="CC34" s="345"/>
    </row>
    <row r="35" customFormat="false" ht="12.75" hidden="false" customHeight="false" outlineLevel="0" collapsed="false">
      <c r="A35" s="181" t="n">
        <f aca="false">TblConstr[[#This Row],[Land]]</f>
        <v>392</v>
      </c>
      <c r="B35" s="132"/>
      <c r="C35" s="69" t="n">
        <f aca="false">TblProd[[#This Row],[Platinum]]</f>
        <v>27426</v>
      </c>
      <c r="D35" s="69" t="n">
        <f aca="false">TblProd[[#This Row],[Lumber]]</f>
        <v>8936</v>
      </c>
      <c r="E35" s="69" t="n">
        <f aca="false">TblProd[[#This Row],[Ore]]</f>
        <v>-357</v>
      </c>
      <c r="F35" s="69" t="n">
        <f aca="false">TblProd[[#This Row],[Gems]]</f>
        <v>-1000</v>
      </c>
      <c r="G35" s="146"/>
      <c r="H35" s="69" t="n">
        <f aca="false">TblMili[[#This Row],[Draftees]]</f>
        <v>-60</v>
      </c>
      <c r="I35" s="130" t="n">
        <f aca="false">TblPop[[#This Row],[Employment]]</f>
        <v>1</v>
      </c>
      <c r="J35" s="130" t="n">
        <f aca="false">TblPop[[#This Row],[Total]]/TblPop[[#This Row],[Net max]]</f>
        <v>0.747539925794483</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0</v>
      </c>
      <c r="Z35" s="340" t="n">
        <f aca="false">keep_cap*(1-EXP(-TblImps[[#This Row],[Σ Keep]]/(keep_param*(OFFSET(TblImps[[#This Row],[Land]],1,0)-OFFSET(TblExplore[[#This Row],[Land Bonus]],1,0)*20)+15000)))*(1+(mason_bonus*TblConstr[[#This Row],[Tot Mas]]/TblConstr[[#This Row],[Land (2)]]))</f>
        <v>0</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0</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0</v>
      </c>
      <c r="AG35" s="33" t="n">
        <f aca="false">(1+Overview!$I$28)*SUM(TblImps[[#This Row],[P3]:[G3]])+OFFSET(TblImps[[#This Row],[Σ Keep]],-1,0)</f>
        <v>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6" t="n">
        <f aca="false">OFFSET(TblImps[[#This Row],[Real time]],-1,0)+1/24</f>
        <v>45431.0416666667</v>
      </c>
      <c r="BZ35" s="347" t="n">
        <f aca="false">OFFSET(TblImps[[#This Row],[Servertime]],-1,0)+1/24</f>
        <v>45431.2916666667</v>
      </c>
      <c r="CA35" s="26"/>
      <c r="CB35" s="345"/>
      <c r="CC35" s="345"/>
      <c r="CD35" s="1" t="s">
        <v>733</v>
      </c>
    </row>
    <row r="36" customFormat="false" ht="12.75" hidden="false" customHeight="false" outlineLevel="0" collapsed="false">
      <c r="A36" s="181" t="n">
        <f aca="false">TblConstr[[#This Row],[Land]]</f>
        <v>404</v>
      </c>
      <c r="B36" s="132"/>
      <c r="C36" s="69" t="n">
        <f aca="false">TblProd[[#This Row],[Platinum]]</f>
        <v>30523</v>
      </c>
      <c r="D36" s="69" t="n">
        <f aca="false">TblProd[[#This Row],[Lumber]]</f>
        <v>9102</v>
      </c>
      <c r="E36" s="69" t="n">
        <f aca="false">TblProd[[#This Row],[Ore]]</f>
        <v>-357</v>
      </c>
      <c r="F36" s="69" t="n">
        <f aca="false">TblProd[[#This Row],[Gems]]</f>
        <v>-1000</v>
      </c>
      <c r="G36" s="146"/>
      <c r="H36" s="69" t="n">
        <f aca="false">TblMili[[#This Row],[Draftees]]</f>
        <v>-63</v>
      </c>
      <c r="I36" s="130" t="n">
        <f aca="false">TblPop[[#This Row],[Employment]]</f>
        <v>1</v>
      </c>
      <c r="J36" s="130" t="n">
        <f aca="false">TblPop[[#This Row],[Total]]/TblPop[[#This Row],[Net max]]</f>
        <v>0.764899108399812</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0</v>
      </c>
      <c r="Z36" s="340" t="n">
        <f aca="false">keep_cap*(1-EXP(-TblImps[[#This Row],[Σ Keep]]/(keep_param*(OFFSET(TblImps[[#This Row],[Land]],1,0)-OFFSET(TblExplore[[#This Row],[Land Bonus]],1,0)*20)+15000)))*(1+(mason_bonus*TblConstr[[#This Row],[Tot Mas]]/TblConstr[[#This Row],[Land (2)]]))</f>
        <v>0</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0</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0</v>
      </c>
      <c r="AG36" s="33" t="n">
        <f aca="false">(1+Overview!$I$28)*SUM(TblImps[[#This Row],[P3]:[G3]])+OFFSET(TblImps[[#This Row],[Σ Keep]],-1,0)</f>
        <v>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6" t="n">
        <f aca="false">OFFSET(TblImps[[#This Row],[Real time]],-1,0)+1/24</f>
        <v>45431.0833333333</v>
      </c>
      <c r="BZ36" s="347" t="n">
        <f aca="false">OFFSET(TblImps[[#This Row],[Servertime]],-1,0)+1/24</f>
        <v>45431.3333333333</v>
      </c>
      <c r="CA36" s="26"/>
      <c r="CB36" s="345"/>
      <c r="CC36" s="345"/>
      <c r="CD36" s="1" t="s">
        <v>734</v>
      </c>
    </row>
    <row r="37" customFormat="false" ht="12.75" hidden="false" customHeight="false" outlineLevel="0" collapsed="false">
      <c r="A37" s="181" t="n">
        <f aca="false">TblConstr[[#This Row],[Land]]</f>
        <v>407</v>
      </c>
      <c r="B37" s="132"/>
      <c r="C37" s="69" t="n">
        <f aca="false">TblProd[[#This Row],[Platinum]]</f>
        <v>36528</v>
      </c>
      <c r="D37" s="69" t="n">
        <f aca="false">TblProd[[#This Row],[Lumber]]</f>
        <v>9848</v>
      </c>
      <c r="E37" s="69" t="n">
        <f aca="false">TblProd[[#This Row],[Ore]]</f>
        <v>-357</v>
      </c>
      <c r="F37" s="69" t="n">
        <f aca="false">TblProd[[#This Row],[Gems]]</f>
        <v>-1000</v>
      </c>
      <c r="G37" s="146"/>
      <c r="H37" s="69" t="n">
        <f aca="false">TblMili[[#This Row],[Draftees]]</f>
        <v>-68</v>
      </c>
      <c r="I37" s="130" t="n">
        <f aca="false">TblPop[[#This Row],[Employment]]</f>
        <v>1</v>
      </c>
      <c r="J37" s="130" t="n">
        <f aca="false">TblPop[[#This Row],[Total]]/TblPop[[#This Row],[Net max]]</f>
        <v>0.788926277148975</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0</v>
      </c>
      <c r="Z37" s="340" t="n">
        <f aca="false">keep_cap*(1-EXP(-TblImps[[#This Row],[Σ Keep]]/(keep_param*(OFFSET(TblImps[[#This Row],[Land]],1,0)-OFFSET(TblExplore[[#This Row],[Land Bonus]],1,0)*20)+15000)))*(1+(mason_bonus*TblConstr[[#This Row],[Tot Mas]]/TblConstr[[#This Row],[Land (2)]]))</f>
        <v>0</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0</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0</v>
      </c>
      <c r="AG37" s="33" t="n">
        <f aca="false">(1+Overview!$I$28)*SUM(TblImps[[#This Row],[P3]:[G3]])+OFFSET(TblImps[[#This Row],[Σ Keep]],-1,0)</f>
        <v>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6" t="n">
        <f aca="false">OFFSET(TblImps[[#This Row],[Real time]],-1,0)+1/24</f>
        <v>45431.125</v>
      </c>
      <c r="BZ37" s="347" t="n">
        <f aca="false">OFFSET(TblImps[[#This Row],[Servertime]],-1,0)+1/24</f>
        <v>45431.375</v>
      </c>
      <c r="CA37" s="26"/>
      <c r="CB37" s="345"/>
      <c r="CC37" s="345"/>
      <c r="CD37" s="1" t="s">
        <v>735</v>
      </c>
    </row>
    <row r="38" customFormat="false" ht="12.75" hidden="false" customHeight="false" outlineLevel="0" collapsed="false">
      <c r="A38" s="181" t="n">
        <f aca="false">TblConstr[[#This Row],[Land]]</f>
        <v>409</v>
      </c>
      <c r="B38" s="132"/>
      <c r="C38" s="69" t="n">
        <f aca="false">TblProd[[#This Row],[Platinum]]</f>
        <v>42167</v>
      </c>
      <c r="D38" s="69" t="n">
        <f aca="false">TblProd[[#This Row],[Lumber]]</f>
        <v>10653</v>
      </c>
      <c r="E38" s="69" t="n">
        <f aca="false">TblProd[[#This Row],[Ore]]</f>
        <v>-357</v>
      </c>
      <c r="F38" s="69" t="n">
        <f aca="false">TblProd[[#This Row],[Gems]]</f>
        <v>-1000</v>
      </c>
      <c r="G38" s="146"/>
      <c r="H38" s="69" t="n">
        <f aca="false">TblMili[[#This Row],[Draftees]]</f>
        <v>-76</v>
      </c>
      <c r="I38" s="130" t="n">
        <f aca="false">TblPop[[#This Row],[Employment]]</f>
        <v>1</v>
      </c>
      <c r="J38" s="130" t="n">
        <f aca="false">TblPop[[#This Row],[Total]]/TblPop[[#This Row],[Net max]]</f>
        <v>0.826318188725118</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0</v>
      </c>
      <c r="Z38" s="340" t="n">
        <f aca="false">keep_cap*(1-EXP(-TblImps[[#This Row],[Σ Keep]]/(keep_param*(OFFSET(TblImps[[#This Row],[Land]],1,0)-OFFSET(TblExplore[[#This Row],[Land Bonus]],1,0)*20)+15000)))*(1+(mason_bonus*TblConstr[[#This Row],[Tot Mas]]/TblConstr[[#This Row],[Land (2)]]))</f>
        <v>0</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0</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0</v>
      </c>
      <c r="AG38" s="33" t="n">
        <f aca="false">(1+Overview!$I$28)*SUM(TblImps[[#This Row],[P3]:[G3]])+OFFSET(TblImps[[#This Row],[Σ Keep]],-1,0)</f>
        <v>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6" t="n">
        <f aca="false">OFFSET(TblImps[[#This Row],[Real time]],-1,0)+1/24</f>
        <v>45431.1666666667</v>
      </c>
      <c r="BZ38" s="347" t="n">
        <f aca="false">OFFSET(TblImps[[#This Row],[Servertime]],-1,0)+1/24</f>
        <v>45431.4166666667</v>
      </c>
      <c r="CA38" s="26"/>
      <c r="CB38" s="345"/>
      <c r="CC38" s="345"/>
      <c r="CD38" s="1" t="s">
        <v>736</v>
      </c>
    </row>
    <row r="39" customFormat="false" ht="12.75" hidden="false" customHeight="false" outlineLevel="0" collapsed="false">
      <c r="A39" s="181" t="n">
        <f aca="false">TblConstr[[#This Row],[Land]]</f>
        <v>419</v>
      </c>
      <c r="B39" s="132"/>
      <c r="C39" s="69" t="n">
        <f aca="false">TblProd[[#This Row],[Platinum]]</f>
        <v>43805</v>
      </c>
      <c r="D39" s="69" t="n">
        <f aca="false">TblProd[[#This Row],[Lumber]]</f>
        <v>10901</v>
      </c>
      <c r="E39" s="69" t="n">
        <f aca="false">TblProd[[#This Row],[Ore]]</f>
        <v>-357</v>
      </c>
      <c r="F39" s="69" t="n">
        <f aca="false">TblProd[[#This Row],[Gems]]</f>
        <v>-1000</v>
      </c>
      <c r="G39" s="146"/>
      <c r="H39" s="69" t="n">
        <f aca="false">TblMili[[#This Row],[Draftees]]</f>
        <v>-86</v>
      </c>
      <c r="I39" s="130" t="n">
        <f aca="false">TblPop[[#This Row],[Employment]]</f>
        <v>1</v>
      </c>
      <c r="J39" s="130" t="n">
        <f aca="false">TblPop[[#This Row],[Total]]/TblPop[[#This Row],[Net max]]</f>
        <v>0.860597866907015</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0</v>
      </c>
      <c r="Z39" s="340" t="n">
        <f aca="false">keep_cap*(1-EXP(-TblImps[[#This Row],[Σ Keep]]/(keep_param*(OFFSET(TblImps[[#This Row],[Land]],1,0)-OFFSET(TblExplore[[#This Row],[Land Bonus]],1,0)*20)+15000)))*(1+(mason_bonus*TblConstr[[#This Row],[Tot Mas]]/TblConstr[[#This Row],[Land (2)]]))</f>
        <v>0</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0</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0</v>
      </c>
      <c r="AG39" s="33" t="n">
        <f aca="false">(1+Overview!$I$28)*SUM(TblImps[[#This Row],[P3]:[G3]])+OFFSET(TblImps[[#This Row],[Σ Keep]],-1,0)</f>
        <v>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6" t="n">
        <f aca="false">OFFSET(TblImps[[#This Row],[Real time]],-1,0)+1/24</f>
        <v>45431.2083333333</v>
      </c>
      <c r="BZ39" s="347" t="n">
        <f aca="false">OFFSET(TblImps[[#This Row],[Servertime]],-1,0)+1/24</f>
        <v>45431.4583333333</v>
      </c>
      <c r="CA39" s="26"/>
      <c r="CB39" s="345"/>
      <c r="CC39" s="345"/>
      <c r="CD39" s="1" t="s">
        <v>737</v>
      </c>
    </row>
    <row r="40" customFormat="false" ht="12.75" hidden="false" customHeight="false" outlineLevel="0" collapsed="false">
      <c r="A40" s="181" t="n">
        <f aca="false">TblConstr[[#This Row],[Land]]</f>
        <v>419</v>
      </c>
      <c r="B40" s="132"/>
      <c r="C40" s="69" t="n">
        <f aca="false">TblProd[[#This Row],[Platinum]]</f>
        <v>50577</v>
      </c>
      <c r="D40" s="69" t="n">
        <f aca="false">TblProd[[#This Row],[Lumber]]</f>
        <v>11827</v>
      </c>
      <c r="E40" s="69" t="n">
        <f aca="false">TblProd[[#This Row],[Ore]]</f>
        <v>-357</v>
      </c>
      <c r="F40" s="69" t="n">
        <f aca="false">TblProd[[#This Row],[Gems]]</f>
        <v>-1000</v>
      </c>
      <c r="G40" s="146"/>
      <c r="H40" s="69" t="n">
        <f aca="false">TblMili[[#This Row],[Draftees]]</f>
        <v>-93</v>
      </c>
      <c r="I40" s="130" t="n">
        <f aca="false">TblPop[[#This Row],[Employment]]</f>
        <v>1</v>
      </c>
      <c r="J40" s="130" t="n">
        <f aca="false">TblPop[[#This Row],[Total]]/TblPop[[#This Row],[Net max]]</f>
        <v>0.892814902424601</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0</v>
      </c>
      <c r="Z40" s="340" t="n">
        <f aca="false">keep_cap*(1-EXP(-TblImps[[#This Row],[Σ Keep]]/(keep_param*(OFFSET(TblImps[[#This Row],[Land]],1,0)-OFFSET(TblExplore[[#This Row],[Land Bonus]],1,0)*20)+15000)))*(1+(mason_bonus*TblConstr[[#This Row],[Tot Mas]]/TblConstr[[#This Row],[Land (2)]]))</f>
        <v>0</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0</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0</v>
      </c>
      <c r="AG40" s="33" t="n">
        <f aca="false">(1+Overview!$I$28)*SUM(TblImps[[#This Row],[P3]:[G3]])+OFFSET(TblImps[[#This Row],[Σ Keep]],-1,0)</f>
        <v>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6" t="n">
        <f aca="false">OFFSET(TblImps[[#This Row],[Real time]],-1,0)+1/24</f>
        <v>45431.25</v>
      </c>
      <c r="BZ40" s="347" t="n">
        <f aca="false">OFFSET(TblImps[[#This Row],[Servertime]],-1,0)+1/24</f>
        <v>45431.5</v>
      </c>
      <c r="CA40" s="26"/>
      <c r="CB40" s="345"/>
      <c r="CC40" s="345"/>
      <c r="CD40" s="1" t="s">
        <v>738</v>
      </c>
    </row>
    <row r="41" customFormat="false" ht="12.75" hidden="false" customHeight="false" outlineLevel="0" collapsed="false">
      <c r="A41" s="181" t="n">
        <f aca="false">TblConstr[[#This Row],[Land]]</f>
        <v>419</v>
      </c>
      <c r="B41" s="132"/>
      <c r="C41" s="69" t="n">
        <f aca="false">TblProd[[#This Row],[Platinum]]</f>
        <v>58290</v>
      </c>
      <c r="D41" s="69" t="n">
        <f aca="false">TblProd[[#This Row],[Lumber]]</f>
        <v>12744</v>
      </c>
      <c r="E41" s="69" t="n">
        <f aca="false">TblProd[[#This Row],[Ore]]</f>
        <v>-357</v>
      </c>
      <c r="F41" s="69" t="n">
        <f aca="false">TblProd[[#This Row],[Gems]]</f>
        <v>-1000</v>
      </c>
      <c r="G41" s="146"/>
      <c r="H41" s="69" t="n">
        <f aca="false">TblMili[[#This Row],[Draftees]]</f>
        <v>-97</v>
      </c>
      <c r="I41" s="130" t="n">
        <f aca="false">TblPop[[#This Row],[Employment]]</f>
        <v>0.964125560538117</v>
      </c>
      <c r="J41" s="130" t="n">
        <f aca="false">TblPop[[#This Row],[Total]]/TblPop[[#This Row],[Net max]]</f>
        <v>0.941750443524542</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0</v>
      </c>
      <c r="Z41" s="340" t="n">
        <f aca="false">keep_cap*(1-EXP(-TblImps[[#This Row],[Σ Keep]]/(keep_param*(OFFSET(TblImps[[#This Row],[Land]],1,0)-OFFSET(TblExplore[[#This Row],[Land Bonus]],1,0)*20)+15000)))*(1+(mason_bonus*TblConstr[[#This Row],[Tot Mas]]/TblConstr[[#This Row],[Land (2)]]))</f>
        <v>0</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0</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0</v>
      </c>
      <c r="AG41" s="33" t="n">
        <f aca="false">(1+Overview!$I$28)*SUM(TblImps[[#This Row],[P3]:[G3]])+OFFSET(TblImps[[#This Row],[Σ Keep]],-1,0)</f>
        <v>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6" t="n">
        <f aca="false">OFFSET(TblImps[[#This Row],[Real time]],-1,0)+1/24</f>
        <v>45431.2916666667</v>
      </c>
      <c r="BZ41" s="347" t="n">
        <f aca="false">OFFSET(TblImps[[#This Row],[Servertime]],-1,0)+1/24</f>
        <v>45431.5416666667</v>
      </c>
      <c r="CA41" s="26"/>
      <c r="CB41" s="345"/>
      <c r="CC41" s="345"/>
    </row>
    <row r="42" customFormat="false" ht="12.75" hidden="false" customHeight="false" outlineLevel="0" collapsed="false">
      <c r="A42" s="181" t="n">
        <f aca="false">TblConstr[[#This Row],[Land]]</f>
        <v>419</v>
      </c>
      <c r="B42" s="132"/>
      <c r="C42" s="69" t="n">
        <f aca="false">TblProd[[#This Row],[Platinum]]</f>
        <v>64780</v>
      </c>
      <c r="D42" s="69" t="n">
        <f aca="false">TblProd[[#This Row],[Lumber]]</f>
        <v>13652</v>
      </c>
      <c r="E42" s="69" t="n">
        <f aca="false">TblProd[[#This Row],[Ore]]</f>
        <v>-357</v>
      </c>
      <c r="F42" s="69" t="n">
        <f aca="false">TblProd[[#This Row],[Gems]]</f>
        <v>-1000</v>
      </c>
      <c r="G42" s="146"/>
      <c r="H42" s="69" t="n">
        <f aca="false">TblMili[[#This Row],[Draftees]]</f>
        <v>-102</v>
      </c>
      <c r="I42" s="130" t="n">
        <f aca="false">TblPop[[#This Row],[Employment]]</f>
        <v>0.91745144202472</v>
      </c>
      <c r="J42" s="130" t="n">
        <f aca="false">TblPop[[#This Row],[Total]]/TblPop[[#This Row],[Net max]]</f>
        <v>0.989651094027203</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0</v>
      </c>
      <c r="Z42" s="340" t="n">
        <f aca="false">keep_cap*(1-EXP(-TblImps[[#This Row],[Σ Keep]]/(keep_param*(OFFSET(TblImps[[#This Row],[Land]],1,0)-OFFSET(TblExplore[[#This Row],[Land Bonus]],1,0)*20)+15000)))*(1+(mason_bonus*TblConstr[[#This Row],[Tot Mas]]/TblConstr[[#This Row],[Land (2)]]))</f>
        <v>0</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0</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0</v>
      </c>
      <c r="AG42" s="33" t="n">
        <f aca="false">(1+Overview!$I$28)*SUM(TblImps[[#This Row],[P3]:[G3]])+OFFSET(TblImps[[#This Row],[Σ Keep]],-1,0)</f>
        <v>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6" t="n">
        <f aca="false">OFFSET(TblImps[[#This Row],[Real time]],-1,0)+1/24</f>
        <v>45431.3333333333</v>
      </c>
      <c r="BZ42" s="347" t="n">
        <f aca="false">OFFSET(TblImps[[#This Row],[Servertime]],-1,0)+1/24</f>
        <v>45431.5833333333</v>
      </c>
      <c r="CA42" s="350"/>
      <c r="CB42" s="345"/>
      <c r="CC42" s="345"/>
    </row>
    <row r="43" customFormat="false" ht="12.75" hidden="false" customHeight="false" outlineLevel="0" collapsed="false">
      <c r="A43" s="181" t="n">
        <f aca="false">TblConstr[[#This Row],[Land]]</f>
        <v>419</v>
      </c>
      <c r="B43" s="132"/>
      <c r="C43" s="69" t="n">
        <f aca="false">TblProd[[#This Row],[Platinum]]</f>
        <v>72799</v>
      </c>
      <c r="D43" s="69" t="n">
        <f aca="false">TblProd[[#This Row],[Lumber]]</f>
        <v>14550</v>
      </c>
      <c r="E43" s="69" t="n">
        <f aca="false">TblProd[[#This Row],[Ore]]</f>
        <v>-357</v>
      </c>
      <c r="F43" s="69" t="n">
        <f aca="false">TblProd[[#This Row],[Gems]]</f>
        <v>-1000</v>
      </c>
      <c r="G43" s="146"/>
      <c r="H43" s="69" t="n">
        <f aca="false">TblMili[[#This Row],[Draftees]]</f>
        <v>-99</v>
      </c>
      <c r="I43" s="130" t="n">
        <f aca="false">TblPop[[#This Row],[Employment]]</f>
        <v>0.917181523977641</v>
      </c>
      <c r="J43" s="130" t="n">
        <f aca="false">TblPop[[#This Row],[Total]]/TblPop[[#This Row],[Net max]]</f>
        <v>0.990390301596688</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0</v>
      </c>
      <c r="Z43" s="340" t="n">
        <f aca="false">keep_cap*(1-EXP(-TblImps[[#This Row],[Σ Keep]]/(keep_param*(OFFSET(TblImps[[#This Row],[Land]],1,0)-OFFSET(TblExplore[[#This Row],[Land Bonus]],1,0)*20)+15000)))*(1+(mason_bonus*TblConstr[[#This Row],[Tot Mas]]/TblConstr[[#This Row],[Land (2)]]))</f>
        <v>0</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0</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0</v>
      </c>
      <c r="AG43" s="33" t="n">
        <f aca="false">(1+Overview!$I$28)*SUM(TblImps[[#This Row],[P3]:[G3]])+OFFSET(TblImps[[#This Row],[Σ Keep]],-1,0)</f>
        <v>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6" t="n">
        <f aca="false">OFFSET(TblImps[[#This Row],[Real time]],-1,0)+1/24</f>
        <v>45431.375</v>
      </c>
      <c r="BZ43" s="347" t="n">
        <f aca="false">OFFSET(TblImps[[#This Row],[Servertime]],-1,0)+1/24</f>
        <v>45431.625</v>
      </c>
      <c r="CA43" s="26"/>
      <c r="CB43" s="345"/>
      <c r="CC43" s="345"/>
    </row>
    <row r="44" customFormat="false" ht="12.75" hidden="false" customHeight="false" outlineLevel="0" collapsed="false">
      <c r="A44" s="181" t="n">
        <f aca="false">TblConstr[[#This Row],[Land]]</f>
        <v>501</v>
      </c>
      <c r="B44" s="132"/>
      <c r="C44" s="69" t="n">
        <f aca="false">TblProd[[#This Row],[Platinum]]</f>
        <v>41346</v>
      </c>
      <c r="D44" s="69" t="n">
        <f aca="false">TblProd[[#This Row],[Lumber]]</f>
        <v>8962</v>
      </c>
      <c r="E44" s="69" t="n">
        <f aca="false">TblProd[[#This Row],[Ore]]</f>
        <v>-357</v>
      </c>
      <c r="F44" s="69" t="n">
        <f aca="false">TblProd[[#This Row],[Gems]]</f>
        <v>-1000</v>
      </c>
      <c r="G44" s="146"/>
      <c r="H44" s="69" t="n">
        <f aca="false">TblMili[[#This Row],[Draftees]]</f>
        <v>-97</v>
      </c>
      <c r="I44" s="130" t="n">
        <f aca="false">TblPop[[#This Row],[Employment]]</f>
        <v>1</v>
      </c>
      <c r="J44" s="130" t="n">
        <f aca="false">TblPop[[#This Row],[Total]]/TblPop[[#This Row],[Net max]]</f>
        <v>0.978348369188064</v>
      </c>
      <c r="K44" s="336" t="n">
        <f aca="false">TblRezone[[#This Row],[Hour]]</f>
        <v>41</v>
      </c>
      <c r="L44" s="337" t="n">
        <f aca="false">TblImps[[#This Row],[Real time]]</f>
        <v>45431.4166666667</v>
      </c>
      <c r="M44" s="33" t="n">
        <f aca="false">IF(ISERROR(TblImps[[#This Row],[algorithm]]),0,TblImps[[#This Row],[algorithm]]*1)</f>
        <v>1</v>
      </c>
      <c r="N44" s="69" t="n">
        <f aca="false">TblImps[[#This Row],[Land]]</f>
        <v>501</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0</v>
      </c>
      <c r="Z44" s="340" t="n">
        <f aca="false">keep_cap*(1-EXP(-TblImps[[#This Row],[Σ Keep]]/(keep_param*(OFFSET(TblImps[[#This Row],[Land]],1,0)-OFFSET(TblExplore[[#This Row],[Land Bonus]],1,0)*20)+15000)))*(1+(mason_bonus*TblConstr[[#This Row],[Tot Mas]]/TblConstr[[#This Row],[Land (2)]]))</f>
        <v>0</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0</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0</v>
      </c>
      <c r="AG44" s="33" t="n">
        <f aca="false">(1+Overview!$I$28)*SUM(TblImps[[#This Row],[P3]:[G3]])+OFFSET(TblImps[[#This Row],[Σ Keep]],-1,0)</f>
        <v>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6" t="n">
        <f aca="false">OFFSET(TblImps[[#This Row],[Real time]],-1,0)+1/24</f>
        <v>45431.4166666667</v>
      </c>
      <c r="BZ44" s="347" t="n">
        <f aca="false">OFFSET(TblImps[[#This Row],[Servertime]],-1,0)+1/24</f>
        <v>45431.6666666667</v>
      </c>
      <c r="CA44" s="26"/>
      <c r="CB44" s="345"/>
      <c r="CC44" s="345"/>
    </row>
    <row r="45" customFormat="false" ht="12.75" hidden="false" customHeight="false" outlineLevel="0" collapsed="false">
      <c r="A45" s="181" t="n">
        <f aca="false">TblConstr[[#This Row],[Land]]</f>
        <v>510</v>
      </c>
      <c r="B45" s="132"/>
      <c r="C45" s="69" t="n">
        <f aca="false">TblProd[[#This Row],[Platinum]]</f>
        <v>47794</v>
      </c>
      <c r="D45" s="69" t="n">
        <f aca="false">TblProd[[#This Row],[Lumber]]</f>
        <v>9178</v>
      </c>
      <c r="E45" s="69" t="n">
        <f aca="false">TblProd[[#This Row],[Ore]]</f>
        <v>-357</v>
      </c>
      <c r="F45" s="69" t="n">
        <f aca="false">TblProd[[#This Row],[Gems]]</f>
        <v>-1000</v>
      </c>
      <c r="G45" s="146"/>
      <c r="H45" s="69" t="n">
        <f aca="false">TblMili[[#This Row],[Draftees]]</f>
        <v>-98</v>
      </c>
      <c r="I45" s="130" t="n">
        <f aca="false">TblPop[[#This Row],[Employment]]</f>
        <v>1</v>
      </c>
      <c r="J45" s="130" t="n">
        <f aca="false">TblPop[[#This Row],[Total]]/TblPop[[#This Row],[Net max]]</f>
        <v>0.911135693215339</v>
      </c>
      <c r="K45" s="336" t="n">
        <f aca="false">TblRezone[[#This Row],[Hour]]</f>
        <v>42</v>
      </c>
      <c r="L45" s="337" t="n">
        <f aca="false">TblImps[[#This Row],[Real time]]</f>
        <v>45431.4583333333</v>
      </c>
      <c r="M45" s="33" t="n">
        <f aca="false">IF(ISERROR(TblImps[[#This Row],[algorithm]]),0,TblImps[[#This Row],[algorithm]]*1)</f>
        <v>1</v>
      </c>
      <c r="N45" s="69" t="n">
        <f aca="false">TblImps[[#This Row],[Land]]</f>
        <v>510</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0</v>
      </c>
      <c r="Z45" s="340" t="n">
        <f aca="false">keep_cap*(1-EXP(-TblImps[[#This Row],[Σ Keep]]/(keep_param*(OFFSET(TblImps[[#This Row],[Land]],1,0)-OFFSET(TblExplore[[#This Row],[Land Bonus]],1,0)*20)+15000)))*(1+(mason_bonus*TblConstr[[#This Row],[Tot Mas]]/TblConstr[[#This Row],[Land (2)]]))</f>
        <v>0</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0</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0</v>
      </c>
      <c r="AG45" s="33" t="n">
        <f aca="false">(1+Overview!$I$28)*SUM(TblImps[[#This Row],[P3]:[G3]])+OFFSET(TblImps[[#This Row],[Σ Keep]],-1,0)</f>
        <v>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6" t="n">
        <f aca="false">OFFSET(TblImps[[#This Row],[Real time]],-1,0)+1/24</f>
        <v>45431.4583333333</v>
      </c>
      <c r="BZ45" s="347" t="n">
        <f aca="false">OFFSET(TblImps[[#This Row],[Servertime]],-1,0)+1/24</f>
        <v>45431.7083333333</v>
      </c>
      <c r="CA45" s="26"/>
      <c r="CB45" s="345"/>
      <c r="CC45" s="345"/>
    </row>
    <row r="46" customFormat="false" ht="12.75" hidden="false" customHeight="false" outlineLevel="0" collapsed="false">
      <c r="A46" s="181" t="n">
        <f aca="false">TblConstr[[#This Row],[Land]]</f>
        <v>520</v>
      </c>
      <c r="B46" s="132"/>
      <c r="C46" s="69" t="n">
        <f aca="false">TblProd[[#This Row],[Platinum]]</f>
        <v>62940</v>
      </c>
      <c r="D46" s="69" t="n">
        <f aca="false">TblProd[[#This Row],[Lumber]]</f>
        <v>9391</v>
      </c>
      <c r="E46" s="69" t="n">
        <f aca="false">TblProd[[#This Row],[Ore]]</f>
        <v>-357</v>
      </c>
      <c r="F46" s="69" t="n">
        <f aca="false">TblProd[[#This Row],[Gems]]</f>
        <v>-1000</v>
      </c>
      <c r="G46" s="146"/>
      <c r="H46" s="69" t="n">
        <f aca="false">TblMili[[#This Row],[Draftees]]</f>
        <v>-71</v>
      </c>
      <c r="I46" s="130" t="n">
        <f aca="false">TblPop[[#This Row],[Employment]]</f>
        <v>1</v>
      </c>
      <c r="J46" s="130" t="n">
        <f aca="false">TblPop[[#This Row],[Total]]/TblPop[[#This Row],[Net max]]</f>
        <v>0.943767346446241</v>
      </c>
      <c r="K46" s="336" t="n">
        <f aca="false">TblRezone[[#This Row],[Hour]]</f>
        <v>43</v>
      </c>
      <c r="L46" s="337" t="n">
        <f aca="false">TblImps[[#This Row],[Real time]]</f>
        <v>45431.5</v>
      </c>
      <c r="M46" s="33" t="n">
        <f aca="false">IF(ISERROR(TblImps[[#This Row],[algorithm]]),0,TblImps[[#This Row],[algorithm]]*1)</f>
        <v>1</v>
      </c>
      <c r="N46" s="69" t="n">
        <f aca="false">TblImps[[#This Row],[Land]]</f>
        <v>520</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0</v>
      </c>
      <c r="Z46" s="340" t="n">
        <f aca="false">keep_cap*(1-EXP(-TblImps[[#This Row],[Σ Keep]]/(keep_param*(OFFSET(TblImps[[#This Row],[Land]],1,0)-OFFSET(TblExplore[[#This Row],[Land Bonus]],1,0)*20)+15000)))*(1+(mason_bonus*TblConstr[[#This Row],[Tot Mas]]/TblConstr[[#This Row],[Land (2)]]))</f>
        <v>0</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0</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0</v>
      </c>
      <c r="AG46" s="33" t="n">
        <f aca="false">(1+Overview!$I$28)*SUM(TblImps[[#This Row],[P3]:[G3]])+OFFSET(TblImps[[#This Row],[Σ Keep]],-1,0)</f>
        <v>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6" t="n">
        <f aca="false">OFFSET(TblImps[[#This Row],[Real time]],-1,0)+1/24</f>
        <v>45431.5</v>
      </c>
      <c r="BZ46" s="347" t="n">
        <f aca="false">OFFSET(TblImps[[#This Row],[Servertime]],-1,0)+1/24</f>
        <v>45431.75</v>
      </c>
      <c r="CA46" s="26"/>
      <c r="CB46" s="345"/>
      <c r="CC46" s="345"/>
    </row>
    <row r="47" customFormat="false" ht="12.75" hidden="false" customHeight="false" outlineLevel="0" collapsed="false">
      <c r="A47" s="181" t="n">
        <f aca="false">TblConstr[[#This Row],[Land]]</f>
        <v>530</v>
      </c>
      <c r="B47" s="132"/>
      <c r="C47" s="69" t="n">
        <f aca="false">TblProd[[#This Row],[Platinum]]</f>
        <v>95998</v>
      </c>
      <c r="D47" s="69" t="n">
        <f aca="false">TblProd[[#This Row],[Lumber]]</f>
        <v>9592</v>
      </c>
      <c r="E47" s="69" t="n">
        <f aca="false">TblProd[[#This Row],[Ore]]</f>
        <v>-357</v>
      </c>
      <c r="F47" s="69" t="n">
        <f aca="false">TblProd[[#This Row],[Gems]]</f>
        <v>-1000</v>
      </c>
      <c r="G47" s="146"/>
      <c r="H47" s="69" t="n">
        <f aca="false">TblMili[[#This Row],[Draftees]]</f>
        <v>8</v>
      </c>
      <c r="I47" s="130" t="n">
        <f aca="false">TblPop[[#This Row],[Employment]]</f>
        <v>1</v>
      </c>
      <c r="J47" s="130" t="n">
        <f aca="false">TblPop[[#This Row],[Total]]/TblPop[[#This Row],[Net max]]</f>
        <v>0.982009705290567</v>
      </c>
      <c r="K47" s="336" t="n">
        <f aca="false">TblRezone[[#This Row],[Hour]]</f>
        <v>44</v>
      </c>
      <c r="L47" s="337" t="n">
        <f aca="false">TblImps[[#This Row],[Real time]]</f>
        <v>45431.5416666667</v>
      </c>
      <c r="M47" s="33" t="n">
        <f aca="false">IF(ISERROR(TblImps[[#This Row],[algorithm]]),0,TblImps[[#This Row],[algorithm]]*1)</f>
        <v>1</v>
      </c>
      <c r="N47" s="69" t="n">
        <f aca="false">TblImps[[#This Row],[Land]]</f>
        <v>530</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0</v>
      </c>
      <c r="Z47" s="340" t="n">
        <f aca="false">keep_cap*(1-EXP(-TblImps[[#This Row],[Σ Keep]]/(keep_param*(OFFSET(TblImps[[#This Row],[Land]],1,0)-OFFSET(TblExplore[[#This Row],[Land Bonus]],1,0)*20)+15000)))*(1+(mason_bonus*TblConstr[[#This Row],[Tot Mas]]/TblConstr[[#This Row],[Land (2)]]))</f>
        <v>0</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0</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0</v>
      </c>
      <c r="AG47" s="33" t="n">
        <f aca="false">(1+Overview!$I$28)*SUM(TblImps[[#This Row],[P3]:[G3]])+OFFSET(TblImps[[#This Row],[Σ Keep]],-1,0)</f>
        <v>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6" t="n">
        <f aca="false">OFFSET(TblImps[[#This Row],[Real time]],-1,0)+1/24</f>
        <v>45431.5416666667</v>
      </c>
      <c r="BZ47" s="347" t="n">
        <f aca="false">OFFSET(TblImps[[#This Row],[Servertime]],-1,0)+1/24</f>
        <v>45431.7916666667</v>
      </c>
      <c r="CA47" s="26"/>
      <c r="CB47" s="345"/>
      <c r="CC47" s="345"/>
    </row>
    <row r="48" customFormat="false" ht="12.75" hidden="false" customHeight="false" outlineLevel="0" collapsed="false">
      <c r="A48" s="181" t="n">
        <f aca="false">TblConstr[[#This Row],[Land]]</f>
        <v>540</v>
      </c>
      <c r="B48" s="132"/>
      <c r="C48" s="69" t="n">
        <f aca="false">TblProd[[#This Row],[Platinum]]</f>
        <v>130185</v>
      </c>
      <c r="D48" s="69" t="n">
        <f aca="false">TblProd[[#This Row],[Lumber]]</f>
        <v>9771</v>
      </c>
      <c r="E48" s="69" t="n">
        <f aca="false">TblProd[[#This Row],[Ore]]</f>
        <v>-357</v>
      </c>
      <c r="F48" s="69" t="n">
        <f aca="false">TblProd[[#This Row],[Gems]]</f>
        <v>-1000</v>
      </c>
      <c r="G48" s="146"/>
      <c r="H48" s="69" t="n">
        <f aca="false">TblMili[[#This Row],[Draftees]]</f>
        <v>91</v>
      </c>
      <c r="I48" s="130" t="n">
        <f aca="false">TblPop[[#This Row],[Employment]]</f>
        <v>0.988378917713347</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540</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0</v>
      </c>
      <c r="Z48" s="340" t="n">
        <f aca="false">keep_cap*(1-EXP(-TblImps[[#This Row],[Σ Keep]]/(keep_param*(OFFSET(TblImps[[#This Row],[Land]],1,0)-OFFSET(TblExplore[[#This Row],[Land Bonus]],1,0)*20)+15000)))*(1+(mason_bonus*TblConstr[[#This Row],[Tot Mas]]/TblConstr[[#This Row],[Land (2)]]))</f>
        <v>0</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0</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0</v>
      </c>
      <c r="AG48" s="33" t="n">
        <f aca="false">(1+Overview!$I$28)*SUM(TblImps[[#This Row],[P3]:[G3]])+OFFSET(TblImps[[#This Row],[Σ Keep]],-1,0)</f>
        <v>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6" t="n">
        <f aca="false">OFFSET(TblImps[[#This Row],[Real time]],-1,0)+1/24</f>
        <v>45431.5833333333</v>
      </c>
      <c r="BZ48" s="347" t="n">
        <f aca="false">OFFSET(TblImps[[#This Row],[Servertime]],-1,0)+1/24</f>
        <v>45431.8333333333</v>
      </c>
      <c r="CA48" s="26"/>
      <c r="CB48" s="345"/>
      <c r="CC48" s="345"/>
    </row>
    <row r="49" customFormat="false" ht="12.75" hidden="false" customHeight="false" outlineLevel="0" collapsed="false">
      <c r="A49" s="181" t="n">
        <f aca="false">TblConstr[[#This Row],[Land]]</f>
        <v>551</v>
      </c>
      <c r="B49" s="132"/>
      <c r="C49" s="69" t="n">
        <f aca="false">TblProd[[#This Row],[Platinum]]</f>
        <v>164221</v>
      </c>
      <c r="D49" s="69" t="n">
        <f aca="false">TblProd[[#This Row],[Lumber]]</f>
        <v>9852</v>
      </c>
      <c r="E49" s="69" t="n">
        <f aca="false">TblProd[[#This Row],[Ore]]</f>
        <v>-357</v>
      </c>
      <c r="F49" s="69" t="n">
        <f aca="false">TblProd[[#This Row],[Gems]]</f>
        <v>-1000</v>
      </c>
      <c r="G49" s="146"/>
      <c r="H49" s="69" t="n">
        <f aca="false">TblMili[[#This Row],[Draftees]]</f>
        <v>176</v>
      </c>
      <c r="I49" s="130" t="n">
        <f aca="false">TblPop[[#This Row],[Employment]]</f>
        <v>0.984187885129636</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551</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0</v>
      </c>
      <c r="Z49" s="340" t="n">
        <f aca="false">keep_cap*(1-EXP(-TblImps[[#This Row],[Σ Keep]]/(keep_param*(OFFSET(TblImps[[#This Row],[Land]],1,0)-OFFSET(TblExplore[[#This Row],[Land Bonus]],1,0)*20)+15000)))*(1+(mason_bonus*TblConstr[[#This Row],[Tot Mas]]/TblConstr[[#This Row],[Land (2)]]))</f>
        <v>0</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0</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0</v>
      </c>
      <c r="AG49" s="33" t="n">
        <f aca="false">(1+Overview!$I$28)*SUM(TblImps[[#This Row],[P3]:[G3]])+OFFSET(TblImps[[#This Row],[Σ Keep]],-1,0)</f>
        <v>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6" t="n">
        <f aca="false">OFFSET(TblImps[[#This Row],[Real time]],-1,0)+1/24</f>
        <v>45431.625</v>
      </c>
      <c r="BZ49" s="347" t="n">
        <f aca="false">OFFSET(TblImps[[#This Row],[Servertime]],-1,0)+1/24</f>
        <v>45431.875</v>
      </c>
      <c r="CA49" s="26"/>
      <c r="CB49" s="345"/>
      <c r="CC49" s="345"/>
    </row>
    <row r="50" customFormat="false" ht="12.75" hidden="false" customHeight="false" outlineLevel="0" collapsed="false">
      <c r="A50" s="181" t="n">
        <f aca="false">TblConstr[[#This Row],[Land]]</f>
        <v>563</v>
      </c>
      <c r="B50" s="132"/>
      <c r="C50" s="69" t="n">
        <f aca="false">TblProd[[#This Row],[Platinum]]</f>
        <v>197828</v>
      </c>
      <c r="D50" s="69" t="n">
        <f aca="false">TblProd[[#This Row],[Lumber]]</f>
        <v>9822</v>
      </c>
      <c r="E50" s="69" t="n">
        <f aca="false">TblProd[[#This Row],[Ore]]</f>
        <v>-357</v>
      </c>
      <c r="F50" s="69" t="n">
        <f aca="false">TblProd[[#This Row],[Gems]]</f>
        <v>-1000</v>
      </c>
      <c r="G50" s="146"/>
      <c r="H50" s="69" t="n">
        <f aca="false">TblMili[[#This Row],[Draftees]]</f>
        <v>262</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563</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0</v>
      </c>
      <c r="Z50" s="340" t="n">
        <f aca="false">keep_cap*(1-EXP(-TblImps[[#This Row],[Σ Keep]]/(keep_param*(OFFSET(TblImps[[#This Row],[Land]],1,0)-OFFSET(TblExplore[[#This Row],[Land Bonus]],1,0)*20)+15000)))*(1+(mason_bonus*TblConstr[[#This Row],[Tot Mas]]/TblConstr[[#This Row],[Land (2)]]))</f>
        <v>0</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0</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0</v>
      </c>
      <c r="AG50" s="33" t="n">
        <f aca="false">(1+Overview!$I$28)*SUM(TblImps[[#This Row],[P3]:[G3]])+OFFSET(TblImps[[#This Row],[Σ Keep]],-1,0)</f>
        <v>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6" t="n">
        <f aca="false">OFFSET(TblImps[[#This Row],[Real time]],-1,0)+1/24</f>
        <v>45431.6666666667</v>
      </c>
      <c r="BZ50" s="347" t="n">
        <f aca="false">OFFSET(TblImps[[#This Row],[Servertime]],-1,0)+1/24</f>
        <v>45431.9166666667</v>
      </c>
      <c r="CA50" s="26"/>
      <c r="CB50" s="345"/>
      <c r="CC50" s="345"/>
    </row>
    <row r="51" customFormat="false" ht="12.75" hidden="false" customHeight="false" outlineLevel="0" collapsed="false">
      <c r="A51" s="181" t="n">
        <f aca="false">TblConstr[[#This Row],[Land]]</f>
        <v>596</v>
      </c>
      <c r="B51" s="132"/>
      <c r="C51" s="69" t="n">
        <f aca="false">TblProd[[#This Row],[Platinum]]</f>
        <v>256520</v>
      </c>
      <c r="D51" s="69" t="n">
        <f aca="false">TblProd[[#This Row],[Lumber]]</f>
        <v>7819</v>
      </c>
      <c r="E51" s="69" t="n">
        <f aca="false">TblProd[[#This Row],[Ore]]</f>
        <v>-357</v>
      </c>
      <c r="F51" s="69" t="n">
        <f aca="false">TblProd[[#This Row],[Gems]]</f>
        <v>-1000</v>
      </c>
      <c r="G51" s="146"/>
      <c r="H51" s="69" t="n">
        <f aca="false">TblMili[[#This Row],[Draftees]]</f>
        <v>349</v>
      </c>
      <c r="I51" s="130" t="n">
        <f aca="false">TblPop[[#This Row],[Employment]]</f>
        <v>0.989216799091941</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596</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0</v>
      </c>
      <c r="Z51" s="340" t="n">
        <f aca="false">keep_cap*(1-EXP(-TblImps[[#This Row],[Σ Keep]]/(keep_param*(OFFSET(TblImps[[#This Row],[Land]],1,0)-OFFSET(TblExplore[[#This Row],[Land Bonus]],1,0)*20)+15000)))*(1+(mason_bonus*TblConstr[[#This Row],[Tot Mas]]/TblConstr[[#This Row],[Land (2)]]))</f>
        <v>0</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0</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0</v>
      </c>
      <c r="AG51" s="33" t="n">
        <f aca="false">(1+Overview!$I$28)*SUM(TblImps[[#This Row],[P3]:[G3]])+OFFSET(TblImps[[#This Row],[Σ Keep]],-1,0)</f>
        <v>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6" t="n">
        <f aca="false">OFFSET(TblImps[[#This Row],[Real time]],-1,0)+1/24</f>
        <v>45431.7083333333</v>
      </c>
      <c r="BZ51" s="347" t="n">
        <f aca="false">OFFSET(TblImps[[#This Row],[Servertime]],-1,0)+1/24</f>
        <v>45431.9583333333</v>
      </c>
      <c r="CA51" s="26"/>
      <c r="CB51" s="345"/>
      <c r="CC51" s="345"/>
    </row>
    <row r="52" customFormat="false" ht="12.75" hidden="false" customHeight="false" outlineLevel="0" collapsed="false">
      <c r="A52" s="181" t="n">
        <f aca="false">TblConstr[[#This Row],[Land]]</f>
        <v>629</v>
      </c>
      <c r="B52" s="132"/>
      <c r="C52" s="69" t="n">
        <f aca="false">TblProd[[#This Row],[Platinum]]</f>
        <v>279495</v>
      </c>
      <c r="D52" s="69" t="n">
        <f aca="false">TblProd[[#This Row],[Lumber]]</f>
        <v>5671</v>
      </c>
      <c r="E52" s="69" t="n">
        <f aca="false">TblProd[[#This Row],[Ore]]</f>
        <v>-357</v>
      </c>
      <c r="F52" s="69" t="n">
        <f aca="false">TblProd[[#This Row],[Gems]]</f>
        <v>-1000</v>
      </c>
      <c r="G52" s="146"/>
      <c r="H52" s="69" t="n">
        <f aca="false">TblMili[[#This Row],[Draftees]]</f>
        <v>437</v>
      </c>
      <c r="I52" s="130" t="n">
        <f aca="false">TblPop[[#This Row],[Employment]]</f>
        <v>0.943590298830663</v>
      </c>
      <c r="J52" s="130" t="n">
        <f aca="false">TblPop[[#This Row],[Total]]/TblPop[[#This Row],[Net max]]</f>
        <v>0.998039620305407</v>
      </c>
      <c r="K52" s="336" t="n">
        <f aca="false">TblRezone[[#This Row],[Hour]]</f>
        <v>49</v>
      </c>
      <c r="L52" s="337" t="n">
        <f aca="false">TblImps[[#This Row],[Real time]]</f>
        <v>45431.75</v>
      </c>
      <c r="M52" s="33" t="n">
        <f aca="false">IF(ISERROR(TblImps[[#This Row],[algorithm]]),0,TblImps[[#This Row],[algorithm]]*1)</f>
        <v>1</v>
      </c>
      <c r="N52" s="69" t="n">
        <f aca="false">TblImps[[#This Row],[Land]]</f>
        <v>629</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0</v>
      </c>
      <c r="Z52" s="340" t="n">
        <f aca="false">keep_cap*(1-EXP(-TblImps[[#This Row],[Σ Keep]]/(keep_param*(OFFSET(TblImps[[#This Row],[Land]],1,0)-OFFSET(TblExplore[[#This Row],[Land Bonus]],1,0)*20)+15000)))*(1+(mason_bonus*TblConstr[[#This Row],[Tot Mas]]/TblConstr[[#This Row],[Land (2)]]))</f>
        <v>0</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0</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0</v>
      </c>
      <c r="AG52" s="33" t="n">
        <f aca="false">(1+Overview!$I$28)*SUM(TblImps[[#This Row],[P3]:[G3]])+OFFSET(TblImps[[#This Row],[Σ Keep]],-1,0)</f>
        <v>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6" t="n">
        <f aca="false">OFFSET(TblImps[[#This Row],[Real time]],-1,0)+1/24</f>
        <v>45431.75</v>
      </c>
      <c r="BZ52" s="347" t="n">
        <f aca="false">OFFSET(TblImps[[#This Row],[Servertime]],-1,0)+1/24</f>
        <v>45432</v>
      </c>
      <c r="CA52" s="26"/>
      <c r="CB52" s="345"/>
      <c r="CC52" s="345"/>
    </row>
    <row r="53" customFormat="false" ht="12.75" hidden="false" customHeight="false" outlineLevel="0" collapsed="false">
      <c r="A53" s="181" t="n">
        <f aca="false">TblConstr[[#This Row],[Land]]</f>
        <v>642</v>
      </c>
      <c r="B53" s="132"/>
      <c r="C53" s="69" t="n">
        <f aca="false">TblProd[[#This Row],[Platinum]]</f>
        <v>312829</v>
      </c>
      <c r="D53" s="69" t="n">
        <f aca="false">TblProd[[#This Row],[Lumber]]</f>
        <v>5452</v>
      </c>
      <c r="E53" s="69" t="n">
        <f aca="false">TblProd[[#This Row],[Ore]]</f>
        <v>-357</v>
      </c>
      <c r="F53" s="69" t="n">
        <f aca="false">TblProd[[#This Row],[Gems]]</f>
        <v>-1000</v>
      </c>
      <c r="G53" s="146"/>
      <c r="H53" s="69" t="n">
        <f aca="false">TblMili[[#This Row],[Draftees]]</f>
        <v>529</v>
      </c>
      <c r="I53" s="130" t="n">
        <f aca="false">TblPop[[#This Row],[Employment]]</f>
        <v>0.900682100041339</v>
      </c>
      <c r="J53" s="130" t="n">
        <f aca="false">TblPop[[#This Row],[Total]]/TblPop[[#This Row],[Net max]]</f>
        <v>0.998141627543036</v>
      </c>
      <c r="K53" s="336" t="n">
        <f aca="false">TblRezone[[#This Row],[Hour]]</f>
        <v>50</v>
      </c>
      <c r="L53" s="337" t="n">
        <f aca="false">TblImps[[#This Row],[Real time]]</f>
        <v>45431.7916666667</v>
      </c>
      <c r="M53" s="33" t="n">
        <f aca="false">IF(ISERROR(TblImps[[#This Row],[algorithm]]),0,TblImps[[#This Row],[algorithm]]*1)</f>
        <v>1</v>
      </c>
      <c r="N53" s="69" t="n">
        <f aca="false">TblImps[[#This Row],[Land]]</f>
        <v>642</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0</v>
      </c>
      <c r="Z53" s="340" t="n">
        <f aca="false">keep_cap*(1-EXP(-TblImps[[#This Row],[Σ Keep]]/(keep_param*(OFFSET(TblImps[[#This Row],[Land]],1,0)-OFFSET(TblExplore[[#This Row],[Land Bonus]],1,0)*20)+15000)))*(1+(mason_bonus*TblConstr[[#This Row],[Tot Mas]]/TblConstr[[#This Row],[Land (2)]]))</f>
        <v>0</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0</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0</v>
      </c>
      <c r="AG53" s="33" t="n">
        <f aca="false">(1+Overview!$I$28)*SUM(TblImps[[#This Row],[P3]:[G3]])+OFFSET(TblImps[[#This Row],[Σ Keep]],-1,0)</f>
        <v>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6" t="n">
        <f aca="false">OFFSET(TblImps[[#This Row],[Real time]],-1,0)+1/24</f>
        <v>45431.7916666667</v>
      </c>
      <c r="BZ53" s="347" t="n">
        <f aca="false">OFFSET(TblImps[[#This Row],[Servertime]],-1,0)+1/24</f>
        <v>45432.0416666667</v>
      </c>
      <c r="CA53" s="26"/>
      <c r="CB53" s="345"/>
      <c r="CC53" s="345"/>
    </row>
    <row r="54" customFormat="false" ht="12.75" hidden="false" customHeight="false" outlineLevel="0" collapsed="false">
      <c r="A54" s="181" t="n">
        <f aca="false">TblConstr[[#This Row],[Land]]</f>
        <v>656</v>
      </c>
      <c r="B54" s="132"/>
      <c r="C54" s="69" t="n">
        <f aca="false">TblProd[[#This Row],[Platinum]]</f>
        <v>345529</v>
      </c>
      <c r="D54" s="69" t="n">
        <f aca="false">TblProd[[#This Row],[Lumber]]</f>
        <v>5108</v>
      </c>
      <c r="E54" s="69" t="n">
        <f aca="false">TblProd[[#This Row],[Ore]]</f>
        <v>-357</v>
      </c>
      <c r="F54" s="69" t="n">
        <f aca="false">TblProd[[#This Row],[Gems]]</f>
        <v>-1000</v>
      </c>
      <c r="G54" s="146"/>
      <c r="H54" s="69" t="n">
        <f aca="false">TblMili[[#This Row],[Draftees]]</f>
        <v>626</v>
      </c>
      <c r="I54" s="130" t="n">
        <f aca="false">TblPop[[#This Row],[Employment]]</f>
        <v>0.888017118402283</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656</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0</v>
      </c>
      <c r="Z54" s="340" t="n">
        <f aca="false">keep_cap*(1-EXP(-TblImps[[#This Row],[Σ Keep]]/(keep_param*(OFFSET(TblImps[[#This Row],[Land]],1,0)-OFFSET(TblExplore[[#This Row],[Land Bonus]],1,0)*20)+15000)))*(1+(mason_bonus*TblConstr[[#This Row],[Tot Mas]]/TblConstr[[#This Row],[Land (2)]]))</f>
        <v>0</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0</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0</v>
      </c>
      <c r="AG54" s="33" t="n">
        <f aca="false">(1+Overview!$I$28)*SUM(TblImps[[#This Row],[P3]:[G3]])+OFFSET(TblImps[[#This Row],[Σ Keep]],-1,0)</f>
        <v>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6" t="n">
        <f aca="false">OFFSET(TblImps[[#This Row],[Real time]],-1,0)+1/24</f>
        <v>45431.8333333333</v>
      </c>
      <c r="BZ54" s="347" t="n">
        <f aca="false">OFFSET(TblImps[[#This Row],[Servertime]],-1,0)+1/24</f>
        <v>45432.0833333333</v>
      </c>
      <c r="CA54" s="26"/>
      <c r="CB54" s="345"/>
      <c r="CC54" s="345"/>
    </row>
    <row r="55" customFormat="false" ht="12.75" hidden="false" customHeight="false" outlineLevel="0" collapsed="false">
      <c r="A55" s="181" t="n">
        <f aca="false">TblConstr[[#This Row],[Land]]</f>
        <v>669</v>
      </c>
      <c r="B55" s="132"/>
      <c r="C55" s="69" t="n">
        <f aca="false">TblProd[[#This Row],[Platinum]]</f>
        <v>378694</v>
      </c>
      <c r="D55" s="69" t="n">
        <f aca="false">TblProd[[#This Row],[Lumber]]</f>
        <v>4843</v>
      </c>
      <c r="E55" s="69" t="n">
        <f aca="false">TblProd[[#This Row],[Ore]]</f>
        <v>-357</v>
      </c>
      <c r="F55" s="69" t="n">
        <f aca="false">TblProd[[#This Row],[Gems]]</f>
        <v>-1000</v>
      </c>
      <c r="G55" s="146"/>
      <c r="H55" s="69" t="n">
        <f aca="false">TblMili[[#This Row],[Draftees]]</f>
        <v>724</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669</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0</v>
      </c>
      <c r="Z55" s="340" t="n">
        <f aca="false">keep_cap*(1-EXP(-TblImps[[#This Row],[Σ Keep]]/(keep_param*(OFFSET(TblImps[[#This Row],[Land]],1,0)-OFFSET(TblExplore[[#This Row],[Land Bonus]],1,0)*20)+15000)))*(1+(mason_bonus*TblConstr[[#This Row],[Tot Mas]]/TblConstr[[#This Row],[Land (2)]]))</f>
        <v>0</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0</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0</v>
      </c>
      <c r="AG55" s="33" t="n">
        <f aca="false">(1+Overview!$I$28)*SUM(TblImps[[#This Row],[P3]:[G3]])+OFFSET(TblImps[[#This Row],[Σ Keep]],-1,0)</f>
        <v>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6" t="n">
        <f aca="false">OFFSET(TblImps[[#This Row],[Real time]],-1,0)+1/24</f>
        <v>45431.875</v>
      </c>
      <c r="BZ55" s="347" t="n">
        <f aca="false">OFFSET(TblImps[[#This Row],[Servertime]],-1,0)+1/24</f>
        <v>45432.125</v>
      </c>
      <c r="CA55" s="26"/>
      <c r="CB55" s="345"/>
      <c r="CC55" s="345"/>
    </row>
    <row r="56" customFormat="false" ht="12.75" hidden="false" customHeight="false" outlineLevel="0" collapsed="false">
      <c r="A56" s="181" t="n">
        <f aca="false">TblConstr[[#This Row],[Land]]</f>
        <v>680</v>
      </c>
      <c r="B56" s="132"/>
      <c r="C56" s="69" t="n">
        <f aca="false">TblProd[[#This Row],[Platinum]]</f>
        <v>418640</v>
      </c>
      <c r="D56" s="69" t="n">
        <f aca="false">TblProd[[#This Row],[Lumber]]</f>
        <v>4754</v>
      </c>
      <c r="E56" s="69" t="n">
        <f aca="false">TblProd[[#This Row],[Ore]]</f>
        <v>-357</v>
      </c>
      <c r="F56" s="69" t="n">
        <f aca="false">TblProd[[#This Row],[Gems]]</f>
        <v>-1000</v>
      </c>
      <c r="G56" s="146"/>
      <c r="H56" s="69" t="n">
        <f aca="false">TblMili[[#This Row],[Draftees]]</f>
        <v>823</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680</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0</v>
      </c>
      <c r="Z56" s="340" t="n">
        <f aca="false">keep_cap*(1-EXP(-TblImps[[#This Row],[Σ Keep]]/(keep_param*(OFFSET(TblImps[[#This Row],[Land]],1,0)-OFFSET(TblExplore[[#This Row],[Land Bonus]],1,0)*20)+15000)))*(1+(mason_bonus*TblConstr[[#This Row],[Tot Mas]]/TblConstr[[#This Row],[Land (2)]]))</f>
        <v>0</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0</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0</v>
      </c>
      <c r="AG56" s="33" t="n">
        <f aca="false">(1+Overview!$I$28)*SUM(TblImps[[#This Row],[P3]:[G3]])+OFFSET(TblImps[[#This Row],[Σ Keep]],-1,0)</f>
        <v>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6" t="n">
        <f aca="false">OFFSET(TblImps[[#This Row],[Real time]],-1,0)+1/24</f>
        <v>45431.9166666667</v>
      </c>
      <c r="BZ56" s="347" t="n">
        <f aca="false">OFFSET(TblImps[[#This Row],[Servertime]],-1,0)+1/24</f>
        <v>45432.1666666667</v>
      </c>
      <c r="CA56" s="26"/>
      <c r="CB56" s="345"/>
      <c r="CC56" s="345"/>
    </row>
    <row r="57" customFormat="false" ht="12.75" hidden="false" customHeight="false" outlineLevel="0" collapsed="false">
      <c r="A57" s="181" t="n">
        <f aca="false">TblConstr[[#This Row],[Land]]</f>
        <v>692</v>
      </c>
      <c r="B57" s="132"/>
      <c r="C57" s="69" t="n">
        <f aca="false">TblProd[[#This Row],[Platinum]]</f>
        <v>458166</v>
      </c>
      <c r="D57" s="69" t="n">
        <f aca="false">TblProd[[#This Row],[Lumber]]</f>
        <v>4523</v>
      </c>
      <c r="E57" s="69" t="n">
        <f aca="false">TblProd[[#This Row],[Ore]]</f>
        <v>-357</v>
      </c>
      <c r="F57" s="69" t="n">
        <f aca="false">TblProd[[#This Row],[Gems]]</f>
        <v>-1000</v>
      </c>
      <c r="G57" s="146"/>
      <c r="H57" s="69" t="n">
        <f aca="false">TblMili[[#This Row],[Draftees]]</f>
        <v>923</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692</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0</v>
      </c>
      <c r="Z57" s="340" t="n">
        <f aca="false">keep_cap*(1-EXP(-TblImps[[#This Row],[Σ Keep]]/(keep_param*(OFFSET(TblImps[[#This Row],[Land]],1,0)-OFFSET(TblExplore[[#This Row],[Land Bonus]],1,0)*20)+15000)))*(1+(mason_bonus*TblConstr[[#This Row],[Tot Mas]]/TblConstr[[#This Row],[Land (2)]]))</f>
        <v>0</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0</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0</v>
      </c>
      <c r="AG57" s="33" t="n">
        <f aca="false">(1+Overview!$I$28)*SUM(TblImps[[#This Row],[P3]:[G3]])+OFFSET(TblImps[[#This Row],[Σ Keep]],-1,0)</f>
        <v>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6" t="n">
        <f aca="false">OFFSET(TblImps[[#This Row],[Real time]],-1,0)+1/24</f>
        <v>45431.9583333333</v>
      </c>
      <c r="BZ57" s="347" t="n">
        <f aca="false">OFFSET(TblImps[[#This Row],[Servertime]],-1,0)+1/24</f>
        <v>45432.2083333333</v>
      </c>
      <c r="CA57" s="26"/>
      <c r="CB57" s="345"/>
      <c r="CC57" s="345"/>
    </row>
    <row r="58" customFormat="false" ht="12.75" hidden="false" customHeight="false" outlineLevel="0" collapsed="false">
      <c r="A58" s="181" t="n">
        <f aca="false">TblConstr[[#This Row],[Land]]</f>
        <v>700</v>
      </c>
      <c r="B58" s="132"/>
      <c r="C58" s="69" t="n">
        <f aca="false">TblProd[[#This Row],[Platinum]]</f>
        <v>500238</v>
      </c>
      <c r="D58" s="69" t="n">
        <f aca="false">TblProd[[#This Row],[Lumber]]</f>
        <v>4707</v>
      </c>
      <c r="E58" s="69" t="n">
        <f aca="false">TblProd[[#This Row],[Ore]]</f>
        <v>-357</v>
      </c>
      <c r="F58" s="69" t="n">
        <f aca="false">TblProd[[#This Row],[Gems]]</f>
        <v>-1000</v>
      </c>
      <c r="G58" s="146"/>
      <c r="H58" s="69" t="n">
        <f aca="false">TblMili[[#This Row],[Draftees]]</f>
        <v>1024</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700</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0</v>
      </c>
      <c r="Z58" s="340" t="n">
        <f aca="false">keep_cap*(1-EXP(-TblImps[[#This Row],[Σ Keep]]/(keep_param*(OFFSET(TblImps[[#This Row],[Land]],1,0)-OFFSET(TblExplore[[#This Row],[Land Bonus]],1,0)*20)+15000)))*(1+(mason_bonus*TblConstr[[#This Row],[Tot Mas]]/TblConstr[[#This Row],[Land (2)]]))</f>
        <v>0</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0</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0</v>
      </c>
      <c r="AG58" s="33" t="n">
        <f aca="false">(1+Overview!$I$28)*SUM(TblImps[[#This Row],[P3]:[G3]])+OFFSET(TblImps[[#This Row],[Σ Keep]],-1,0)</f>
        <v>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6" t="n">
        <f aca="false">OFFSET(TblImps[[#This Row],[Real time]],-1,0)+1/24</f>
        <v>45432</v>
      </c>
      <c r="BZ58" s="347" t="n">
        <f aca="false">OFFSET(TblImps[[#This Row],[Servertime]],-1,0)+1/24</f>
        <v>45432.25</v>
      </c>
      <c r="CA58" s="26"/>
      <c r="CB58" s="345"/>
      <c r="CC58" s="345"/>
    </row>
    <row r="59" customFormat="false" ht="12.75" hidden="false" customHeight="false" outlineLevel="0" collapsed="false">
      <c r="A59" s="181" t="n">
        <f aca="false">TblConstr[[#This Row],[Land]]</f>
        <v>700</v>
      </c>
      <c r="B59" s="132"/>
      <c r="C59" s="69" t="n">
        <f aca="false">TblProd[[#This Row],[Platinum]]</f>
        <v>546753</v>
      </c>
      <c r="D59" s="69" t="n">
        <f aca="false">TblProd[[#This Row],[Lumber]]</f>
        <v>5673</v>
      </c>
      <c r="E59" s="69" t="n">
        <f aca="false">TblProd[[#This Row],[Ore]]</f>
        <v>-357</v>
      </c>
      <c r="F59" s="69" t="n">
        <f aca="false">TblProd[[#This Row],[Gems]]</f>
        <v>-1000</v>
      </c>
      <c r="G59" s="146"/>
      <c r="H59" s="69" t="n">
        <f aca="false">TblMili[[#This Row],[Draftees]]</f>
        <v>1126</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700</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0</v>
      </c>
      <c r="Z59" s="340" t="n">
        <f aca="false">keep_cap*(1-EXP(-TblImps[[#This Row],[Σ Keep]]/(keep_param*(OFFSET(TblImps[[#This Row],[Land]],1,0)-OFFSET(TblExplore[[#This Row],[Land Bonus]],1,0)*20)+15000)))*(1+(mason_bonus*TblConstr[[#This Row],[Tot Mas]]/TblConstr[[#This Row],[Land (2)]]))</f>
        <v>0</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0</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0</v>
      </c>
      <c r="AG59" s="33" t="n">
        <f aca="false">(1+Overview!$I$28)*SUM(TblImps[[#This Row],[P3]:[G3]])+OFFSET(TblImps[[#This Row],[Σ Keep]],-1,0)</f>
        <v>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6" t="n">
        <f aca="false">OFFSET(TblImps[[#This Row],[Real time]],-1,0)+1/24</f>
        <v>45432.0416666667</v>
      </c>
      <c r="BZ59" s="347" t="n">
        <f aca="false">OFFSET(TblImps[[#This Row],[Servertime]],-1,0)+1/24</f>
        <v>45432.2916666667</v>
      </c>
      <c r="CA59" s="26"/>
      <c r="CB59" s="345"/>
      <c r="CC59" s="345"/>
    </row>
    <row r="60" customFormat="false" ht="12.75" hidden="false" customHeight="false" outlineLevel="0" collapsed="false">
      <c r="A60" s="181" t="n">
        <f aca="false">TblConstr[[#This Row],[Land]]</f>
        <v>700</v>
      </c>
      <c r="B60" s="132"/>
      <c r="C60" s="69" t="n">
        <f aca="false">TblProd[[#This Row],[Platinum]]</f>
        <v>593274</v>
      </c>
      <c r="D60" s="69" t="n">
        <f aca="false">TblProd[[#This Row],[Lumber]]</f>
        <v>6627</v>
      </c>
      <c r="E60" s="69" t="n">
        <f aca="false">TblProd[[#This Row],[Ore]]</f>
        <v>-357</v>
      </c>
      <c r="F60" s="69" t="n">
        <f aca="false">TblProd[[#This Row],[Gems]]</f>
        <v>-1000</v>
      </c>
      <c r="G60" s="146"/>
      <c r="H60" s="69" t="n">
        <f aca="false">TblMili[[#This Row],[Draftees]]</f>
        <v>1228</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700</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0</v>
      </c>
      <c r="Z60" s="340" t="n">
        <f aca="false">keep_cap*(1-EXP(-TblImps[[#This Row],[Σ Keep]]/(keep_param*(OFFSET(TblImps[[#This Row],[Land]],1,0)-OFFSET(TblExplore[[#This Row],[Land Bonus]],1,0)*20)+15000)))*(1+(mason_bonus*TblConstr[[#This Row],[Tot Mas]]/TblConstr[[#This Row],[Land (2)]]))</f>
        <v>0</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0</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0</v>
      </c>
      <c r="AG60" s="33" t="n">
        <f aca="false">(1+Overview!$I$28)*SUM(TblImps[[#This Row],[P3]:[G3]])+OFFSET(TblImps[[#This Row],[Σ Keep]],-1,0)</f>
        <v>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6" t="n">
        <f aca="false">OFFSET(TblImps[[#This Row],[Real time]],-1,0)+1/24</f>
        <v>45432.0833333333</v>
      </c>
      <c r="BZ60" s="347" t="n">
        <f aca="false">OFFSET(TblImps[[#This Row],[Servertime]],-1,0)+1/24</f>
        <v>45432.3333333333</v>
      </c>
      <c r="CA60" s="26"/>
      <c r="CB60" s="345"/>
      <c r="CC60" s="345"/>
    </row>
    <row r="61" customFormat="false" ht="12.75" hidden="false" customHeight="false" outlineLevel="0" collapsed="false">
      <c r="A61" s="181" t="n">
        <f aca="false">TblConstr[[#This Row],[Land]]</f>
        <v>700</v>
      </c>
      <c r="B61" s="132"/>
      <c r="C61" s="69" t="n">
        <f aca="false">TblProd[[#This Row],[Platinum]]</f>
        <v>639546</v>
      </c>
      <c r="D61" s="69" t="n">
        <f aca="false">TblProd[[#This Row],[Lumber]]</f>
        <v>7571</v>
      </c>
      <c r="E61" s="69" t="n">
        <f aca="false">TblProd[[#This Row],[Ore]]</f>
        <v>-357</v>
      </c>
      <c r="F61" s="69" t="n">
        <f aca="false">TblProd[[#This Row],[Gems]]</f>
        <v>-1000</v>
      </c>
      <c r="G61" s="146"/>
      <c r="H61" s="69" t="n">
        <f aca="false">TblMili[[#This Row],[Draftees]]</f>
        <v>1329</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700</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0</v>
      </c>
      <c r="Z61" s="340" t="n">
        <f aca="false">keep_cap*(1-EXP(-TblImps[[#This Row],[Σ Keep]]/(keep_param*(OFFSET(TblImps[[#This Row],[Land]],1,0)-OFFSET(TblExplore[[#This Row],[Land Bonus]],1,0)*20)+15000)))*(1+(mason_bonus*TblConstr[[#This Row],[Tot Mas]]/TblConstr[[#This Row],[Land (2)]]))</f>
        <v>0</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0</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0</v>
      </c>
      <c r="AG61" s="33" t="n">
        <f aca="false">(1+Overview!$I$28)*SUM(TblImps[[#This Row],[P3]:[G3]])+OFFSET(TblImps[[#This Row],[Σ Keep]],-1,0)</f>
        <v>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6" t="n">
        <f aca="false">OFFSET(TblImps[[#This Row],[Real time]],-1,0)+1/24</f>
        <v>45432.125</v>
      </c>
      <c r="BZ61" s="347" t="n">
        <f aca="false">OFFSET(TblImps[[#This Row],[Servertime]],-1,0)+1/24</f>
        <v>45432.375</v>
      </c>
      <c r="CA61" s="26"/>
      <c r="CB61" s="345"/>
      <c r="CC61" s="345"/>
    </row>
    <row r="62" customFormat="false" ht="12.75" hidden="false" customHeight="false" outlineLevel="0" collapsed="false">
      <c r="A62" s="181" t="n">
        <f aca="false">TblConstr[[#This Row],[Land]]</f>
        <v>700</v>
      </c>
      <c r="B62" s="132"/>
      <c r="C62" s="69" t="n">
        <f aca="false">TblProd[[#This Row],[Platinum]]</f>
        <v>685636</v>
      </c>
      <c r="D62" s="69" t="n">
        <f aca="false">TblProd[[#This Row],[Lumber]]</f>
        <v>8503</v>
      </c>
      <c r="E62" s="69" t="n">
        <f aca="false">TblProd[[#This Row],[Ore]]</f>
        <v>-357</v>
      </c>
      <c r="F62" s="69" t="n">
        <f aca="false">TblProd[[#This Row],[Gems]]</f>
        <v>-1000</v>
      </c>
      <c r="G62" s="146"/>
      <c r="H62" s="69" t="n">
        <f aca="false">TblMili[[#This Row],[Draftees]]</f>
        <v>1429</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700</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0</v>
      </c>
      <c r="Z62" s="340" t="n">
        <f aca="false">keep_cap*(1-EXP(-TblImps[[#This Row],[Σ Keep]]/(keep_param*(OFFSET(TblImps[[#This Row],[Land]],1,0)-OFFSET(TblExplore[[#This Row],[Land Bonus]],1,0)*20)+15000)))*(1+(mason_bonus*TblConstr[[#This Row],[Tot Mas]]/TblConstr[[#This Row],[Land (2)]]))</f>
        <v>0</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0</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0</v>
      </c>
      <c r="AG62" s="33" t="n">
        <f aca="false">(1+Overview!$I$28)*SUM(TblImps[[#This Row],[P3]:[G3]])+OFFSET(TblImps[[#This Row],[Σ Keep]],-1,0)</f>
        <v>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6" t="n">
        <f aca="false">OFFSET(TblImps[[#This Row],[Real time]],-1,0)+1/24</f>
        <v>45432.1666666667</v>
      </c>
      <c r="BZ62" s="347" t="n">
        <f aca="false">OFFSET(TblImps[[#This Row],[Servertime]],-1,0)+1/24</f>
        <v>45432.4166666667</v>
      </c>
      <c r="CA62" s="26"/>
      <c r="CB62" s="345"/>
      <c r="CC62" s="345"/>
    </row>
    <row r="63" customFormat="false" ht="12.75" hidden="false" customHeight="false" outlineLevel="0" collapsed="false">
      <c r="A63" s="181" t="n">
        <f aca="false">TblConstr[[#This Row],[Land]]</f>
        <v>700</v>
      </c>
      <c r="B63" s="132"/>
      <c r="C63" s="69" t="n">
        <f aca="false">TblProd[[#This Row],[Platinum]]</f>
        <v>731483</v>
      </c>
      <c r="D63" s="69" t="n">
        <f aca="false">TblProd[[#This Row],[Lumber]]</f>
        <v>9425</v>
      </c>
      <c r="E63" s="69" t="n">
        <f aca="false">TblProd[[#This Row],[Ore]]</f>
        <v>-357</v>
      </c>
      <c r="F63" s="69" t="n">
        <f aca="false">TblProd[[#This Row],[Gems]]</f>
        <v>-1000</v>
      </c>
      <c r="G63" s="146"/>
      <c r="H63" s="69" t="n">
        <f aca="false">TblMili[[#This Row],[Draftees]]</f>
        <v>1528</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700</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0</v>
      </c>
      <c r="Z63" s="340" t="n">
        <f aca="false">keep_cap*(1-EXP(-TblImps[[#This Row],[Σ Keep]]/(keep_param*(OFFSET(TblImps[[#This Row],[Land]],1,0)-OFFSET(TblExplore[[#This Row],[Land Bonus]],1,0)*20)+15000)))*(1+(mason_bonus*TblConstr[[#This Row],[Tot Mas]]/TblConstr[[#This Row],[Land (2)]]))</f>
        <v>0</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0</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0</v>
      </c>
      <c r="AG63" s="33" t="n">
        <f aca="false">(1+Overview!$I$28)*SUM(TblImps[[#This Row],[P3]:[G3]])+OFFSET(TblImps[[#This Row],[Σ Keep]],-1,0)</f>
        <v>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6" t="n">
        <f aca="false">OFFSET(TblImps[[#This Row],[Real time]],-1,0)+1/24</f>
        <v>45432.2083333333</v>
      </c>
      <c r="BZ63" s="347" t="n">
        <f aca="false">OFFSET(TblImps[[#This Row],[Servertime]],-1,0)+1/24</f>
        <v>45432.4583333333</v>
      </c>
      <c r="CA63" s="26"/>
      <c r="CB63" s="345"/>
      <c r="CC63" s="345"/>
    </row>
    <row r="64" customFormat="false" ht="12.75" hidden="false" customHeight="false" outlineLevel="0" collapsed="false">
      <c r="A64" s="181" t="n">
        <f aca="false">TblConstr[[#This Row],[Land]]</f>
        <v>700</v>
      </c>
      <c r="B64" s="132"/>
      <c r="C64" s="69" t="n">
        <f aca="false">TblProd[[#This Row],[Platinum]]</f>
        <v>4808</v>
      </c>
      <c r="D64" s="69" t="n">
        <f aca="false">TblProd[[#This Row],[Lumber]]</f>
        <v>4456</v>
      </c>
      <c r="E64" s="69" t="n">
        <f aca="false">TblProd[[#This Row],[Ore]]</f>
        <v>-357</v>
      </c>
      <c r="F64" s="69" t="n">
        <f aca="false">TblProd[[#This Row],[Gems]]</f>
        <v>-1000</v>
      </c>
      <c r="G64" s="146"/>
      <c r="H64" s="69" t="n">
        <f aca="false">TblMili[[#This Row],[Draftees]]</f>
        <v>316</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700</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0</v>
      </c>
      <c r="Z64" s="340" t="n">
        <f aca="false">keep_cap*(1-EXP(-TblImps[[#This Row],[Σ Keep]]/(keep_param*(OFFSET(TblImps[[#This Row],[Land]],1,0)-OFFSET(TblExplore[[#This Row],[Land Bonus]],1,0)*20)+15000)))*(1+(mason_bonus*TblConstr[[#This Row],[Tot Mas]]/TblConstr[[#This Row],[Land (2)]]))</f>
        <v>0</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0</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0</v>
      </c>
      <c r="AG64" s="33" t="n">
        <f aca="false">(1+Overview!$I$28)*SUM(TblImps[[#This Row],[P3]:[G3]])+OFFSET(TblImps[[#This Row],[Σ Keep]],-1,0)</f>
        <v>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6" t="n">
        <f aca="false">OFFSET(TblImps[[#This Row],[Real time]],-1,0)+1/24</f>
        <v>45432.25</v>
      </c>
      <c r="BZ64" s="347" t="n">
        <f aca="false">OFFSET(TblImps[[#This Row],[Servertime]],-1,0)+1/24</f>
        <v>45432.5</v>
      </c>
      <c r="CA64" s="26"/>
      <c r="CB64" s="345"/>
      <c r="CC64" s="345"/>
    </row>
    <row r="65" customFormat="false" ht="12.75" hidden="false" customHeight="false" outlineLevel="0" collapsed="false">
      <c r="A65" s="181" t="n">
        <f aca="false">TblConstr[[#This Row],[Land]]</f>
        <v>700</v>
      </c>
      <c r="B65" s="132"/>
      <c r="C65" s="69" t="n">
        <f aca="false">TblProd[[#This Row],[Platinum]]</f>
        <v>47244</v>
      </c>
      <c r="D65" s="69" t="n">
        <f aca="false">TblProd[[#This Row],[Lumber]]</f>
        <v>4551</v>
      </c>
      <c r="E65" s="69" t="n">
        <f aca="false">TblProd[[#This Row],[Ore]]</f>
        <v>-357</v>
      </c>
      <c r="F65" s="69" t="n">
        <f aca="false">TblProd[[#This Row],[Gems]]</f>
        <v>-1000</v>
      </c>
      <c r="G65" s="146"/>
      <c r="H65" s="69" t="n">
        <f aca="false">TblMili[[#This Row],[Draftees]]</f>
        <v>419</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700</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0</v>
      </c>
      <c r="Z65" s="340" t="n">
        <f aca="false">keep_cap*(1-EXP(-TblImps[[#This Row],[Σ Keep]]/(keep_param*(OFFSET(TblImps[[#This Row],[Land]],1,0)-OFFSET(TblExplore[[#This Row],[Land Bonus]],1,0)*20)+15000)))*(1+(mason_bonus*TblConstr[[#This Row],[Tot Mas]]/TblConstr[[#This Row],[Land (2)]]))</f>
        <v>0</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0</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0</v>
      </c>
      <c r="AG65" s="33" t="n">
        <f aca="false">(1+Overview!$I$28)*SUM(TblImps[[#This Row],[P3]:[G3]])+OFFSET(TblImps[[#This Row],[Σ Keep]],-1,0)</f>
        <v>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6" t="n">
        <f aca="false">OFFSET(TblImps[[#This Row],[Real time]],-1,0)+1/24</f>
        <v>45432.2916666667</v>
      </c>
      <c r="BZ65" s="347" t="n">
        <f aca="false">OFFSET(TblImps[[#This Row],[Servertime]],-1,0)+1/24</f>
        <v>45432.5416666667</v>
      </c>
      <c r="CA65" s="26"/>
      <c r="CB65" s="345"/>
      <c r="CC65" s="345"/>
    </row>
    <row r="66" customFormat="false" ht="12.75" hidden="false" customHeight="false" outlineLevel="0" collapsed="false">
      <c r="A66" s="181" t="n">
        <f aca="false">TblConstr[[#This Row],[Land]]</f>
        <v>700</v>
      </c>
      <c r="B66" s="132"/>
      <c r="C66" s="69" t="n">
        <f aca="false">TblProd[[#This Row],[Platinum]]</f>
        <v>89119</v>
      </c>
      <c r="D66" s="69" t="n">
        <f aca="false">TblProd[[#This Row],[Lumber]]</f>
        <v>4605</v>
      </c>
      <c r="E66" s="69" t="n">
        <f aca="false">TblProd[[#This Row],[Ore]]</f>
        <v>-357</v>
      </c>
      <c r="F66" s="69" t="n">
        <f aca="false">TblProd[[#This Row],[Gems]]</f>
        <v>-1000</v>
      </c>
      <c r="G66" s="146"/>
      <c r="H66" s="69" t="n">
        <f aca="false">TblMili[[#This Row],[Draftees]]</f>
        <v>521</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700</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0</v>
      </c>
      <c r="Z66" s="340" t="n">
        <f aca="false">keep_cap*(1-EXP(-TblImps[[#This Row],[Σ Keep]]/(keep_param*(OFFSET(TblImps[[#This Row],[Land]],1,0)-OFFSET(TblExplore[[#This Row],[Land Bonus]],1,0)*20)+15000)))*(1+(mason_bonus*TblConstr[[#This Row],[Tot Mas]]/TblConstr[[#This Row],[Land (2)]]))</f>
        <v>0</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0</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0</v>
      </c>
      <c r="AG66" s="33" t="n">
        <f aca="false">(1+Overview!$I$28)*SUM(TblImps[[#This Row],[P3]:[G3]])+OFFSET(TblImps[[#This Row],[Σ Keep]],-1,0)</f>
        <v>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6" t="n">
        <f aca="false">OFFSET(TblImps[[#This Row],[Real time]],-1,0)+1/24</f>
        <v>45432.3333333333</v>
      </c>
      <c r="BZ66" s="347" t="n">
        <f aca="false">OFFSET(TblImps[[#This Row],[Servertime]],-1,0)+1/24</f>
        <v>45432.5833333333</v>
      </c>
      <c r="CA66" s="350"/>
      <c r="CB66" s="345"/>
      <c r="CC66" s="345"/>
    </row>
    <row r="67" customFormat="false" ht="12.75" hidden="false" customHeight="false" outlineLevel="0" collapsed="false">
      <c r="A67" s="181" t="n">
        <f aca="false">TblConstr[[#This Row],[Land]]</f>
        <v>700</v>
      </c>
      <c r="B67" s="132"/>
      <c r="C67" s="69" t="n">
        <f aca="false">TblProd[[#This Row],[Platinum]]</f>
        <v>-14</v>
      </c>
      <c r="D67" s="69" t="n">
        <f aca="false">TblProd[[#This Row],[Lumber]]</f>
        <v>5260</v>
      </c>
      <c r="E67" s="69" t="n">
        <f aca="false">TblProd[[#This Row],[Ore]]</f>
        <v>-357</v>
      </c>
      <c r="F67" s="69" t="n">
        <f aca="false">TblProd[[#This Row],[Gems]]</f>
        <v>-1000</v>
      </c>
      <c r="G67" s="146"/>
      <c r="H67" s="69" t="n">
        <f aca="false">TblMili[[#This Row],[Draftees]]</f>
        <v>-77</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700</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0</v>
      </c>
      <c r="Z67" s="340" t="n">
        <f aca="false">keep_cap*(1-EXP(-TblImps[[#This Row],[Σ Keep]]/(keep_param*(OFFSET(TblImps[[#This Row],[Land]],1,0)-OFFSET(TblExplore[[#This Row],[Land Bonus]],1,0)*20)+15000)))*(1+(mason_bonus*TblConstr[[#This Row],[Tot Mas]]/TblConstr[[#This Row],[Land (2)]]))</f>
        <v>0</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0</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0</v>
      </c>
      <c r="AG67" s="33" t="n">
        <f aca="false">(1+Overview!$I$28)*SUM(TblImps[[#This Row],[P3]:[G3]])+OFFSET(TblImps[[#This Row],[Σ Keep]],-1,0)</f>
        <v>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6" t="n">
        <f aca="false">OFFSET(TblImps[[#This Row],[Real time]],-1,0)+1/24</f>
        <v>45432.375</v>
      </c>
      <c r="BZ67" s="347" t="n">
        <f aca="false">OFFSET(TblImps[[#This Row],[Servertime]],-1,0)+1/24</f>
        <v>45432.625</v>
      </c>
      <c r="CA67" s="26"/>
      <c r="CB67" s="345"/>
      <c r="CC67" s="345"/>
    </row>
    <row r="68" customFormat="false" ht="12.75" hidden="false" customHeight="false" outlineLevel="0" collapsed="false">
      <c r="A68" s="181" t="n">
        <f aca="false">TblConstr[[#This Row],[Land]]</f>
        <v>700</v>
      </c>
      <c r="B68" s="132"/>
      <c r="C68" s="69" t="n">
        <f aca="false">TblProd[[#This Row],[Platinum]]</f>
        <v>28906</v>
      </c>
      <c r="D68" s="69" t="n">
        <f aca="false">TblProd[[#This Row],[Lumber]]</f>
        <v>6332</v>
      </c>
      <c r="E68" s="69" t="n">
        <f aca="false">TblProd[[#This Row],[Ore]]</f>
        <v>-357</v>
      </c>
      <c r="F68" s="69" t="n">
        <f aca="false">TblProd[[#This Row],[Gems]]</f>
        <v>-1000</v>
      </c>
      <c r="G68" s="146"/>
      <c r="H68" s="69" t="n">
        <f aca="false">TblMili[[#This Row],[Draftees]]</f>
        <v>-74</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700</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0</v>
      </c>
      <c r="Z68" s="340" t="n">
        <f aca="false">keep_cap*(1-EXP(-TblImps[[#This Row],[Σ Keep]]/(keep_param*(OFFSET(TblImps[[#This Row],[Land]],1,0)-OFFSET(TblExplore[[#This Row],[Land Bonus]],1,0)*20)+15000)))*(1+(mason_bonus*TblConstr[[#This Row],[Tot Mas]]/TblConstr[[#This Row],[Land (2)]]))</f>
        <v>0</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0</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0</v>
      </c>
      <c r="AG68" s="33" t="n">
        <f aca="false">(1+Overview!$I$28)*SUM(TblImps[[#This Row],[P3]:[G3]])+OFFSET(TblImps[[#This Row],[Σ Keep]],-1,0)</f>
        <v>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6" t="n">
        <f aca="false">OFFSET(TblImps[[#This Row],[Real time]],-1,0)+1/24</f>
        <v>45432.4166666667</v>
      </c>
      <c r="BZ68" s="347" t="n">
        <f aca="false">OFFSET(TblImps[[#This Row],[Servertime]],-1,0)+1/24</f>
        <v>45432.6666666667</v>
      </c>
      <c r="CA68" s="26"/>
      <c r="CB68" s="345"/>
      <c r="CC68" s="345"/>
    </row>
    <row r="69" customFormat="false" ht="12.75" hidden="false" customHeight="false" outlineLevel="0" collapsed="false">
      <c r="A69" s="181" t="n">
        <f aca="false">TblConstr[[#This Row],[Land]]</f>
        <v>700</v>
      </c>
      <c r="B69" s="132"/>
      <c r="C69" s="69" t="n">
        <f aca="false">TblProd[[#This Row],[Platinum]]</f>
        <v>57978</v>
      </c>
      <c r="D69" s="69" t="n">
        <f aca="false">TblProd[[#This Row],[Lumber]]</f>
        <v>7394</v>
      </c>
      <c r="E69" s="69" t="n">
        <f aca="false">TblProd[[#This Row],[Ore]]</f>
        <v>-357</v>
      </c>
      <c r="F69" s="69" t="n">
        <f aca="false">TblProd[[#This Row],[Gems]]</f>
        <v>-1000</v>
      </c>
      <c r="G69" s="146"/>
      <c r="H69" s="69" t="n">
        <f aca="false">TblMili[[#This Row],[Draftees]]</f>
        <v>-71</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700</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0</v>
      </c>
      <c r="Z69" s="340" t="n">
        <f aca="false">keep_cap*(1-EXP(-TblImps[[#This Row],[Σ Keep]]/(keep_param*(OFFSET(TblImps[[#This Row],[Land]],1,0)-OFFSET(TblExplore[[#This Row],[Land Bonus]],1,0)*20)+15000)))*(1+(mason_bonus*TblConstr[[#This Row],[Tot Mas]]/TblConstr[[#This Row],[Land (2)]]))</f>
        <v>0</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0</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0</v>
      </c>
      <c r="AG69" s="33" t="n">
        <f aca="false">(1+Overview!$I$28)*SUM(TblImps[[#This Row],[P3]:[G3]])+OFFSET(TblImps[[#This Row],[Σ Keep]],-1,0)</f>
        <v>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6" t="n">
        <f aca="false">OFFSET(TblImps[[#This Row],[Real time]],-1,0)+1/24</f>
        <v>45432.4583333333</v>
      </c>
      <c r="BZ69" s="347" t="n">
        <f aca="false">OFFSET(TblImps[[#This Row],[Servertime]],-1,0)+1/24</f>
        <v>45432.7083333333</v>
      </c>
      <c r="CA69" s="26"/>
      <c r="CB69" s="345"/>
      <c r="CC69" s="345"/>
    </row>
    <row r="70" customFormat="false" ht="12.75" hidden="false" customHeight="false" outlineLevel="0" collapsed="false">
      <c r="A70" s="181" t="n">
        <f aca="false">TblConstr[[#This Row],[Land]]</f>
        <v>700</v>
      </c>
      <c r="B70" s="132"/>
      <c r="C70" s="69" t="n">
        <f aca="false">TblProd[[#This Row],[Platinum]]</f>
        <v>61403</v>
      </c>
      <c r="D70" s="69" t="n">
        <f aca="false">TblProd[[#This Row],[Lumber]]</f>
        <v>8445</v>
      </c>
      <c r="E70" s="69" t="n">
        <f aca="false">TblProd[[#This Row],[Ore]]</f>
        <v>-357</v>
      </c>
      <c r="F70" s="69" t="n">
        <f aca="false">TblProd[[#This Row],[Gems]]</f>
        <v>-1000</v>
      </c>
      <c r="G70" s="146"/>
      <c r="H70" s="69" t="n">
        <f aca="false">TblMili[[#This Row],[Draftees]]</f>
        <v>-76</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700</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0</v>
      </c>
      <c r="Z70" s="340" t="n">
        <f aca="false">keep_cap*(1-EXP(-TblImps[[#This Row],[Σ Keep]]/(keep_param*(OFFSET(TblImps[[#This Row],[Land]],1,0)-OFFSET(TblExplore[[#This Row],[Land Bonus]],1,0)*20)+15000)))*(1+(mason_bonus*TblConstr[[#This Row],[Tot Mas]]/TblConstr[[#This Row],[Land (2)]]))</f>
        <v>0</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0</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0</v>
      </c>
      <c r="AG70" s="33" t="n">
        <f aca="false">(1+Overview!$I$28)*SUM(TblImps[[#This Row],[P3]:[G3]])+OFFSET(TblImps[[#This Row],[Σ Keep]],-1,0)</f>
        <v>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6" t="n">
        <f aca="false">OFFSET(TblImps[[#This Row],[Real time]],-1,0)+1/24</f>
        <v>45432.5</v>
      </c>
      <c r="BZ70" s="347" t="n">
        <f aca="false">OFFSET(TblImps[[#This Row],[Servertime]],-1,0)+1/24</f>
        <v>45432.75</v>
      </c>
      <c r="CA70" s="26"/>
      <c r="CB70" s="345"/>
      <c r="CC70" s="345"/>
    </row>
    <row r="71" customFormat="false" ht="12.75" hidden="false" customHeight="false" outlineLevel="0" collapsed="false">
      <c r="A71" s="181" t="n">
        <f aca="false">TblConstr[[#This Row],[Land]]</f>
        <v>700</v>
      </c>
      <c r="B71" s="132"/>
      <c r="C71" s="69" t="n">
        <f aca="false">TblProd[[#This Row],[Platinum]]</f>
        <v>68402</v>
      </c>
      <c r="D71" s="69" t="n">
        <f aca="false">TblProd[[#This Row],[Lumber]]</f>
        <v>9486</v>
      </c>
      <c r="E71" s="69" t="n">
        <f aca="false">TblProd[[#This Row],[Ore]]</f>
        <v>-357</v>
      </c>
      <c r="F71" s="69" t="n">
        <f aca="false">TblProd[[#This Row],[Gems]]</f>
        <v>-1000</v>
      </c>
      <c r="G71" s="146"/>
      <c r="H71" s="69" t="n">
        <f aca="false">TblMili[[#This Row],[Draftees]]</f>
        <v>-75</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700</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0</v>
      </c>
      <c r="Z71" s="340" t="n">
        <f aca="false">keep_cap*(1-EXP(-TblImps[[#This Row],[Σ Keep]]/(keep_param*(OFFSET(TblImps[[#This Row],[Land]],1,0)-OFFSET(TblExplore[[#This Row],[Land Bonus]],1,0)*20)+15000)))*(1+(mason_bonus*TblConstr[[#This Row],[Tot Mas]]/TblConstr[[#This Row],[Land (2)]]))</f>
        <v>0</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0</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0</v>
      </c>
      <c r="AG71" s="33" t="n">
        <f aca="false">(1+Overview!$I$28)*SUM(TblImps[[#This Row],[P3]:[G3]])+OFFSET(TblImps[[#This Row],[Σ Keep]],-1,0)</f>
        <v>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6" t="n">
        <f aca="false">OFFSET(TblImps[[#This Row],[Real time]],-1,0)+1/24</f>
        <v>45432.5416666667</v>
      </c>
      <c r="BZ71" s="347" t="n">
        <f aca="false">OFFSET(TblImps[[#This Row],[Servertime]],-1,0)+1/24</f>
        <v>45432.7916666667</v>
      </c>
      <c r="CA71" s="26"/>
      <c r="CB71" s="345"/>
      <c r="CC71" s="345"/>
    </row>
    <row r="72" customFormat="false" ht="12.75" hidden="false" customHeight="false" outlineLevel="0" collapsed="false">
      <c r="A72" s="181" t="n">
        <f aca="false">TblConstr[[#This Row],[Land]]</f>
        <v>700</v>
      </c>
      <c r="B72" s="132"/>
      <c r="C72" s="69" t="n">
        <f aca="false">TblProd[[#This Row],[Platinum]]</f>
        <v>54065</v>
      </c>
      <c r="D72" s="69" t="n">
        <f aca="false">TblProd[[#This Row],[Lumber]]</f>
        <v>10516</v>
      </c>
      <c r="E72" s="69" t="n">
        <f aca="false">TblProd[[#This Row],[Ore]]</f>
        <v>-357</v>
      </c>
      <c r="F72" s="69" t="n">
        <f aca="false">TblProd[[#This Row],[Gems]]</f>
        <v>-1000</v>
      </c>
      <c r="G72" s="146"/>
      <c r="H72" s="69" t="n">
        <f aca="false">TblMili[[#This Row],[Draftees]]</f>
        <v>-74</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700</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0</v>
      </c>
      <c r="Z72" s="340" t="n">
        <f aca="false">keep_cap*(1-EXP(-TblImps[[#This Row],[Σ Keep]]/(keep_param*(OFFSET(TblImps[[#This Row],[Land]],1,0)-OFFSET(TblExplore[[#This Row],[Land Bonus]],1,0)*20)+15000)))*(1+(mason_bonus*TblConstr[[#This Row],[Tot Mas]]/TblConstr[[#This Row],[Land (2)]]))</f>
        <v>0</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0</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0</v>
      </c>
      <c r="AG72" s="33" t="n">
        <f aca="false">(1+Overview!$I$28)*SUM(TblImps[[#This Row],[P3]:[G3]])+OFFSET(TblImps[[#This Row],[Σ Keep]],-1,0)</f>
        <v>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6" t="n">
        <f aca="false">OFFSET(TblImps[[#This Row],[Real time]],-1,0)+1/24</f>
        <v>45432.5833333333</v>
      </c>
      <c r="BZ72" s="347" t="n">
        <f aca="false">OFFSET(TblImps[[#This Row],[Servertime]],-1,0)+1/24</f>
        <v>45432.8333333333</v>
      </c>
      <c r="CA72" s="26"/>
      <c r="CB72" s="345"/>
      <c r="CC72" s="345"/>
    </row>
    <row r="73" customFormat="false" ht="12.75" hidden="false" customHeight="false" outlineLevel="0" collapsed="false">
      <c r="A73" s="181" t="n">
        <f aca="false">TblConstr[[#This Row],[Land]]</f>
        <v>700</v>
      </c>
      <c r="B73" s="132"/>
      <c r="C73" s="69" t="n">
        <f aca="false">TblProd[[#This Row],[Platinum]]</f>
        <v>40027</v>
      </c>
      <c r="D73" s="69" t="n">
        <f aca="false">TblProd[[#This Row],[Lumber]]</f>
        <v>11536</v>
      </c>
      <c r="E73" s="69" t="n">
        <f aca="false">TblProd[[#This Row],[Ore]]</f>
        <v>-357</v>
      </c>
      <c r="F73" s="69" t="n">
        <f aca="false">TblProd[[#This Row],[Gems]]</f>
        <v>-1000</v>
      </c>
      <c r="G73" s="146"/>
      <c r="H73" s="69" t="n">
        <f aca="false">TblMili[[#This Row],[Draftees]]</f>
        <v>-74</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700</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0</v>
      </c>
      <c r="Z73" s="340" t="n">
        <f aca="false">keep_cap*(1-EXP(-TblImps[[#This Row],[Σ Keep]]/(keep_param*(OFFSET(TblImps[[#This Row],[Land]],1,0)-OFFSET(TblExplore[[#This Row],[Land Bonus]],1,0)*20)+15000)))*(1+(mason_bonus*TblConstr[[#This Row],[Tot Mas]]/TblConstr[[#This Row],[Land (2)]]))</f>
        <v>0</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0</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0</v>
      </c>
      <c r="AG73" s="33" t="n">
        <f aca="false">(1+Overview!$I$28)*SUM(TblImps[[#This Row],[P3]:[G3]])+OFFSET(TblImps[[#This Row],[Σ Keep]],-1,0)</f>
        <v>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6" t="n">
        <f aca="false">OFFSET(TblImps[[#This Row],[Real time]],-1,0)+1/24</f>
        <v>45432.625</v>
      </c>
      <c r="BZ73" s="347" t="n">
        <f aca="false">OFFSET(TblImps[[#This Row],[Servertime]],-1,0)+1/24</f>
        <v>45432.875</v>
      </c>
      <c r="CA73" s="26"/>
      <c r="CB73" s="345"/>
      <c r="CC73" s="345"/>
    </row>
    <row r="74" customFormat="false" ht="12.75" hidden="false" customHeight="false" outlineLevel="0" collapsed="false">
      <c r="A74" s="181" t="n">
        <f aca="false">TblConstr[[#This Row],[Land]]</f>
        <v>700</v>
      </c>
      <c r="B74" s="132"/>
      <c r="C74" s="69" t="n">
        <f aca="false">TblProd[[#This Row],[Platinum]]</f>
        <v>26294</v>
      </c>
      <c r="D74" s="69" t="n">
        <f aca="false">TblProd[[#This Row],[Lumber]]</f>
        <v>12546</v>
      </c>
      <c r="E74" s="69" t="n">
        <f aca="false">TblProd[[#This Row],[Ore]]</f>
        <v>-357</v>
      </c>
      <c r="F74" s="69" t="n">
        <f aca="false">TblProd[[#This Row],[Gems]]</f>
        <v>-1000</v>
      </c>
      <c r="G74" s="146"/>
      <c r="H74" s="69" t="n">
        <f aca="false">TblMili[[#This Row],[Draftees]]</f>
        <v>-74</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700</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0</v>
      </c>
      <c r="Z74" s="340" t="n">
        <f aca="false">keep_cap*(1-EXP(-TblImps[[#This Row],[Σ Keep]]/(keep_param*(OFFSET(TblImps[[#This Row],[Land]],1,0)-OFFSET(TblExplore[[#This Row],[Land Bonus]],1,0)*20)+15000)))*(1+(mason_bonus*TblConstr[[#This Row],[Tot Mas]]/TblConstr[[#This Row],[Land (2)]]))</f>
        <v>0</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0</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0</v>
      </c>
      <c r="AG74" s="33" t="n">
        <f aca="false">(1+Overview!$I$28)*SUM(TblImps[[#This Row],[P3]:[G3]])+OFFSET(TblImps[[#This Row],[Σ Keep]],-1,0)</f>
        <v>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6" t="n">
        <f aca="false">OFFSET(TblImps[[#This Row],[Real time]],-1,0)+1/24</f>
        <v>45432.6666666667</v>
      </c>
      <c r="BZ74" s="347" t="n">
        <f aca="false">OFFSET(TblImps[[#This Row],[Servertime]],-1,0)+1/24</f>
        <v>45432.9166666667</v>
      </c>
      <c r="CA74" s="26"/>
      <c r="CB74" s="345"/>
      <c r="CC74" s="345"/>
    </row>
    <row r="75" customFormat="false" ht="12.75" hidden="false" customHeight="false" outlineLevel="0" collapsed="false">
      <c r="A75" s="181" t="n">
        <f aca="false">TblConstr[[#This Row],[Land]]</f>
        <v>700</v>
      </c>
      <c r="B75" s="132"/>
      <c r="C75" s="69" t="n">
        <f aca="false">TblProd[[#This Row],[Platinum]]</f>
        <v>12869</v>
      </c>
      <c r="D75" s="69" t="n">
        <f aca="false">TblProd[[#This Row],[Lumber]]</f>
        <v>13546</v>
      </c>
      <c r="E75" s="69" t="n">
        <f aca="false">TblProd[[#This Row],[Ore]]</f>
        <v>-357</v>
      </c>
      <c r="F75" s="69" t="n">
        <f aca="false">TblProd[[#This Row],[Gems]]</f>
        <v>-1000</v>
      </c>
      <c r="G75" s="146"/>
      <c r="H75" s="69" t="n">
        <f aca="false">TblMili[[#This Row],[Draftees]]</f>
        <v>-74</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700</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0</v>
      </c>
      <c r="Z75" s="340" t="n">
        <f aca="false">keep_cap*(1-EXP(-TblImps[[#This Row],[Σ Keep]]/(keep_param*(OFFSET(TblImps[[#This Row],[Land]],1,0)-OFFSET(TblExplore[[#This Row],[Land Bonus]],1,0)*20)+15000)))*(1+(mason_bonus*TblConstr[[#This Row],[Tot Mas]]/TblConstr[[#This Row],[Land (2)]]))</f>
        <v>0</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0</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0</v>
      </c>
      <c r="AG75" s="33" t="n">
        <f aca="false">(1+Overview!$I$28)*SUM(TblImps[[#This Row],[P3]:[G3]])+OFFSET(TblImps[[#This Row],[Σ Keep]],-1,0)</f>
        <v>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6" t="n">
        <f aca="false">OFFSET(TblImps[[#This Row],[Real time]],-1,0)+1/24</f>
        <v>45432.7083333333</v>
      </c>
      <c r="BZ75" s="347" t="n">
        <f aca="false">OFFSET(TblImps[[#This Row],[Servertime]],-1,0)+1/24</f>
        <v>45432.9583333333</v>
      </c>
      <c r="CA75" s="26"/>
      <c r="CB75" s="345"/>
      <c r="CC75" s="345"/>
    </row>
    <row r="76" customFormat="false" ht="12.75" hidden="false" customHeight="false" outlineLevel="0" collapsed="false">
      <c r="A76" s="222" t="n">
        <f aca="false">TblConstr[[#This Row],[Land]]</f>
        <v>700</v>
      </c>
      <c r="B76" s="138"/>
      <c r="C76" s="226" t="n">
        <f aca="false">TblProd[[#This Row],[Platinum]]</f>
        <v>155</v>
      </c>
      <c r="D76" s="226" t="n">
        <f aca="false">TblProd[[#This Row],[Lumber]]</f>
        <v>14536</v>
      </c>
      <c r="E76" s="226" t="n">
        <f aca="false">TblProd[[#This Row],[Ore]]</f>
        <v>-357</v>
      </c>
      <c r="F76" s="226" t="n">
        <f aca="false">TblProd[[#This Row],[Gems]]</f>
        <v>-1000</v>
      </c>
      <c r="G76" s="157"/>
      <c r="H76" s="226" t="n">
        <f aca="false">TblMili[[#This Row],[Draftees]]</f>
        <v>-74</v>
      </c>
      <c r="I76" s="225" t="n">
        <f aca="false">TblPop[[#This Row],[Employment]]</f>
        <v>1</v>
      </c>
      <c r="J76" s="225" t="n">
        <f aca="false">TblPop[[#This Row],[Total]]/TblPop[[#This Row],[Net max]]</f>
        <v>1</v>
      </c>
      <c r="K76" s="351" t="n">
        <f aca="false">TblRezone[[#This Row],[Hour]]</f>
        <v>73</v>
      </c>
      <c r="L76" s="352" t="n">
        <f aca="false">TblImps[[#This Row],[Real time]]</f>
        <v>45432.75</v>
      </c>
      <c r="M76" s="214" t="n">
        <f aca="false">IF(ISERROR(TblImps[[#This Row],[algorithm]]),0,TblImps[[#This Row],[algorithm]]*1)</f>
        <v>1</v>
      </c>
      <c r="N76" s="226" t="n">
        <f aca="false">TblImps[[#This Row],[Land]]</f>
        <v>700</v>
      </c>
      <c r="O76" s="353" t="s">
        <v>97</v>
      </c>
      <c r="P76" s="354"/>
      <c r="Q76" s="353" t="s">
        <v>734</v>
      </c>
      <c r="R76" s="338" t="s">
        <v>93</v>
      </c>
      <c r="S76" s="354"/>
      <c r="T76" s="353" t="s">
        <v>734</v>
      </c>
      <c r="U76" s="353" t="s">
        <v>35</v>
      </c>
      <c r="V76" s="354"/>
      <c r="W76" s="353" t="s">
        <v>734</v>
      </c>
      <c r="X76" s="138"/>
      <c r="Y76" s="355" t="n">
        <f aca="false">science_cap*(1-EXP(-TblImps[[#This Row],[Σ Science]]/(science_param*(OFFSET(TblImps[[#This Row],[Land]],1,0)-OFFSET(TblExplore[[#This Row],[Land Bonus]],1,0)*20)+15000)))*(1+(mason_bonus*TblConstr[[#This Row],[Tot Mas]]/TblConstr[[#This Row],[Land (2)]]))</f>
        <v>0</v>
      </c>
      <c r="Z76" s="355" t="n">
        <f aca="false">keep_cap*(1-EXP(-TblImps[[#This Row],[Σ Keep]]/(keep_param*(OFFSET(TblImps[[#This Row],[Land]],1,0)-OFFSET(TblExplore[[#This Row],[Land Bonus]],1,0)*20)+15000)))*(1+(mason_bonus*TblConstr[[#This Row],[Tot Mas]]/TblConstr[[#This Row],[Land (2)]]))</f>
        <v>0</v>
      </c>
      <c r="AA76" s="355" t="n">
        <f aca="false">harbor_towers_cap*(1-EXP(-TblImps[[#This Row],[Σ Towers]]/(towers_param*(OFFSET(TblImps[[#This Row],[Land]],1,0)-OFFSET(TblExplore[[#This Row],[Land Bonus]],1,0)*20)+15000)))*(1+(mason_bonus*TblConstr[[#This Row],[Tot Mas]]/TblConstr[[#This Row],[Land (2)]]))</f>
        <v>0</v>
      </c>
      <c r="AB76" s="355" t="n">
        <f aca="false">walls_forges_cap*(1-EXP(-TblImps[[#This Row],[Σ Forges]]/(walls_forges_param*(OFFSET(TblImps[[#This Row],[Land]],1,0)-OFFSET(TblExplore[[#This Row],[Land Bonus]],1,0)*20)+15000)))*(1+(mason_bonus*TblConstr[[#This Row],[Tot Mas]]/TblConstr[[#This Row],[Land (2)]]))</f>
        <v>0</v>
      </c>
      <c r="AC76" s="355" t="n">
        <f aca="false">walls_forges_cap*(1-EXP(-TblImps[[#This Row],[Σ Walls]]/(walls_forges_param*(OFFSET(TblImps[[#This Row],[Land]],1,0)-OFFSET(TblExplore[[#This Row],[Land Bonus]],1,0)*20)+15000)))*(1+(mason_bonus*TblConstr[[#This Row],[Tot Mas]]/TblConstr[[#This Row],[Land (2)]]))</f>
        <v>0</v>
      </c>
      <c r="AD76" s="355"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0</v>
      </c>
      <c r="AG76" s="214" t="n">
        <f aca="false">(1+Overview!$I$28)*SUM(TblImps[[#This Row],[P3]:[G3]])+OFFSET(TblImps[[#This Row],[Σ Keep]],-1,0)</f>
        <v>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239"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6" t="n">
        <f aca="false">OFFSET(TblImps[[#This Row],[Real time]],-1,0)+1/24</f>
        <v>45432.75</v>
      </c>
      <c r="BZ76" s="357" t="n">
        <f aca="false">OFFSET(TblImps[[#This Row],[Servertime]],-1,0)+1/24</f>
        <v>45433</v>
      </c>
    </row>
    <row r="77" customFormat="false" ht="12.75" hidden="false" customHeight="false" outlineLevel="0" collapsed="false">
      <c r="A77" s="181" t="n">
        <f aca="false">TblConstr[[#This Row],[Land]]</f>
        <v>700</v>
      </c>
      <c r="B77" s="132"/>
      <c r="C77" s="69" t="n">
        <f aca="false">TblProd[[#This Row],[Platinum]]</f>
        <v>8123</v>
      </c>
      <c r="D77" s="69" t="n">
        <f aca="false">TblProd[[#This Row],[Lumber]]</f>
        <v>15516</v>
      </c>
      <c r="E77" s="69" t="n">
        <f aca="false">TblProd[[#This Row],[Ore]]</f>
        <v>-357</v>
      </c>
      <c r="F77" s="69" t="n">
        <f aca="false">TblProd[[#This Row],[Gems]]</f>
        <v>-1000</v>
      </c>
      <c r="G77" s="146"/>
      <c r="H77" s="69" t="n">
        <f aca="false">TblMili[[#This Row],[Draftees]]</f>
        <v>-74</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700</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0</v>
      </c>
      <c r="Z77" s="340" t="n">
        <f aca="false">keep_cap*(1-EXP(-TblImps[[#This Row],[Σ Keep]]/(keep_param*(OFFSET(TblImps[[#This Row],[Land]],1,0)-OFFSET(TblExplore[[#This Row],[Land Bonus]],1,0)*20)+15000)))*(1+(mason_bonus*TblConstr[[#This Row],[Tot Mas]]/TblConstr[[#This Row],[Land (2)]]))</f>
        <v>0</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0</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0</v>
      </c>
      <c r="AG77" s="33" t="n">
        <f aca="false">(1+Overview!$I$28)*SUM(TblImps[[#This Row],[P3]:[G3]])+OFFSET(TblImps[[#This Row],[Σ Keep]],-1,0)</f>
        <v>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6" t="n">
        <f aca="false">OFFSET(TblImps[[#This Row],[Real time]],-1,0)+1/24</f>
        <v>45432.7916666667</v>
      </c>
      <c r="BZ77" s="347" t="n">
        <f aca="false">OFFSET(TblImps[[#This Row],[Servertime]],-1,0)+1/24</f>
        <v>45433.0416666667</v>
      </c>
      <c r="CA77" s="26"/>
      <c r="CB77" s="345"/>
      <c r="CC77" s="345"/>
    </row>
    <row r="78" customFormat="false" ht="12.75" hidden="false" customHeight="false" outlineLevel="0" collapsed="false">
      <c r="A78" s="181" t="n">
        <f aca="false">TblConstr[[#This Row],[Land]]</f>
        <v>700</v>
      </c>
      <c r="B78" s="132"/>
      <c r="C78" s="69" t="n">
        <f aca="false">TblProd[[#This Row],[Platinum]]</f>
        <v>36094</v>
      </c>
      <c r="D78" s="69" t="n">
        <f aca="false">TblProd[[#This Row],[Lumber]]</f>
        <v>16486</v>
      </c>
      <c r="E78" s="69" t="n">
        <f aca="false">TblProd[[#This Row],[Ore]]</f>
        <v>-357</v>
      </c>
      <c r="F78" s="69" t="n">
        <f aca="false">TblProd[[#This Row],[Gems]]</f>
        <v>-1000</v>
      </c>
      <c r="G78" s="146"/>
      <c r="H78" s="69" t="n">
        <f aca="false">TblMili[[#This Row],[Draftees]]</f>
        <v>-74</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700</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0</v>
      </c>
      <c r="Z78" s="340" t="n">
        <f aca="false">keep_cap*(1-EXP(-TblImps[[#This Row],[Σ Keep]]/(keep_param*(OFFSET(TblImps[[#This Row],[Land]],1,0)-OFFSET(TblExplore[[#This Row],[Land Bonus]],1,0)*20)+15000)))*(1+(mason_bonus*TblConstr[[#This Row],[Tot Mas]]/TblConstr[[#This Row],[Land (2)]]))</f>
        <v>0</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0</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0</v>
      </c>
      <c r="AG78" s="33" t="n">
        <f aca="false">(1+Overview!$I$28)*SUM(TblImps[[#This Row],[P3]:[G3]])+OFFSET(TblImps[[#This Row],[Σ Keep]],-1,0)</f>
        <v>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6" t="n">
        <f aca="false">OFFSET(TblImps[[#This Row],[Real time]],-1,0)+1/24</f>
        <v>45432.8333333333</v>
      </c>
      <c r="BZ78" s="347" t="n">
        <f aca="false">OFFSET(TblImps[[#This Row],[Servertime]],-1,0)+1/24</f>
        <v>45433.0833333333</v>
      </c>
      <c r="CA78" s="26"/>
      <c r="CB78" s="345"/>
      <c r="CC78" s="345"/>
      <c r="CF78" s="348"/>
    </row>
    <row r="79" customFormat="false" ht="12.75" hidden="false" customHeight="false" outlineLevel="0" collapsed="false">
      <c r="A79" s="181" t="n">
        <f aca="false">TblConstr[[#This Row],[Land]]</f>
        <v>700</v>
      </c>
      <c r="B79" s="132"/>
      <c r="C79" s="69" t="n">
        <f aca="false">TblProd[[#This Row],[Platinum]]</f>
        <v>64068</v>
      </c>
      <c r="D79" s="69" t="n">
        <f aca="false">TblProd[[#This Row],[Lumber]]</f>
        <v>17446</v>
      </c>
      <c r="E79" s="69" t="n">
        <f aca="false">TblProd[[#This Row],[Ore]]</f>
        <v>-357</v>
      </c>
      <c r="F79" s="69" t="n">
        <f aca="false">TblProd[[#This Row],[Gems]]</f>
        <v>-1000</v>
      </c>
      <c r="G79" s="146"/>
      <c r="H79" s="69" t="n">
        <f aca="false">TblMili[[#This Row],[Draftees]]</f>
        <v>-74</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700</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0</v>
      </c>
      <c r="Z79" s="340" t="n">
        <f aca="false">keep_cap*(1-EXP(-TblImps[[#This Row],[Σ Keep]]/(keep_param*(OFFSET(TblImps[[#This Row],[Land]],1,0)-OFFSET(TblExplore[[#This Row],[Land Bonus]],1,0)*20)+15000)))*(1+(mason_bonus*TblConstr[[#This Row],[Tot Mas]]/TblConstr[[#This Row],[Land (2)]]))</f>
        <v>0</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0</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0</v>
      </c>
      <c r="AG79" s="33" t="n">
        <f aca="false">(1+Overview!$I$28)*SUM(TblImps[[#This Row],[P3]:[G3]])+OFFSET(TblImps[[#This Row],[Σ Keep]],-1,0)</f>
        <v>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6" t="n">
        <f aca="false">OFFSET(TblImps[[#This Row],[Real time]],-1,0)+1/24</f>
        <v>45432.875</v>
      </c>
      <c r="BZ79" s="347" t="n">
        <f aca="false">OFFSET(TblImps[[#This Row],[Servertime]],-1,0)+1/24</f>
        <v>45433.125</v>
      </c>
      <c r="CA79" s="26"/>
      <c r="CB79" s="345"/>
      <c r="CC79" s="345"/>
      <c r="CF79" s="349"/>
    </row>
    <row r="80" customFormat="false" ht="12.75" hidden="false" customHeight="false" outlineLevel="0" collapsed="false">
      <c r="A80" s="181" t="n">
        <f aca="false">TblConstr[[#This Row],[Land]]</f>
        <v>700</v>
      </c>
      <c r="B80" s="132"/>
      <c r="C80" s="69" t="n">
        <f aca="false">TblProd[[#This Row],[Platinum]]</f>
        <v>149450</v>
      </c>
      <c r="D80" s="69" t="n">
        <f aca="false">TblProd[[#This Row],[Lumber]]</f>
        <v>18397</v>
      </c>
      <c r="E80" s="69" t="n">
        <f aca="false">TblProd[[#This Row],[Ore]]</f>
        <v>-357</v>
      </c>
      <c r="F80" s="69" t="n">
        <f aca="false">TblProd[[#This Row],[Gems]]</f>
        <v>-1000</v>
      </c>
      <c r="G80" s="146"/>
      <c r="H80" s="69" t="n">
        <f aca="false">TblMili[[#This Row],[Draftees]]</f>
        <v>24</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700</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0</v>
      </c>
      <c r="Z80" s="340" t="n">
        <f aca="false">keep_cap*(1-EXP(-TblImps[[#This Row],[Σ Keep]]/(keep_param*(OFFSET(TblImps[[#This Row],[Land]],1,0)-OFFSET(TblExplore[[#This Row],[Land Bonus]],1,0)*20)+15000)))*(1+(mason_bonus*TblConstr[[#This Row],[Tot Mas]]/TblConstr[[#This Row],[Land (2)]]))</f>
        <v>0</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0</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0</v>
      </c>
      <c r="AG80" s="33" t="n">
        <f aca="false">(1+Overview!$I$28)*SUM(TblImps[[#This Row],[P3]:[G3]])+OFFSET(TblImps[[#This Row],[Σ Keep]],-1,0)</f>
        <v>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6" t="n">
        <f aca="false">OFFSET(TblImps[[#This Row],[Real time]],-1,0)+1/24</f>
        <v>45432.9166666667</v>
      </c>
      <c r="BZ80" s="347" t="n">
        <f aca="false">OFFSET(TblImps[[#This Row],[Servertime]],-1,0)+1/24</f>
        <v>45433.1666666667</v>
      </c>
      <c r="CA80" s="26"/>
      <c r="CB80" s="345"/>
      <c r="CC80" s="345"/>
      <c r="CF80" s="348"/>
    </row>
    <row r="81" customFormat="false" ht="12.75" hidden="false" customHeight="false" outlineLevel="0" collapsed="false">
      <c r="A81" s="181" t="n">
        <f aca="false">TblConstr[[#This Row],[Land]]</f>
        <v>700</v>
      </c>
      <c r="B81" s="132"/>
      <c r="C81" s="69" t="n">
        <f aca="false">TblProd[[#This Row],[Platinum]]</f>
        <v>195777</v>
      </c>
      <c r="D81" s="69" t="n">
        <f aca="false">TblProd[[#This Row],[Lumber]]</f>
        <v>19338</v>
      </c>
      <c r="E81" s="69" t="n">
        <f aca="false">TblProd[[#This Row],[Ore]]</f>
        <v>-357</v>
      </c>
      <c r="F81" s="69" t="n">
        <f aca="false">TblProd[[#This Row],[Gems]]</f>
        <v>-1000</v>
      </c>
      <c r="G81" s="146"/>
      <c r="H81" s="69" t="n">
        <f aca="false">TblMili[[#This Row],[Draftees]]</f>
        <v>121</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700</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0</v>
      </c>
      <c r="Z81" s="340" t="n">
        <f aca="false">keep_cap*(1-EXP(-TblImps[[#This Row],[Σ Keep]]/(keep_param*(OFFSET(TblImps[[#This Row],[Land]],1,0)-OFFSET(TblExplore[[#This Row],[Land Bonus]],1,0)*20)+15000)))*(1+(mason_bonus*TblConstr[[#This Row],[Tot Mas]]/TblConstr[[#This Row],[Land (2)]]))</f>
        <v>0</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0</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0</v>
      </c>
      <c r="AG81" s="33" t="n">
        <f aca="false">(1+Overview!$I$28)*SUM(TblImps[[#This Row],[P3]:[G3]])+OFFSET(TblImps[[#This Row],[Σ Keep]],-1,0)</f>
        <v>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6" t="n">
        <f aca="false">OFFSET(TblImps[[#This Row],[Real time]],-1,0)+1/24</f>
        <v>45432.9583333333</v>
      </c>
      <c r="BZ81" s="347" t="n">
        <f aca="false">OFFSET(TblImps[[#This Row],[Servertime]],-1,0)+1/24</f>
        <v>45433.2083333333</v>
      </c>
      <c r="CA81" s="26"/>
      <c r="CB81" s="345"/>
      <c r="CC81" s="345"/>
      <c r="CF81" s="348"/>
    </row>
    <row r="82" customFormat="false" ht="12.75" hidden="false" customHeight="false" outlineLevel="0" collapsed="false">
      <c r="A82" s="181" t="n">
        <f aca="false">TblConstr[[#This Row],[Land]]</f>
        <v>700</v>
      </c>
      <c r="B82" s="132"/>
      <c r="C82" s="69" t="n">
        <f aca="false">TblProd[[#This Row],[Platinum]]</f>
        <v>241816</v>
      </c>
      <c r="D82" s="69" t="n">
        <f aca="false">TblProd[[#This Row],[Lumber]]</f>
        <v>20270</v>
      </c>
      <c r="E82" s="69" t="n">
        <f aca="false">TblProd[[#This Row],[Ore]]</f>
        <v>-357</v>
      </c>
      <c r="F82" s="69" t="n">
        <f aca="false">TblProd[[#This Row],[Gems]]</f>
        <v>-1000</v>
      </c>
      <c r="G82" s="146"/>
      <c r="H82" s="69" t="n">
        <f aca="false">TblMili[[#This Row],[Draftees]]</f>
        <v>217</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700</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0</v>
      </c>
      <c r="Z82" s="340" t="n">
        <f aca="false">keep_cap*(1-EXP(-TblImps[[#This Row],[Σ Keep]]/(keep_param*(OFFSET(TblImps[[#This Row],[Land]],1,0)-OFFSET(TblExplore[[#This Row],[Land Bonus]],1,0)*20)+15000)))*(1+(mason_bonus*TblConstr[[#This Row],[Tot Mas]]/TblConstr[[#This Row],[Land (2)]]))</f>
        <v>0</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0</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0</v>
      </c>
      <c r="AG82" s="33" t="n">
        <f aca="false">(1+Overview!$I$28)*SUM(TblImps[[#This Row],[P3]:[G3]])+OFFSET(TblImps[[#This Row],[Σ Keep]],-1,0)</f>
        <v>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6" t="n">
        <f aca="false">OFFSET(TblImps[[#This Row],[Real time]],-1,0)+1/24</f>
        <v>45433</v>
      </c>
      <c r="BZ82" s="347" t="n">
        <f aca="false">OFFSET(TblImps[[#This Row],[Servertime]],-1,0)+1/24</f>
        <v>45433.25</v>
      </c>
      <c r="CA82" s="26"/>
      <c r="CB82" s="345"/>
      <c r="CC82" s="345"/>
    </row>
    <row r="83" customFormat="false" ht="12.75" hidden="false" customHeight="false" outlineLevel="0" collapsed="false">
      <c r="A83" s="181" t="n">
        <f aca="false">TblConstr[[#This Row],[Land]]</f>
        <v>700</v>
      </c>
      <c r="B83" s="132"/>
      <c r="C83" s="69" t="n">
        <f aca="false">TblProd[[#This Row],[Platinum]]</f>
        <v>287570</v>
      </c>
      <c r="D83" s="69" t="n">
        <f aca="false">TblProd[[#This Row],[Lumber]]</f>
        <v>21192</v>
      </c>
      <c r="E83" s="69" t="n">
        <f aca="false">TblProd[[#This Row],[Ore]]</f>
        <v>-357</v>
      </c>
      <c r="F83" s="69" t="n">
        <f aca="false">TblProd[[#This Row],[Gems]]</f>
        <v>-1000</v>
      </c>
      <c r="G83" s="146"/>
      <c r="H83" s="69" t="n">
        <f aca="false">TblMili[[#This Row],[Draftees]]</f>
        <v>312</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700</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0</v>
      </c>
      <c r="Z83" s="340" t="n">
        <f aca="false">keep_cap*(1-EXP(-TblImps[[#This Row],[Σ Keep]]/(keep_param*(OFFSET(TblImps[[#This Row],[Land]],1,0)-OFFSET(TblExplore[[#This Row],[Land Bonus]],1,0)*20)+15000)))*(1+(mason_bonus*TblConstr[[#This Row],[Tot Mas]]/TblConstr[[#This Row],[Land (2)]]))</f>
        <v>0</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0</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0</v>
      </c>
      <c r="AG83" s="33" t="n">
        <f aca="false">(1+Overview!$I$28)*SUM(TblImps[[#This Row],[P3]:[G3]])+OFFSET(TblImps[[#This Row],[Σ Keep]],-1,0)</f>
        <v>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6" t="n">
        <f aca="false">OFFSET(TblImps[[#This Row],[Real time]],-1,0)+1/24</f>
        <v>45433.0416666667</v>
      </c>
      <c r="BZ83" s="347" t="n">
        <f aca="false">OFFSET(TblImps[[#This Row],[Servertime]],-1,0)+1/24</f>
        <v>45433.2916666667</v>
      </c>
      <c r="CA83" s="26"/>
      <c r="CB83" s="345"/>
      <c r="CC83" s="345"/>
    </row>
    <row r="84" customFormat="false" ht="12.75" hidden="false" customHeight="false" outlineLevel="0" collapsed="false">
      <c r="A84" s="181" t="n">
        <f aca="false">TblConstr[[#This Row],[Land]]</f>
        <v>700</v>
      </c>
      <c r="B84" s="132"/>
      <c r="C84" s="69" t="n">
        <f aca="false">TblProd[[#This Row],[Platinum]]</f>
        <v>333041</v>
      </c>
      <c r="D84" s="69" t="n">
        <f aca="false">TblProd[[#This Row],[Lumber]]</f>
        <v>22105</v>
      </c>
      <c r="E84" s="69" t="n">
        <f aca="false">TblProd[[#This Row],[Ore]]</f>
        <v>-357</v>
      </c>
      <c r="F84" s="69" t="n">
        <f aca="false">TblProd[[#This Row],[Gems]]</f>
        <v>-1000</v>
      </c>
      <c r="G84" s="146"/>
      <c r="H84" s="69" t="n">
        <f aca="false">TblMili[[#This Row],[Draftees]]</f>
        <v>406</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700</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0</v>
      </c>
      <c r="Z84" s="340" t="n">
        <f aca="false">keep_cap*(1-EXP(-TblImps[[#This Row],[Σ Keep]]/(keep_param*(OFFSET(TblImps[[#This Row],[Land]],1,0)-OFFSET(TblExplore[[#This Row],[Land Bonus]],1,0)*20)+15000)))*(1+(mason_bonus*TblConstr[[#This Row],[Tot Mas]]/TblConstr[[#This Row],[Land (2)]]))</f>
        <v>0</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0</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0</v>
      </c>
      <c r="AG84" s="33" t="n">
        <f aca="false">(1+Overview!$I$28)*SUM(TblImps[[#This Row],[P3]:[G3]])+OFFSET(TblImps[[#This Row],[Σ Keep]],-1,0)</f>
        <v>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6" t="n">
        <f aca="false">OFFSET(TblImps[[#This Row],[Real time]],-1,0)+1/24</f>
        <v>45433.0833333333</v>
      </c>
      <c r="BZ84" s="347" t="n">
        <f aca="false">OFFSET(TblImps[[#This Row],[Servertime]],-1,0)+1/24</f>
        <v>45433.3333333333</v>
      </c>
      <c r="CA84" s="26"/>
      <c r="CB84" s="345"/>
      <c r="CC84" s="345"/>
    </row>
    <row r="85" customFormat="false" ht="12.75" hidden="false" customHeight="false" outlineLevel="0" collapsed="false">
      <c r="A85" s="181" t="n">
        <f aca="false">TblConstr[[#This Row],[Land]]</f>
        <v>700</v>
      </c>
      <c r="B85" s="132"/>
      <c r="C85" s="69" t="n">
        <f aca="false">TblProd[[#This Row],[Platinum]]</f>
        <v>378233</v>
      </c>
      <c r="D85" s="69" t="n">
        <f aca="false">TblProd[[#This Row],[Lumber]]</f>
        <v>23009</v>
      </c>
      <c r="E85" s="69" t="n">
        <f aca="false">TblProd[[#This Row],[Ore]]</f>
        <v>-357</v>
      </c>
      <c r="F85" s="69" t="n">
        <f aca="false">TblProd[[#This Row],[Gems]]</f>
        <v>-1000</v>
      </c>
      <c r="G85" s="146"/>
      <c r="H85" s="69" t="n">
        <f aca="false">TblMili[[#This Row],[Draftees]]</f>
        <v>499</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700</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0</v>
      </c>
      <c r="Z85" s="340" t="n">
        <f aca="false">keep_cap*(1-EXP(-TblImps[[#This Row],[Σ Keep]]/(keep_param*(OFFSET(TblImps[[#This Row],[Land]],1,0)-OFFSET(TblExplore[[#This Row],[Land Bonus]],1,0)*20)+15000)))*(1+(mason_bonus*TblConstr[[#This Row],[Tot Mas]]/TblConstr[[#This Row],[Land (2)]]))</f>
        <v>0</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0</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0</v>
      </c>
      <c r="AG85" s="33" t="n">
        <f aca="false">(1+Overview!$I$28)*SUM(TblImps[[#This Row],[P3]:[G3]])+OFFSET(TblImps[[#This Row],[Σ Keep]],-1,0)</f>
        <v>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6" t="n">
        <f aca="false">OFFSET(TblImps[[#This Row],[Real time]],-1,0)+1/24</f>
        <v>45433.125</v>
      </c>
      <c r="BZ85" s="347" t="n">
        <f aca="false">OFFSET(TblImps[[#This Row],[Servertime]],-1,0)+1/24</f>
        <v>45433.375</v>
      </c>
      <c r="CA85" s="26"/>
      <c r="CB85" s="345"/>
      <c r="CC85" s="345"/>
    </row>
    <row r="86" customFormat="false" ht="12.75" hidden="false" customHeight="false" outlineLevel="0" collapsed="false">
      <c r="A86" s="181" t="n">
        <f aca="false">TblConstr[[#This Row],[Land]]</f>
        <v>700</v>
      </c>
      <c r="B86" s="132"/>
      <c r="C86" s="69" t="n">
        <f aca="false">TblProd[[#This Row],[Platinum]]</f>
        <v>423149</v>
      </c>
      <c r="D86" s="69" t="n">
        <f aca="false">TblProd[[#This Row],[Lumber]]</f>
        <v>23904</v>
      </c>
      <c r="E86" s="69" t="n">
        <f aca="false">TblProd[[#This Row],[Ore]]</f>
        <v>-357</v>
      </c>
      <c r="F86" s="69" t="n">
        <f aca="false">TblProd[[#This Row],[Gems]]</f>
        <v>-1000</v>
      </c>
      <c r="G86" s="146"/>
      <c r="H86" s="69" t="n">
        <f aca="false">TblMili[[#This Row],[Draftees]]</f>
        <v>591</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700</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0</v>
      </c>
      <c r="Z86" s="340" t="n">
        <f aca="false">keep_cap*(1-EXP(-TblImps[[#This Row],[Σ Keep]]/(keep_param*(OFFSET(TblImps[[#This Row],[Land]],1,0)-OFFSET(TblExplore[[#This Row],[Land Bonus]],1,0)*20)+15000)))*(1+(mason_bonus*TblConstr[[#This Row],[Tot Mas]]/TblConstr[[#This Row],[Land (2)]]))</f>
        <v>0</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0</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0</v>
      </c>
      <c r="AG86" s="33" t="n">
        <f aca="false">(1+Overview!$I$28)*SUM(TblImps[[#This Row],[P3]:[G3]])+OFFSET(TblImps[[#This Row],[Σ Keep]],-1,0)</f>
        <v>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6" t="n">
        <f aca="false">OFFSET(TblImps[[#This Row],[Real time]],-1,0)+1/24</f>
        <v>45433.1666666667</v>
      </c>
      <c r="BZ86" s="347" t="n">
        <f aca="false">OFFSET(TblImps[[#This Row],[Servertime]],-1,0)+1/24</f>
        <v>45433.4166666667</v>
      </c>
      <c r="CA86" s="26"/>
      <c r="CB86" s="345"/>
      <c r="CC86" s="345"/>
    </row>
    <row r="87" customFormat="false" ht="12.75" hidden="false" customHeight="false" outlineLevel="0" collapsed="false">
      <c r="A87" s="181" t="n">
        <f aca="false">TblConstr[[#This Row],[Land]]</f>
        <v>700</v>
      </c>
      <c r="B87" s="132"/>
      <c r="C87" s="69" t="n">
        <f aca="false">TblProd[[#This Row],[Platinum]]</f>
        <v>467792</v>
      </c>
      <c r="D87" s="69" t="n">
        <f aca="false">TblProd[[#This Row],[Lumber]]</f>
        <v>24790</v>
      </c>
      <c r="E87" s="69" t="n">
        <f aca="false">TblProd[[#This Row],[Ore]]</f>
        <v>-357</v>
      </c>
      <c r="F87" s="69" t="n">
        <f aca="false">TblProd[[#This Row],[Gems]]</f>
        <v>-1000</v>
      </c>
      <c r="G87" s="146"/>
      <c r="H87" s="69" t="n">
        <f aca="false">TblMili[[#This Row],[Draftees]]</f>
        <v>682</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700</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0</v>
      </c>
      <c r="Z87" s="340" t="n">
        <f aca="false">keep_cap*(1-EXP(-TblImps[[#This Row],[Σ Keep]]/(keep_param*(OFFSET(TblImps[[#This Row],[Land]],1,0)-OFFSET(TblExplore[[#This Row],[Land Bonus]],1,0)*20)+15000)))*(1+(mason_bonus*TblConstr[[#This Row],[Tot Mas]]/TblConstr[[#This Row],[Land (2)]]))</f>
        <v>0</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0</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0</v>
      </c>
      <c r="AG87" s="33" t="n">
        <f aca="false">(1+Overview!$I$28)*SUM(TblImps[[#This Row],[P3]:[G3]])+OFFSET(TblImps[[#This Row],[Σ Keep]],-1,0)</f>
        <v>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6" t="n">
        <f aca="false">OFFSET(TblImps[[#This Row],[Real time]],-1,0)+1/24</f>
        <v>45433.2083333333</v>
      </c>
      <c r="BZ87" s="347" t="n">
        <f aca="false">OFFSET(TblImps[[#This Row],[Servertime]],-1,0)+1/24</f>
        <v>45433.4583333333</v>
      </c>
      <c r="CA87" s="26"/>
      <c r="CB87" s="345"/>
      <c r="CC87" s="345"/>
    </row>
    <row r="88" customFormat="false" ht="12.75" hidden="false" customHeight="false" outlineLevel="0" collapsed="false">
      <c r="A88" s="181" t="n">
        <f aca="false">TblConstr[[#This Row],[Land]]</f>
        <v>700</v>
      </c>
      <c r="B88" s="132"/>
      <c r="C88" s="69" t="n">
        <f aca="false">TblProd[[#This Row],[Platinum]]</f>
        <v>512165</v>
      </c>
      <c r="D88" s="69" t="n">
        <f aca="false">TblProd[[#This Row],[Lumber]]</f>
        <v>25667</v>
      </c>
      <c r="E88" s="69" t="n">
        <f aca="false">TblProd[[#This Row],[Ore]]</f>
        <v>-357</v>
      </c>
      <c r="F88" s="69" t="n">
        <f aca="false">TblProd[[#This Row],[Gems]]</f>
        <v>-1000</v>
      </c>
      <c r="G88" s="146"/>
      <c r="H88" s="69" t="n">
        <f aca="false">TblMili[[#This Row],[Draftees]]</f>
        <v>772</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700</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0</v>
      </c>
      <c r="Z88" s="340" t="n">
        <f aca="false">keep_cap*(1-EXP(-TblImps[[#This Row],[Σ Keep]]/(keep_param*(OFFSET(TblImps[[#This Row],[Land]],1,0)-OFFSET(TblExplore[[#This Row],[Land Bonus]],1,0)*20)+15000)))*(1+(mason_bonus*TblConstr[[#This Row],[Tot Mas]]/TblConstr[[#This Row],[Land (2)]]))</f>
        <v>0</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0</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0</v>
      </c>
      <c r="AG88" s="33" t="n">
        <f aca="false">(1+Overview!$I$28)*SUM(TblImps[[#This Row],[P3]:[G3]])+OFFSET(TblImps[[#This Row],[Σ Keep]],-1,0)</f>
        <v>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6" t="n">
        <f aca="false">OFFSET(TblImps[[#This Row],[Real time]],-1,0)+1/24</f>
        <v>45433.25</v>
      </c>
      <c r="BZ88" s="347" t="n">
        <f aca="false">OFFSET(TblImps[[#This Row],[Servertime]],-1,0)+1/24</f>
        <v>45433.5</v>
      </c>
      <c r="CA88" s="26"/>
      <c r="CB88" s="345"/>
      <c r="CC88" s="345"/>
    </row>
    <row r="89" customFormat="false" ht="12.75" hidden="false" customHeight="false" outlineLevel="0" collapsed="false">
      <c r="A89" s="181" t="n">
        <f aca="false">TblConstr[[#This Row],[Land]]</f>
        <v>700</v>
      </c>
      <c r="B89" s="132"/>
      <c r="C89" s="69" t="n">
        <f aca="false">TblProd[[#This Row],[Platinum]]</f>
        <v>556270</v>
      </c>
      <c r="D89" s="69" t="n">
        <f aca="false">TblProd[[#This Row],[Lumber]]</f>
        <v>26535</v>
      </c>
      <c r="E89" s="69" t="n">
        <f aca="false">TblProd[[#This Row],[Ore]]</f>
        <v>-357</v>
      </c>
      <c r="F89" s="69" t="n">
        <f aca="false">TblProd[[#This Row],[Gems]]</f>
        <v>-1000</v>
      </c>
      <c r="G89" s="146"/>
      <c r="H89" s="69" t="n">
        <f aca="false">TblMili[[#This Row],[Draftees]]</f>
        <v>861</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700</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0</v>
      </c>
      <c r="Z89" s="340" t="n">
        <f aca="false">keep_cap*(1-EXP(-TblImps[[#This Row],[Σ Keep]]/(keep_param*(OFFSET(TblImps[[#This Row],[Land]],1,0)-OFFSET(TblExplore[[#This Row],[Land Bonus]],1,0)*20)+15000)))*(1+(mason_bonus*TblConstr[[#This Row],[Tot Mas]]/TblConstr[[#This Row],[Land (2)]]))</f>
        <v>0</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0</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0</v>
      </c>
      <c r="AG89" s="33" t="n">
        <f aca="false">(1+Overview!$I$28)*SUM(TblImps[[#This Row],[P3]:[G3]])+OFFSET(TblImps[[#This Row],[Σ Keep]],-1,0)</f>
        <v>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6" t="n">
        <f aca="false">OFFSET(TblImps[[#This Row],[Real time]],-1,0)+1/24</f>
        <v>45433.2916666667</v>
      </c>
      <c r="BZ89" s="347" t="n">
        <f aca="false">OFFSET(TblImps[[#This Row],[Servertime]],-1,0)+1/24</f>
        <v>45433.5416666667</v>
      </c>
      <c r="CA89" s="26"/>
      <c r="CB89" s="345"/>
      <c r="CC89" s="345"/>
      <c r="CD89" s="153"/>
    </row>
    <row r="90" customFormat="false" ht="12.75" hidden="false" customHeight="false" outlineLevel="0" collapsed="false">
      <c r="A90" s="181" t="n">
        <f aca="false">TblConstr[[#This Row],[Land]]</f>
        <v>700</v>
      </c>
      <c r="B90" s="132"/>
      <c r="C90" s="69" t="n">
        <f aca="false">TblProd[[#This Row],[Platinum]]</f>
        <v>600111</v>
      </c>
      <c r="D90" s="69" t="n">
        <f aca="false">TblProd[[#This Row],[Lumber]]</f>
        <v>27395</v>
      </c>
      <c r="E90" s="69" t="n">
        <f aca="false">TblProd[[#This Row],[Ore]]</f>
        <v>-357</v>
      </c>
      <c r="F90" s="69" t="n">
        <f aca="false">TblProd[[#This Row],[Gems]]</f>
        <v>-1000</v>
      </c>
      <c r="G90" s="146"/>
      <c r="H90" s="69" t="n">
        <f aca="false">TblMili[[#This Row],[Draftees]]</f>
        <v>950</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700</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0</v>
      </c>
      <c r="Z90" s="340" t="n">
        <f aca="false">keep_cap*(1-EXP(-TblImps[[#This Row],[Σ Keep]]/(keep_param*(OFFSET(TblImps[[#This Row],[Land]],1,0)-OFFSET(TblExplore[[#This Row],[Land Bonus]],1,0)*20)+15000)))*(1+(mason_bonus*TblConstr[[#This Row],[Tot Mas]]/TblConstr[[#This Row],[Land (2)]]))</f>
        <v>0</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0</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0</v>
      </c>
      <c r="AG90" s="33" t="n">
        <f aca="false">(1+Overview!$I$28)*SUM(TblImps[[#This Row],[P3]:[G3]])+OFFSET(TblImps[[#This Row],[Σ Keep]],-1,0)</f>
        <v>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6" t="n">
        <f aca="false">OFFSET(TblImps[[#This Row],[Real time]],-1,0)+1/24</f>
        <v>45433.3333333333</v>
      </c>
      <c r="BZ90" s="347" t="n">
        <f aca="false">OFFSET(TblImps[[#This Row],[Servertime]],-1,0)+1/24</f>
        <v>45433.5833333333</v>
      </c>
      <c r="CA90" s="350"/>
      <c r="CB90" s="345"/>
      <c r="CC90" s="345"/>
      <c r="CF90" s="348"/>
    </row>
    <row r="91" customFormat="false" ht="12.75" hidden="false" customHeight="false" outlineLevel="0" collapsed="false">
      <c r="A91" s="181" t="n">
        <f aca="false">TblConstr[[#This Row],[Land]]</f>
        <v>700</v>
      </c>
      <c r="B91" s="132"/>
      <c r="C91" s="69" t="n">
        <f aca="false">TblProd[[#This Row],[Platinum]]</f>
        <v>643688</v>
      </c>
      <c r="D91" s="69" t="n">
        <f aca="false">TblProd[[#This Row],[Lumber]]</f>
        <v>28246</v>
      </c>
      <c r="E91" s="69" t="n">
        <f aca="false">TblProd[[#This Row],[Ore]]</f>
        <v>-357</v>
      </c>
      <c r="F91" s="69" t="n">
        <f aca="false">TblProd[[#This Row],[Gems]]</f>
        <v>-1000</v>
      </c>
      <c r="G91" s="146"/>
      <c r="H91" s="69" t="n">
        <f aca="false">TblMili[[#This Row],[Draftees]]</f>
        <v>1038</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700</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0</v>
      </c>
      <c r="Z91" s="340" t="n">
        <f aca="false">keep_cap*(1-EXP(-TblImps[[#This Row],[Σ Keep]]/(keep_param*(OFFSET(TblImps[[#This Row],[Land]],1,0)-OFFSET(TblExplore[[#This Row],[Land Bonus]],1,0)*20)+15000)))*(1+(mason_bonus*TblConstr[[#This Row],[Tot Mas]]/TblConstr[[#This Row],[Land (2)]]))</f>
        <v>0</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0</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0</v>
      </c>
      <c r="AG91" s="33" t="n">
        <f aca="false">(1+Overview!$I$28)*SUM(TblImps[[#This Row],[P3]:[G3]])+OFFSET(TblImps[[#This Row],[Σ Keep]],-1,0)</f>
        <v>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6" t="n">
        <f aca="false">OFFSET(TblImps[[#This Row],[Real time]],-1,0)+1/24</f>
        <v>45433.375</v>
      </c>
      <c r="BZ91" s="347" t="n">
        <f aca="false">OFFSET(TblImps[[#This Row],[Servertime]],-1,0)+1/24</f>
        <v>45433.625</v>
      </c>
      <c r="CA91" s="26"/>
      <c r="CB91" s="345"/>
      <c r="CC91" s="345"/>
      <c r="CF91" s="349"/>
    </row>
    <row r="92" customFormat="false" ht="12.75" hidden="false" customHeight="false" outlineLevel="0" collapsed="false">
      <c r="A92" s="181" t="n">
        <f aca="false">TblConstr[[#This Row],[Land]]</f>
        <v>700</v>
      </c>
      <c r="B92" s="132"/>
      <c r="C92" s="69" t="n">
        <f aca="false">TblProd[[#This Row],[Platinum]]</f>
        <v>687003</v>
      </c>
      <c r="D92" s="69" t="n">
        <f aca="false">TblProd[[#This Row],[Lumber]]</f>
        <v>29089</v>
      </c>
      <c r="E92" s="69" t="n">
        <f aca="false">TblProd[[#This Row],[Ore]]</f>
        <v>-357</v>
      </c>
      <c r="F92" s="69" t="n">
        <f aca="false">TblProd[[#This Row],[Gems]]</f>
        <v>-1000</v>
      </c>
      <c r="G92" s="146"/>
      <c r="H92" s="69" t="n">
        <f aca="false">TblMili[[#This Row],[Draftees]]</f>
        <v>1125</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700</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0</v>
      </c>
      <c r="Z92" s="340" t="n">
        <f aca="false">keep_cap*(1-EXP(-TblImps[[#This Row],[Σ Keep]]/(keep_param*(OFFSET(TblImps[[#This Row],[Land]],1,0)-OFFSET(TblExplore[[#This Row],[Land Bonus]],1,0)*20)+15000)))*(1+(mason_bonus*TblConstr[[#This Row],[Tot Mas]]/TblConstr[[#This Row],[Land (2)]]))</f>
        <v>0</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0</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0</v>
      </c>
      <c r="AG92" s="33" t="n">
        <f aca="false">(1+Overview!$I$28)*SUM(TblImps[[#This Row],[P3]:[G3]])+OFFSET(TblImps[[#This Row],[Σ Keep]],-1,0)</f>
        <v>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6" t="n">
        <f aca="false">OFFSET(TblImps[[#This Row],[Real time]],-1,0)+1/24</f>
        <v>45433.4166666667</v>
      </c>
      <c r="BZ92" s="347" t="n">
        <f aca="false">OFFSET(TblImps[[#This Row],[Servertime]],-1,0)+1/24</f>
        <v>45433.6666666667</v>
      </c>
      <c r="CA92" s="26"/>
      <c r="CB92" s="345"/>
      <c r="CC92" s="345"/>
      <c r="CF92" s="348"/>
    </row>
    <row r="93" customFormat="false" ht="12.75" hidden="false" customHeight="false" outlineLevel="0" collapsed="false">
      <c r="A93" s="181" t="n">
        <f aca="false">TblConstr[[#This Row],[Land]]</f>
        <v>700</v>
      </c>
      <c r="B93" s="132"/>
      <c r="C93" s="69" t="n">
        <f aca="false">TblProd[[#This Row],[Platinum]]</f>
        <v>730060</v>
      </c>
      <c r="D93" s="69" t="n">
        <f aca="false">TblProd[[#This Row],[Lumber]]</f>
        <v>29923</v>
      </c>
      <c r="E93" s="69" t="n">
        <f aca="false">TblProd[[#This Row],[Ore]]</f>
        <v>-357</v>
      </c>
      <c r="F93" s="69" t="n">
        <f aca="false">TblProd[[#This Row],[Gems]]</f>
        <v>-1000</v>
      </c>
      <c r="G93" s="146"/>
      <c r="H93" s="69" t="n">
        <f aca="false">TblMili[[#This Row],[Draftees]]</f>
        <v>1211</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700</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0</v>
      </c>
      <c r="Z93" s="340" t="n">
        <f aca="false">keep_cap*(1-EXP(-TblImps[[#This Row],[Σ Keep]]/(keep_param*(OFFSET(TblImps[[#This Row],[Land]],1,0)-OFFSET(TblExplore[[#This Row],[Land Bonus]],1,0)*20)+15000)))*(1+(mason_bonus*TblConstr[[#This Row],[Tot Mas]]/TblConstr[[#This Row],[Land (2)]]))</f>
        <v>0</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0</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0</v>
      </c>
      <c r="AG93" s="33" t="n">
        <f aca="false">(1+Overview!$I$28)*SUM(TblImps[[#This Row],[P3]:[G3]])+OFFSET(TblImps[[#This Row],[Σ Keep]],-1,0)</f>
        <v>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6" t="n">
        <f aca="false">OFFSET(TblImps[[#This Row],[Real time]],-1,0)+1/24</f>
        <v>45433.4583333333</v>
      </c>
      <c r="BZ93" s="347" t="n">
        <f aca="false">OFFSET(TblImps[[#This Row],[Servertime]],-1,0)+1/24</f>
        <v>45433.7083333333</v>
      </c>
      <c r="CA93" s="26"/>
      <c r="CB93" s="345"/>
      <c r="CC93" s="345"/>
      <c r="CF93" s="348"/>
    </row>
    <row r="94" customFormat="false" ht="12.75" hidden="false" customHeight="false" outlineLevel="0" collapsed="false">
      <c r="A94" s="181" t="n">
        <f aca="false">TblConstr[[#This Row],[Land]]</f>
        <v>700</v>
      </c>
      <c r="B94" s="132"/>
      <c r="C94" s="69" t="n">
        <f aca="false">TblProd[[#This Row],[Platinum]]</f>
        <v>772861</v>
      </c>
      <c r="D94" s="69" t="n">
        <f aca="false">TblProd[[#This Row],[Lumber]]</f>
        <v>30749</v>
      </c>
      <c r="E94" s="69" t="n">
        <f aca="false">TblProd[[#This Row],[Ore]]</f>
        <v>-357</v>
      </c>
      <c r="F94" s="69" t="n">
        <f aca="false">TblProd[[#This Row],[Gems]]</f>
        <v>-1000</v>
      </c>
      <c r="G94" s="146"/>
      <c r="H94" s="69" t="n">
        <f aca="false">TblMili[[#This Row],[Draftees]]</f>
        <v>1296</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700</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0</v>
      </c>
      <c r="Z94" s="340" t="n">
        <f aca="false">keep_cap*(1-EXP(-TblImps[[#This Row],[Σ Keep]]/(keep_param*(OFFSET(TblImps[[#This Row],[Land]],1,0)-OFFSET(TblExplore[[#This Row],[Land Bonus]],1,0)*20)+15000)))*(1+(mason_bonus*TblConstr[[#This Row],[Tot Mas]]/TblConstr[[#This Row],[Land (2)]]))</f>
        <v>0</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0</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0</v>
      </c>
      <c r="AG94" s="33" t="n">
        <f aca="false">(1+Overview!$I$28)*SUM(TblImps[[#This Row],[P3]:[G3]])+OFFSET(TblImps[[#This Row],[Σ Keep]],-1,0)</f>
        <v>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6" t="n">
        <f aca="false">OFFSET(TblImps[[#This Row],[Real time]],-1,0)+1/24</f>
        <v>45433.5</v>
      </c>
      <c r="BZ94" s="347" t="n">
        <f aca="false">OFFSET(TblImps[[#This Row],[Servertime]],-1,0)+1/24</f>
        <v>45433.75</v>
      </c>
      <c r="CA94" s="26"/>
      <c r="CB94" s="345"/>
      <c r="CC94" s="345"/>
    </row>
    <row r="95" customFormat="false" ht="12.75" hidden="false" customHeight="false" outlineLevel="0" collapsed="false">
      <c r="A95" s="181" t="n">
        <f aca="false">TblConstr[[#This Row],[Land]]</f>
        <v>700</v>
      </c>
      <c r="B95" s="132"/>
      <c r="C95" s="69" t="n">
        <f aca="false">TblProd[[#This Row],[Platinum]]</f>
        <v>815410</v>
      </c>
      <c r="D95" s="69" t="n">
        <f aca="false">TblProd[[#This Row],[Lumber]]</f>
        <v>31567</v>
      </c>
      <c r="E95" s="69" t="n">
        <f aca="false">TblProd[[#This Row],[Ore]]</f>
        <v>-357</v>
      </c>
      <c r="F95" s="69" t="n">
        <f aca="false">TblProd[[#This Row],[Gems]]</f>
        <v>-1000</v>
      </c>
      <c r="G95" s="146"/>
      <c r="H95" s="69" t="n">
        <f aca="false">TblMili[[#This Row],[Draftees]]</f>
        <v>1380</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700</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0</v>
      </c>
      <c r="Z95" s="340" t="n">
        <f aca="false">keep_cap*(1-EXP(-TblImps[[#This Row],[Σ Keep]]/(keep_param*(OFFSET(TblImps[[#This Row],[Land]],1,0)-OFFSET(TblExplore[[#This Row],[Land Bonus]],1,0)*20)+15000)))*(1+(mason_bonus*TblConstr[[#This Row],[Tot Mas]]/TblConstr[[#This Row],[Land (2)]]))</f>
        <v>0</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0</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0</v>
      </c>
      <c r="AG95" s="33" t="n">
        <f aca="false">(1+Overview!$I$28)*SUM(TblImps[[#This Row],[P3]:[G3]])+OFFSET(TblImps[[#This Row],[Σ Keep]],-1,0)</f>
        <v>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6" t="n">
        <f aca="false">OFFSET(TblImps[[#This Row],[Real time]],-1,0)+1/24</f>
        <v>45433.5416666667</v>
      </c>
      <c r="BZ95" s="347" t="n">
        <f aca="false">OFFSET(TblImps[[#This Row],[Servertime]],-1,0)+1/24</f>
        <v>45433.7916666667</v>
      </c>
      <c r="CA95" s="26"/>
      <c r="CB95" s="345"/>
      <c r="CC95" s="345"/>
    </row>
    <row r="96" customFormat="false" ht="12.75" hidden="false" customHeight="false" outlineLevel="0" collapsed="false">
      <c r="A96" s="181" t="n">
        <f aca="false">TblConstr[[#This Row],[Land]]</f>
        <v>700</v>
      </c>
      <c r="B96" s="132"/>
      <c r="C96" s="69" t="n">
        <f aca="false">TblProd[[#This Row],[Platinum]]</f>
        <v>857709</v>
      </c>
      <c r="D96" s="69" t="n">
        <f aca="false">TblProd[[#This Row],[Lumber]]</f>
        <v>32376</v>
      </c>
      <c r="E96" s="69" t="n">
        <f aca="false">TblProd[[#This Row],[Ore]]</f>
        <v>-357</v>
      </c>
      <c r="F96" s="69" t="n">
        <f aca="false">TblProd[[#This Row],[Gems]]</f>
        <v>-1000</v>
      </c>
      <c r="G96" s="146"/>
      <c r="H96" s="69" t="n">
        <f aca="false">TblMili[[#This Row],[Draftees]]</f>
        <v>1463</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700</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0</v>
      </c>
      <c r="Z96" s="340" t="n">
        <f aca="false">keep_cap*(1-EXP(-TblImps[[#This Row],[Σ Keep]]/(keep_param*(OFFSET(TblImps[[#This Row],[Land]],1,0)-OFFSET(TblExplore[[#This Row],[Land Bonus]],1,0)*20)+15000)))*(1+(mason_bonus*TblConstr[[#This Row],[Tot Mas]]/TblConstr[[#This Row],[Land (2)]]))</f>
        <v>0</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0</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0</v>
      </c>
      <c r="AG96" s="33" t="n">
        <f aca="false">(1+Overview!$I$28)*SUM(TblImps[[#This Row],[P3]:[G3]])+OFFSET(TblImps[[#This Row],[Σ Keep]],-1,0)</f>
        <v>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6" t="n">
        <f aca="false">OFFSET(TblImps[[#This Row],[Real time]],-1,0)+1/24</f>
        <v>45433.5833333333</v>
      </c>
      <c r="BZ96" s="347" t="n">
        <f aca="false">OFFSET(TblImps[[#This Row],[Servertime]],-1,0)+1/24</f>
        <v>45433.8333333333</v>
      </c>
      <c r="CA96" s="26"/>
      <c r="CB96" s="345"/>
      <c r="CC96" s="345"/>
    </row>
    <row r="97" customFormat="false" ht="12.75" hidden="false" customHeight="false" outlineLevel="0" collapsed="false">
      <c r="A97" s="181" t="n">
        <f aca="false">TblConstr[[#This Row],[Land]]</f>
        <v>700</v>
      </c>
      <c r="B97" s="132"/>
      <c r="C97" s="69" t="n">
        <f aca="false">TblProd[[#This Row],[Platinum]]</f>
        <v>899762</v>
      </c>
      <c r="D97" s="69" t="n">
        <f aca="false">TblProd[[#This Row],[Lumber]]</f>
        <v>33177</v>
      </c>
      <c r="E97" s="69" t="n">
        <f aca="false">TblProd[[#This Row],[Ore]]</f>
        <v>-357</v>
      </c>
      <c r="F97" s="69" t="n">
        <f aca="false">TblProd[[#This Row],[Gems]]</f>
        <v>-1000</v>
      </c>
      <c r="G97" s="146"/>
      <c r="H97" s="69" t="n">
        <f aca="false">TblMili[[#This Row],[Draftees]]</f>
        <v>1546</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700</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0</v>
      </c>
      <c r="Z97" s="340" t="n">
        <f aca="false">keep_cap*(1-EXP(-TblImps[[#This Row],[Σ Keep]]/(keep_param*(OFFSET(TblImps[[#This Row],[Land]],1,0)-OFFSET(TblExplore[[#This Row],[Land Bonus]],1,0)*20)+15000)))*(1+(mason_bonus*TblConstr[[#This Row],[Tot Mas]]/TblConstr[[#This Row],[Land (2)]]))</f>
        <v>0</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0</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0</v>
      </c>
      <c r="AG97" s="33" t="n">
        <f aca="false">(1+Overview!$I$28)*SUM(TblImps[[#This Row],[P3]:[G3]])+OFFSET(TblImps[[#This Row],[Σ Keep]],-1,0)</f>
        <v>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6" t="n">
        <f aca="false">OFFSET(TblImps[[#This Row],[Real time]],-1,0)+1/24</f>
        <v>45433.625</v>
      </c>
      <c r="BZ97" s="347" t="n">
        <f aca="false">OFFSET(TblImps[[#This Row],[Servertime]],-1,0)+1/24</f>
        <v>45433.875</v>
      </c>
      <c r="CA97" s="26"/>
      <c r="CB97" s="345"/>
      <c r="CC97" s="345"/>
    </row>
    <row r="98" customFormat="false" ht="12.75" hidden="false" customHeight="false" outlineLevel="0" collapsed="false">
      <c r="A98" s="181" t="n">
        <f aca="false">TblConstr[[#This Row],[Land]]</f>
        <v>700</v>
      </c>
      <c r="B98" s="132"/>
      <c r="C98" s="69" t="n">
        <f aca="false">TblProd[[#This Row],[Platinum]]</f>
        <v>941568</v>
      </c>
      <c r="D98" s="69" t="n">
        <f aca="false">TblProd[[#This Row],[Lumber]]</f>
        <v>33970</v>
      </c>
      <c r="E98" s="69" t="n">
        <f aca="false">TblProd[[#This Row],[Ore]]</f>
        <v>-357</v>
      </c>
      <c r="F98" s="69" t="n">
        <f aca="false">TblProd[[#This Row],[Gems]]</f>
        <v>-1000</v>
      </c>
      <c r="G98" s="146"/>
      <c r="H98" s="69" t="n">
        <f aca="false">TblMili[[#This Row],[Draftees]]</f>
        <v>1628</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700</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0</v>
      </c>
      <c r="Z98" s="340" t="n">
        <f aca="false">keep_cap*(1-EXP(-TblImps[[#This Row],[Σ Keep]]/(keep_param*(OFFSET(TblImps[[#This Row],[Land]],1,0)-OFFSET(TblExplore[[#This Row],[Land Bonus]],1,0)*20)+15000)))*(1+(mason_bonus*TblConstr[[#This Row],[Tot Mas]]/TblConstr[[#This Row],[Land (2)]]))</f>
        <v>0</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0</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0</v>
      </c>
      <c r="AG98" s="33" t="n">
        <f aca="false">(1+Overview!$I$28)*SUM(TblImps[[#This Row],[P3]:[G3]])+OFFSET(TblImps[[#This Row],[Σ Keep]],-1,0)</f>
        <v>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6" t="n">
        <f aca="false">OFFSET(TblImps[[#This Row],[Real time]],-1,0)+1/24</f>
        <v>45433.6666666667</v>
      </c>
      <c r="BZ98" s="347" t="n">
        <f aca="false">OFFSET(TblImps[[#This Row],[Servertime]],-1,0)+1/24</f>
        <v>45433.9166666667</v>
      </c>
      <c r="CA98" s="26"/>
      <c r="CB98" s="345"/>
      <c r="CC98" s="345"/>
    </row>
    <row r="99" customFormat="false" ht="12.75" hidden="false" customHeight="false" outlineLevel="0" collapsed="false">
      <c r="A99" s="181" t="n">
        <f aca="false">TblConstr[[#This Row],[Land]]</f>
        <v>700</v>
      </c>
      <c r="B99" s="132"/>
      <c r="C99" s="69" t="n">
        <f aca="false">TblProd[[#This Row],[Platinum]]</f>
        <v>983131</v>
      </c>
      <c r="D99" s="69" t="n">
        <f aca="false">TblProd[[#This Row],[Lumber]]</f>
        <v>34755</v>
      </c>
      <c r="E99" s="69" t="n">
        <f aca="false">TblProd[[#This Row],[Ore]]</f>
        <v>-357</v>
      </c>
      <c r="F99" s="69" t="n">
        <f aca="false">TblProd[[#This Row],[Gems]]</f>
        <v>-1000</v>
      </c>
      <c r="G99" s="146"/>
      <c r="H99" s="69" t="n">
        <f aca="false">TblMili[[#This Row],[Draftees]]</f>
        <v>1709</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700</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0</v>
      </c>
      <c r="Z99" s="340" t="n">
        <f aca="false">keep_cap*(1-EXP(-TblImps[[#This Row],[Σ Keep]]/(keep_param*(OFFSET(TblImps[[#This Row],[Land]],1,0)-OFFSET(TblExplore[[#This Row],[Land Bonus]],1,0)*20)+15000)))*(1+(mason_bonus*TblConstr[[#This Row],[Tot Mas]]/TblConstr[[#This Row],[Land (2)]]))</f>
        <v>0</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0</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0</v>
      </c>
      <c r="AG99" s="33" t="n">
        <f aca="false">(1+Overview!$I$28)*SUM(TblImps[[#This Row],[P3]:[G3]])+OFFSET(TblImps[[#This Row],[Σ Keep]],-1,0)</f>
        <v>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6" t="n">
        <f aca="false">OFFSET(TblImps[[#This Row],[Real time]],-1,0)+1/24</f>
        <v>45433.7083333333</v>
      </c>
      <c r="BZ99" s="347" t="n">
        <f aca="false">OFFSET(TblImps[[#This Row],[Servertime]],-1,0)+1/24</f>
        <v>45433.9583333333</v>
      </c>
      <c r="CA99" s="26"/>
      <c r="CB99" s="345"/>
      <c r="CC99" s="345"/>
    </row>
    <row r="100" customFormat="false" ht="12.75" hidden="false" customHeight="false" outlineLevel="0" collapsed="false">
      <c r="A100" s="181" t="n">
        <f aca="false">TblConstr[[#This Row],[Land]]</f>
        <v>700</v>
      </c>
      <c r="B100" s="132"/>
      <c r="C100" s="69" t="n">
        <f aca="false">TblProd[[#This Row],[Platinum]]</f>
        <v>1024453</v>
      </c>
      <c r="D100" s="69" t="n">
        <f aca="false">TblProd[[#This Row],[Lumber]]</f>
        <v>35532</v>
      </c>
      <c r="E100" s="69" t="n">
        <f aca="false">TblProd[[#This Row],[Ore]]</f>
        <v>-357</v>
      </c>
      <c r="F100" s="69" t="n">
        <f aca="false">TblProd[[#This Row],[Gems]]</f>
        <v>-1000</v>
      </c>
      <c r="G100" s="146"/>
      <c r="H100" s="69" t="n">
        <f aca="false">TblMili[[#This Row],[Draftees]]</f>
        <v>1789</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700</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0</v>
      </c>
      <c r="Z100" s="340" t="n">
        <f aca="false">keep_cap*(1-EXP(-TblImps[[#This Row],[Σ Keep]]/(keep_param*(OFFSET(TblImps[[#This Row],[Land]],1,0)-OFFSET(TblExplore[[#This Row],[Land Bonus]],1,0)*20)+15000)))*(1+(mason_bonus*TblConstr[[#This Row],[Tot Mas]]/TblConstr[[#This Row],[Land (2)]]))</f>
        <v>0</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0</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0</v>
      </c>
      <c r="AG100" s="33" t="n">
        <f aca="false">(1+Overview!$I$28)*SUM(TblImps[[#This Row],[P3]:[G3]])+OFFSET(TblImps[[#This Row],[Σ Keep]],-1,0)</f>
        <v>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6" t="n">
        <f aca="false">OFFSET(TblImps[[#This Row],[Real time]],-1,0)+1/24</f>
        <v>45433.75</v>
      </c>
      <c r="BZ100" s="347" t="n">
        <f aca="false">OFFSET(TblImps[[#This Row],[Servertime]],-1,0)+1/24</f>
        <v>45434</v>
      </c>
      <c r="CA100" s="26"/>
      <c r="CB100" s="345"/>
      <c r="CC100" s="345"/>
    </row>
    <row r="101" customFormat="false" ht="12.75" hidden="false" customHeight="false" outlineLevel="0" collapsed="false">
      <c r="A101" s="181" t="n">
        <f aca="false">TblConstr[[#This Row],[Land]]</f>
        <v>700</v>
      </c>
      <c r="B101" s="132"/>
      <c r="C101" s="69" t="n">
        <f aca="false">TblProd[[#This Row],[Platinum]]</f>
        <v>1065538</v>
      </c>
      <c r="D101" s="69" t="n">
        <f aca="false">TblProd[[#This Row],[Lumber]]</f>
        <v>36302</v>
      </c>
      <c r="E101" s="69" t="n">
        <f aca="false">TblProd[[#This Row],[Ore]]</f>
        <v>-357</v>
      </c>
      <c r="F101" s="69" t="n">
        <f aca="false">TblProd[[#This Row],[Gems]]</f>
        <v>-1000</v>
      </c>
      <c r="G101" s="146"/>
      <c r="H101" s="69" t="n">
        <f aca="false">TblMili[[#This Row],[Draftees]]</f>
        <v>1868</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700</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0</v>
      </c>
      <c r="Z101" s="340" t="n">
        <f aca="false">keep_cap*(1-EXP(-TblImps[[#This Row],[Σ Keep]]/(keep_param*(OFFSET(TblImps[[#This Row],[Land]],1,0)-OFFSET(TblExplore[[#This Row],[Land Bonus]],1,0)*20)+15000)))*(1+(mason_bonus*TblConstr[[#This Row],[Tot Mas]]/TblConstr[[#This Row],[Land (2)]]))</f>
        <v>0</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0</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0</v>
      </c>
      <c r="AG101" s="33" t="n">
        <f aca="false">(1+Overview!$I$28)*SUM(TblImps[[#This Row],[P3]:[G3]])+OFFSET(TblImps[[#This Row],[Σ Keep]],-1,0)</f>
        <v>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6" t="n">
        <f aca="false">OFFSET(TblImps[[#This Row],[Real time]],-1,0)+1/24</f>
        <v>45433.7916666667</v>
      </c>
      <c r="BZ101" s="347" t="n">
        <f aca="false">OFFSET(TblImps[[#This Row],[Servertime]],-1,0)+1/24</f>
        <v>45434.0416666667</v>
      </c>
      <c r="CA101" s="26"/>
      <c r="CB101" s="345"/>
      <c r="CC101" s="345"/>
    </row>
    <row r="102" customFormat="false" ht="12.75" hidden="false" customHeight="false" outlineLevel="0" collapsed="false">
      <c r="A102" s="181" t="n">
        <f aca="false">TblConstr[[#This Row],[Land]]</f>
        <v>700</v>
      </c>
      <c r="B102" s="132"/>
      <c r="C102" s="69" t="n">
        <f aca="false">TblProd[[#This Row],[Platinum]]</f>
        <v>1106388</v>
      </c>
      <c r="D102" s="69" t="n">
        <f aca="false">TblProd[[#This Row],[Lumber]]</f>
        <v>37064</v>
      </c>
      <c r="E102" s="69" t="n">
        <f aca="false">TblProd[[#This Row],[Ore]]</f>
        <v>-357</v>
      </c>
      <c r="F102" s="69" t="n">
        <f aca="false">TblProd[[#This Row],[Gems]]</f>
        <v>-1000</v>
      </c>
      <c r="G102" s="146"/>
      <c r="H102" s="69" t="n">
        <f aca="false">TblMili[[#This Row],[Draftees]]</f>
        <v>1946</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700</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0</v>
      </c>
      <c r="Z102" s="340" t="n">
        <f aca="false">keep_cap*(1-EXP(-TblImps[[#This Row],[Σ Keep]]/(keep_param*(OFFSET(TblImps[[#This Row],[Land]],1,0)-OFFSET(TblExplore[[#This Row],[Land Bonus]],1,0)*20)+15000)))*(1+(mason_bonus*TblConstr[[#This Row],[Tot Mas]]/TblConstr[[#This Row],[Land (2)]]))</f>
        <v>0</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0</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0</v>
      </c>
      <c r="AG102" s="33" t="n">
        <f aca="false">(1+Overview!$I$28)*SUM(TblImps[[#This Row],[P3]:[G3]])+OFFSET(TblImps[[#This Row],[Σ Keep]],-1,0)</f>
        <v>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6" t="n">
        <f aca="false">OFFSET(TblImps[[#This Row],[Real time]],-1,0)+1/24</f>
        <v>45433.8333333333</v>
      </c>
      <c r="BZ102" s="347" t="n">
        <f aca="false">OFFSET(TblImps[[#This Row],[Servertime]],-1,0)+1/24</f>
        <v>45434.0833333333</v>
      </c>
      <c r="CA102" s="26"/>
      <c r="CB102" s="345"/>
      <c r="CC102" s="345"/>
      <c r="CD102" s="1" t="s">
        <v>97</v>
      </c>
    </row>
    <row r="103" customFormat="false" ht="12.75" hidden="false" customHeight="false" outlineLevel="0" collapsed="false">
      <c r="A103" s="181" t="n">
        <f aca="false">TblConstr[[#This Row],[Land]]</f>
        <v>700</v>
      </c>
      <c r="B103" s="132"/>
      <c r="C103" s="69" t="n">
        <f aca="false">TblProd[[#This Row],[Platinum]]</f>
        <v>1147006</v>
      </c>
      <c r="D103" s="69" t="n">
        <f aca="false">TblProd[[#This Row],[Lumber]]</f>
        <v>37818</v>
      </c>
      <c r="E103" s="69" t="n">
        <f aca="false">TblProd[[#This Row],[Ore]]</f>
        <v>-357</v>
      </c>
      <c r="F103" s="69" t="n">
        <f aca="false">TblProd[[#This Row],[Gems]]</f>
        <v>-1000</v>
      </c>
      <c r="G103" s="146"/>
      <c r="H103" s="69" t="n">
        <f aca="false">TblMili[[#This Row],[Draftees]]</f>
        <v>2024</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700</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0</v>
      </c>
      <c r="Z103" s="340" t="n">
        <f aca="false">keep_cap*(1-EXP(-TblImps[[#This Row],[Σ Keep]]/(keep_param*(OFFSET(TblImps[[#This Row],[Land]],1,0)-OFFSET(TblExplore[[#This Row],[Land Bonus]],1,0)*20)+15000)))*(1+(mason_bonus*TblConstr[[#This Row],[Tot Mas]]/TblConstr[[#This Row],[Land (2)]]))</f>
        <v>0</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0</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0</v>
      </c>
      <c r="AG103" s="33" t="n">
        <f aca="false">(1+Overview!$I$28)*SUM(TblImps[[#This Row],[P3]:[G3]])+OFFSET(TblImps[[#This Row],[Σ Keep]],-1,0)</f>
        <v>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6" t="n">
        <f aca="false">OFFSET(TblImps[[#This Row],[Real time]],-1,0)+1/24</f>
        <v>45433.875</v>
      </c>
      <c r="BZ103" s="347" t="n">
        <f aca="false">OFFSET(TblImps[[#This Row],[Servertime]],-1,0)+1/24</f>
        <v>45434.125</v>
      </c>
      <c r="CA103" s="26"/>
      <c r="CB103" s="345"/>
      <c r="CC103" s="345"/>
      <c r="CD103" s="1" t="s">
        <v>93</v>
      </c>
    </row>
    <row r="104" customFormat="false" ht="12.75" hidden="false" customHeight="false" outlineLevel="0" collapsed="false">
      <c r="A104" s="181" t="n">
        <f aca="false">TblConstr[[#This Row],[Land]]</f>
        <v>700</v>
      </c>
      <c r="B104" s="132"/>
      <c r="C104" s="69" t="n">
        <f aca="false">TblProd[[#This Row],[Platinum]]</f>
        <v>1187393</v>
      </c>
      <c r="D104" s="69" t="n">
        <f aca="false">TblProd[[#This Row],[Lumber]]</f>
        <v>38565</v>
      </c>
      <c r="E104" s="69" t="n">
        <f aca="false">TblProd[[#This Row],[Ore]]</f>
        <v>-357</v>
      </c>
      <c r="F104" s="69" t="n">
        <f aca="false">TblProd[[#This Row],[Gems]]</f>
        <v>-1000</v>
      </c>
      <c r="G104" s="146"/>
      <c r="H104" s="69" t="n">
        <f aca="false">TblMili[[#This Row],[Draftees]]</f>
        <v>2101</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700</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0</v>
      </c>
      <c r="Z104" s="340" t="n">
        <f aca="false">keep_cap*(1-EXP(-TblImps[[#This Row],[Σ Keep]]/(keep_param*(OFFSET(TblImps[[#This Row],[Land]],1,0)-OFFSET(TblExplore[[#This Row],[Land Bonus]],1,0)*20)+15000)))*(1+(mason_bonus*TblConstr[[#This Row],[Tot Mas]]/TblConstr[[#This Row],[Land (2)]]))</f>
        <v>0</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0</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0</v>
      </c>
      <c r="AG104" s="33" t="n">
        <f aca="false">(1+Overview!$I$28)*SUM(TblImps[[#This Row],[P3]:[G3]])+OFFSET(TblImps[[#This Row],[Σ Keep]],-1,0)</f>
        <v>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6" t="n">
        <f aca="false">OFFSET(TblImps[[#This Row],[Real time]],-1,0)+1/24</f>
        <v>45433.9166666667</v>
      </c>
      <c r="BZ104" s="347" t="n">
        <f aca="false">OFFSET(TblImps[[#This Row],[Servertime]],-1,0)+1/24</f>
        <v>45434.1666666667</v>
      </c>
      <c r="CA104" s="26"/>
      <c r="CB104" s="345"/>
      <c r="CC104" s="345"/>
      <c r="CD104" s="1" t="s">
        <v>35</v>
      </c>
    </row>
    <row r="105" customFormat="false" ht="12.75" hidden="false" customHeight="false" outlineLevel="0" collapsed="false">
      <c r="A105" s="181" t="n">
        <f aca="false">TblConstr[[#This Row],[Land]]</f>
        <v>700</v>
      </c>
      <c r="B105" s="132"/>
      <c r="C105" s="69" t="n">
        <f aca="false">TblProd[[#This Row],[Platinum]]</f>
        <v>1227551</v>
      </c>
      <c r="D105" s="69" t="n">
        <f aca="false">TblProd[[#This Row],[Lumber]]</f>
        <v>39304</v>
      </c>
      <c r="E105" s="69" t="n">
        <f aca="false">TblProd[[#This Row],[Ore]]</f>
        <v>-357</v>
      </c>
      <c r="F105" s="69" t="n">
        <f aca="false">TblProd[[#This Row],[Gems]]</f>
        <v>-1000</v>
      </c>
      <c r="G105" s="146"/>
      <c r="H105" s="69" t="n">
        <f aca="false">TblMili[[#This Row],[Draftees]]</f>
        <v>2177</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700</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0</v>
      </c>
      <c r="Z105" s="340" t="n">
        <f aca="false">keep_cap*(1-EXP(-TblImps[[#This Row],[Σ Keep]]/(keep_param*(OFFSET(TblImps[[#This Row],[Land]],1,0)-OFFSET(TblExplore[[#This Row],[Land Bonus]],1,0)*20)+15000)))*(1+(mason_bonus*TblConstr[[#This Row],[Tot Mas]]/TblConstr[[#This Row],[Land (2)]]))</f>
        <v>0</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0</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0</v>
      </c>
      <c r="AG105" s="33" t="n">
        <f aca="false">(1+Overview!$I$28)*SUM(TblImps[[#This Row],[P3]:[G3]])+OFFSET(TblImps[[#This Row],[Σ Keep]],-1,0)</f>
        <v>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6" t="n">
        <f aca="false">OFFSET(TblImps[[#This Row],[Real time]],-1,0)+1/24</f>
        <v>45433.9583333333</v>
      </c>
      <c r="BZ105" s="347" t="n">
        <f aca="false">OFFSET(TblImps[[#This Row],[Servertime]],-1,0)+1/24</f>
        <v>45434.2083333333</v>
      </c>
      <c r="CA105" s="26"/>
      <c r="CB105" s="345"/>
      <c r="CC105" s="345"/>
      <c r="CD105" s="1" t="s">
        <v>34</v>
      </c>
    </row>
    <row r="106" customFormat="false" ht="12.75" hidden="false" customHeight="false" outlineLevel="0" collapsed="false">
      <c r="A106" s="181" t="n">
        <f aca="false">TblConstr[[#This Row],[Land]]</f>
        <v>700</v>
      </c>
      <c r="B106" s="132"/>
      <c r="C106" s="69" t="n">
        <f aca="false">TblProd[[#This Row],[Platinum]]</f>
        <v>1267483</v>
      </c>
      <c r="D106" s="69" t="n">
        <f aca="false">TblProd[[#This Row],[Lumber]]</f>
        <v>40036</v>
      </c>
      <c r="E106" s="69" t="n">
        <f aca="false">TblProd[[#This Row],[Ore]]</f>
        <v>-357</v>
      </c>
      <c r="F106" s="69" t="n">
        <f aca="false">TblProd[[#This Row],[Gems]]</f>
        <v>-1000</v>
      </c>
      <c r="G106" s="146"/>
      <c r="H106" s="69" t="n">
        <f aca="false">TblMili[[#This Row],[Draftees]]</f>
        <v>2252</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700</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0</v>
      </c>
      <c r="Z106" s="340" t="n">
        <f aca="false">keep_cap*(1-EXP(-TblImps[[#This Row],[Σ Keep]]/(keep_param*(OFFSET(TblImps[[#This Row],[Land]],1,0)-OFFSET(TblExplore[[#This Row],[Land Bonus]],1,0)*20)+15000)))*(1+(mason_bonus*TblConstr[[#This Row],[Tot Mas]]/TblConstr[[#This Row],[Land (2)]]))</f>
        <v>0</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0</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0</v>
      </c>
      <c r="AG106" s="33" t="n">
        <f aca="false">(1+Overview!$I$28)*SUM(TblImps[[#This Row],[P3]:[G3]])+OFFSET(TblImps[[#This Row],[Σ Keep]],-1,0)</f>
        <v>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6" t="n">
        <f aca="false">OFFSET(TblImps[[#This Row],[Real time]],-1,0)+1/24</f>
        <v>45434</v>
      </c>
      <c r="BZ106" s="347" t="n">
        <f aca="false">OFFSET(TblImps[[#This Row],[Servertime]],-1,0)+1/24</f>
        <v>45434.25</v>
      </c>
      <c r="CA106" s="26"/>
      <c r="CB106" s="345"/>
      <c r="CC106" s="345"/>
    </row>
    <row r="107" customFormat="false" ht="12.75" hidden="false" customHeight="false" outlineLevel="0" collapsed="false">
      <c r="A107" s="181" t="n">
        <f aca="false">TblConstr[[#This Row],[Land]]</f>
        <v>700</v>
      </c>
      <c r="B107" s="132"/>
      <c r="C107" s="69" t="n">
        <f aca="false">TblProd[[#This Row],[Platinum]]</f>
        <v>1307193</v>
      </c>
      <c r="D107" s="69" t="n">
        <f aca="false">TblProd[[#This Row],[Lumber]]</f>
        <v>40761</v>
      </c>
      <c r="E107" s="69" t="n">
        <f aca="false">TblProd[[#This Row],[Ore]]</f>
        <v>-357</v>
      </c>
      <c r="F107" s="69" t="n">
        <f aca="false">TblProd[[#This Row],[Gems]]</f>
        <v>-1000</v>
      </c>
      <c r="G107" s="146"/>
      <c r="H107" s="69" t="n">
        <f aca="false">TblMili[[#This Row],[Draftees]]</f>
        <v>2327</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700</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0</v>
      </c>
      <c r="Z107" s="340" t="n">
        <f aca="false">keep_cap*(1-EXP(-TblImps[[#This Row],[Σ Keep]]/(keep_param*(OFFSET(TblImps[[#This Row],[Land]],1,0)-OFFSET(TblExplore[[#This Row],[Land Bonus]],1,0)*20)+15000)))*(1+(mason_bonus*TblConstr[[#This Row],[Tot Mas]]/TblConstr[[#This Row],[Land (2)]]))</f>
        <v>0</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0</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0</v>
      </c>
      <c r="AG107" s="33" t="n">
        <f aca="false">(1+Overview!$I$28)*SUM(TblImps[[#This Row],[P3]:[G3]])+OFFSET(TblImps[[#This Row],[Σ Keep]],-1,0)</f>
        <v>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6" t="n">
        <f aca="false">OFFSET(TblImps[[#This Row],[Real time]],-1,0)+1/24</f>
        <v>45434.0416666667</v>
      </c>
      <c r="BZ107" s="347" t="n">
        <f aca="false">OFFSET(TblImps[[#This Row],[Servertime]],-1,0)+1/24</f>
        <v>45434.2916666667</v>
      </c>
      <c r="CA107" s="26"/>
      <c r="CB107" s="345"/>
      <c r="CC107" s="345"/>
      <c r="CD107" s="1" t="s">
        <v>733</v>
      </c>
    </row>
    <row r="108" customFormat="false" ht="12.75" hidden="false" customHeight="false" outlineLevel="0" collapsed="false">
      <c r="A108" s="181" t="n">
        <f aca="false">TblConstr[[#This Row],[Land]]</f>
        <v>700</v>
      </c>
      <c r="B108" s="132"/>
      <c r="C108" s="69" t="n">
        <f aca="false">TblProd[[#This Row],[Platinum]]</f>
        <v>1346680</v>
      </c>
      <c r="D108" s="69" t="n">
        <f aca="false">TblProd[[#This Row],[Lumber]]</f>
        <v>41478</v>
      </c>
      <c r="E108" s="69" t="n">
        <f aca="false">TblProd[[#This Row],[Ore]]</f>
        <v>-357</v>
      </c>
      <c r="F108" s="69" t="n">
        <f aca="false">TblProd[[#This Row],[Gems]]</f>
        <v>-1000</v>
      </c>
      <c r="G108" s="146"/>
      <c r="H108" s="69" t="n">
        <f aca="false">TblMili[[#This Row],[Draftees]]</f>
        <v>2401</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700</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0</v>
      </c>
      <c r="Z108" s="340" t="n">
        <f aca="false">keep_cap*(1-EXP(-TblImps[[#This Row],[Σ Keep]]/(keep_param*(OFFSET(TblImps[[#This Row],[Land]],1,0)-OFFSET(TblExplore[[#This Row],[Land Bonus]],1,0)*20)+15000)))*(1+(mason_bonus*TblConstr[[#This Row],[Tot Mas]]/TblConstr[[#This Row],[Land (2)]]))</f>
        <v>0</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0</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0</v>
      </c>
      <c r="AG108" s="33" t="n">
        <f aca="false">(1+Overview!$I$28)*SUM(TblImps[[#This Row],[P3]:[G3]])+OFFSET(TblImps[[#This Row],[Σ Keep]],-1,0)</f>
        <v>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6" t="n">
        <f aca="false">OFFSET(TblImps[[#This Row],[Real time]],-1,0)+1/24</f>
        <v>45434.0833333333</v>
      </c>
      <c r="BZ108" s="347" t="n">
        <f aca="false">OFFSET(TblImps[[#This Row],[Servertime]],-1,0)+1/24</f>
        <v>45434.3333333333</v>
      </c>
      <c r="CA108" s="26"/>
      <c r="CB108" s="345"/>
      <c r="CC108" s="345"/>
      <c r="CD108" s="1" t="s">
        <v>734</v>
      </c>
    </row>
    <row r="109" customFormat="false" ht="12.75" hidden="false" customHeight="false" outlineLevel="0" collapsed="false">
      <c r="A109" s="181" t="n">
        <f aca="false">TblConstr[[#This Row],[Land]]</f>
        <v>700</v>
      </c>
      <c r="B109" s="132"/>
      <c r="C109" s="69" t="n">
        <f aca="false">TblProd[[#This Row],[Platinum]]</f>
        <v>1385947</v>
      </c>
      <c r="D109" s="69" t="n">
        <f aca="false">TblProd[[#This Row],[Lumber]]</f>
        <v>42188</v>
      </c>
      <c r="E109" s="69" t="n">
        <f aca="false">TblProd[[#This Row],[Ore]]</f>
        <v>-357</v>
      </c>
      <c r="F109" s="69" t="n">
        <f aca="false">TblProd[[#This Row],[Gems]]</f>
        <v>-1000</v>
      </c>
      <c r="G109" s="146"/>
      <c r="H109" s="69" t="n">
        <f aca="false">TblMili[[#This Row],[Draftees]]</f>
        <v>2474</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700</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0</v>
      </c>
      <c r="Z109" s="340" t="n">
        <f aca="false">keep_cap*(1-EXP(-TblImps[[#This Row],[Σ Keep]]/(keep_param*(OFFSET(TblImps[[#This Row],[Land]],1,0)-OFFSET(TblExplore[[#This Row],[Land Bonus]],1,0)*20)+15000)))*(1+(mason_bonus*TblConstr[[#This Row],[Tot Mas]]/TblConstr[[#This Row],[Land (2)]]))</f>
        <v>0</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0</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0</v>
      </c>
      <c r="AG109" s="33" t="n">
        <f aca="false">(1+Overview!$I$28)*SUM(TblImps[[#This Row],[P3]:[G3]])+OFFSET(TblImps[[#This Row],[Σ Keep]],-1,0)</f>
        <v>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6" t="n">
        <f aca="false">OFFSET(TblImps[[#This Row],[Real time]],-1,0)+1/24</f>
        <v>45434.125</v>
      </c>
      <c r="BZ109" s="347" t="n">
        <f aca="false">OFFSET(TblImps[[#This Row],[Servertime]],-1,0)+1/24</f>
        <v>45434.375</v>
      </c>
      <c r="CA109" s="26"/>
      <c r="CB109" s="345"/>
      <c r="CC109" s="345"/>
      <c r="CD109" s="1" t="s">
        <v>735</v>
      </c>
    </row>
    <row r="110" customFormat="false" ht="12.75" hidden="false" customHeight="false" outlineLevel="0" collapsed="false">
      <c r="A110" s="181" t="n">
        <f aca="false">TblConstr[[#This Row],[Land]]</f>
        <v>700</v>
      </c>
      <c r="B110" s="132"/>
      <c r="C110" s="69" t="n">
        <f aca="false">TblProd[[#This Row],[Platinum]]</f>
        <v>1424997</v>
      </c>
      <c r="D110" s="69" t="n">
        <f aca="false">TblProd[[#This Row],[Lumber]]</f>
        <v>42891</v>
      </c>
      <c r="E110" s="69" t="n">
        <f aca="false">TblProd[[#This Row],[Ore]]</f>
        <v>-357</v>
      </c>
      <c r="F110" s="69" t="n">
        <f aca="false">TblProd[[#This Row],[Gems]]</f>
        <v>-1000</v>
      </c>
      <c r="G110" s="146"/>
      <c r="H110" s="69" t="n">
        <f aca="false">TblMili[[#This Row],[Draftees]]</f>
        <v>2546</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700</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0</v>
      </c>
      <c r="Z110" s="340" t="n">
        <f aca="false">keep_cap*(1-EXP(-TblImps[[#This Row],[Σ Keep]]/(keep_param*(OFFSET(TblImps[[#This Row],[Land]],1,0)-OFFSET(TblExplore[[#This Row],[Land Bonus]],1,0)*20)+15000)))*(1+(mason_bonus*TblConstr[[#This Row],[Tot Mas]]/TblConstr[[#This Row],[Land (2)]]))</f>
        <v>0</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0</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0</v>
      </c>
      <c r="AG110" s="33" t="n">
        <f aca="false">(1+Overview!$I$28)*SUM(TblImps[[#This Row],[P3]:[G3]])+OFFSET(TblImps[[#This Row],[Σ Keep]],-1,0)</f>
        <v>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6" t="n">
        <f aca="false">OFFSET(TblImps[[#This Row],[Real time]],-1,0)+1/24</f>
        <v>45434.1666666667</v>
      </c>
      <c r="BZ110" s="347" t="n">
        <f aca="false">OFFSET(TblImps[[#This Row],[Servertime]],-1,0)+1/24</f>
        <v>45434.4166666667</v>
      </c>
      <c r="CA110" s="26"/>
      <c r="CB110" s="345"/>
      <c r="CC110" s="345"/>
      <c r="CD110" s="1" t="s">
        <v>736</v>
      </c>
    </row>
    <row r="111" customFormat="false" ht="12.75" hidden="false" customHeight="false" outlineLevel="0" collapsed="false">
      <c r="A111" s="181" t="n">
        <f aca="false">TblConstr[[#This Row],[Land]]</f>
        <v>700</v>
      </c>
      <c r="B111" s="132"/>
      <c r="C111" s="69" t="n">
        <f aca="false">TblProd[[#This Row],[Platinum]]</f>
        <v>1463833</v>
      </c>
      <c r="D111" s="69" t="n">
        <f aca="false">TblProd[[#This Row],[Lumber]]</f>
        <v>43587</v>
      </c>
      <c r="E111" s="69" t="n">
        <f aca="false">TblProd[[#This Row],[Ore]]</f>
        <v>-357</v>
      </c>
      <c r="F111" s="69" t="n">
        <f aca="false">TblProd[[#This Row],[Gems]]</f>
        <v>-1000</v>
      </c>
      <c r="G111" s="146"/>
      <c r="H111" s="69" t="n">
        <f aca="false">TblMili[[#This Row],[Draftees]]</f>
        <v>2618</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700</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0</v>
      </c>
      <c r="Z111" s="340" t="n">
        <f aca="false">keep_cap*(1-EXP(-TblImps[[#This Row],[Σ Keep]]/(keep_param*(OFFSET(TblImps[[#This Row],[Land]],1,0)-OFFSET(TblExplore[[#This Row],[Land Bonus]],1,0)*20)+15000)))*(1+(mason_bonus*TblConstr[[#This Row],[Tot Mas]]/TblConstr[[#This Row],[Land (2)]]))</f>
        <v>0</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0</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0</v>
      </c>
      <c r="AG111" s="33" t="n">
        <f aca="false">(1+Overview!$I$28)*SUM(TblImps[[#This Row],[P3]:[G3]])+OFFSET(TblImps[[#This Row],[Σ Keep]],-1,0)</f>
        <v>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6" t="n">
        <f aca="false">OFFSET(TblImps[[#This Row],[Real time]],-1,0)+1/24</f>
        <v>45434.2083333333</v>
      </c>
      <c r="BZ111" s="347" t="n">
        <f aca="false">OFFSET(TblImps[[#This Row],[Servertime]],-1,0)+1/24</f>
        <v>45434.4583333333</v>
      </c>
      <c r="CA111" s="26"/>
      <c r="CB111" s="345"/>
      <c r="CC111" s="345"/>
      <c r="CD111" s="1" t="s">
        <v>737</v>
      </c>
    </row>
    <row r="112" customFormat="false" ht="12.75" hidden="false" customHeight="false" outlineLevel="0" collapsed="false">
      <c r="A112" s="181" t="n">
        <f aca="false">TblConstr[[#This Row],[Land]]</f>
        <v>700</v>
      </c>
      <c r="B112" s="132"/>
      <c r="C112" s="69" t="n">
        <f aca="false">TblProd[[#This Row],[Platinum]]</f>
        <v>1502456</v>
      </c>
      <c r="D112" s="69" t="n">
        <f aca="false">TblProd[[#This Row],[Lumber]]</f>
        <v>44276</v>
      </c>
      <c r="E112" s="69" t="n">
        <f aca="false">TblProd[[#This Row],[Ore]]</f>
        <v>-357</v>
      </c>
      <c r="F112" s="69" t="n">
        <f aca="false">TblProd[[#This Row],[Gems]]</f>
        <v>-1000</v>
      </c>
      <c r="G112" s="146"/>
      <c r="H112" s="69" t="n">
        <f aca="false">TblMili[[#This Row],[Draftees]]</f>
        <v>2689</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700</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0</v>
      </c>
      <c r="Z112" s="340" t="n">
        <f aca="false">keep_cap*(1-EXP(-TblImps[[#This Row],[Σ Keep]]/(keep_param*(OFFSET(TblImps[[#This Row],[Land]],1,0)-OFFSET(TblExplore[[#This Row],[Land Bonus]],1,0)*20)+15000)))*(1+(mason_bonus*TblConstr[[#This Row],[Tot Mas]]/TblConstr[[#This Row],[Land (2)]]))</f>
        <v>0</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0</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0</v>
      </c>
      <c r="AG112" s="33" t="n">
        <f aca="false">(1+Overview!$I$28)*SUM(TblImps[[#This Row],[P3]:[G3]])+OFFSET(TblImps[[#This Row],[Σ Keep]],-1,0)</f>
        <v>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6" t="n">
        <f aca="false">OFFSET(TblImps[[#This Row],[Real time]],-1,0)+1/24</f>
        <v>45434.25</v>
      </c>
      <c r="BZ112" s="347" t="n">
        <f aca="false">OFFSET(TblImps[[#This Row],[Servertime]],-1,0)+1/24</f>
        <v>45434.5</v>
      </c>
      <c r="CA112" s="26"/>
      <c r="CB112" s="345"/>
      <c r="CC112" s="345"/>
      <c r="CD112" s="1" t="s">
        <v>738</v>
      </c>
    </row>
    <row r="113" customFormat="false" ht="12.75" hidden="false" customHeight="false" outlineLevel="0" collapsed="false">
      <c r="A113" s="181" t="n">
        <f aca="false">TblConstr[[#This Row],[Land]]</f>
        <v>700</v>
      </c>
      <c r="B113" s="132"/>
      <c r="C113" s="69" t="n">
        <f aca="false">TblProd[[#This Row],[Platinum]]</f>
        <v>1533801</v>
      </c>
      <c r="D113" s="69" t="n">
        <f aca="false">TblProd[[#This Row],[Lumber]]</f>
        <v>44958</v>
      </c>
      <c r="E113" s="69" t="n">
        <f aca="false">TblProd[[#This Row],[Ore]]</f>
        <v>-357</v>
      </c>
      <c r="F113" s="69" t="n">
        <f aca="false">TblProd[[#This Row],[Gems]]</f>
        <v>-1000</v>
      </c>
      <c r="G113" s="146"/>
      <c r="H113" s="69" t="n">
        <f aca="false">TblMili[[#This Row],[Draftees]]</f>
        <v>2759</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700</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0</v>
      </c>
      <c r="Z113" s="340" t="n">
        <f aca="false">keep_cap*(1-EXP(-TblImps[[#This Row],[Σ Keep]]/(keep_param*(OFFSET(TblImps[[#This Row],[Land]],1,0)-OFFSET(TblExplore[[#This Row],[Land Bonus]],1,0)*20)+15000)))*(1+(mason_bonus*TblConstr[[#This Row],[Tot Mas]]/TblConstr[[#This Row],[Land (2)]]))</f>
        <v>0</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0</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0</v>
      </c>
      <c r="AG113" s="33" t="n">
        <f aca="false">(1+Overview!$I$28)*SUM(TblImps[[#This Row],[P3]:[G3]])+OFFSET(TblImps[[#This Row],[Σ Keep]],-1,0)</f>
        <v>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6" t="n">
        <f aca="false">OFFSET(TblImps[[#This Row],[Real time]],-1,0)+1/24</f>
        <v>45434.2916666667</v>
      </c>
      <c r="BZ113" s="347" t="n">
        <f aca="false">OFFSET(TblImps[[#This Row],[Servertime]],-1,0)+1/24</f>
        <v>45434.5416666667</v>
      </c>
      <c r="CA113" s="26"/>
      <c r="CB113" s="345"/>
      <c r="CC113" s="345"/>
    </row>
    <row r="114" customFormat="false" ht="12.75" hidden="false" customHeight="false" outlineLevel="0" collapsed="false">
      <c r="A114" s="181" t="n">
        <f aca="false">TblConstr[[#This Row],[Land]]</f>
        <v>700</v>
      </c>
      <c r="B114" s="132"/>
      <c r="C114" s="69" t="n">
        <f aca="false">TblProd[[#This Row],[Platinum]]</f>
        <v>1564957</v>
      </c>
      <c r="D114" s="69" t="n">
        <f aca="false">TblProd[[#This Row],[Lumber]]</f>
        <v>45633</v>
      </c>
      <c r="E114" s="69" t="n">
        <f aca="false">TblProd[[#This Row],[Ore]]</f>
        <v>-357</v>
      </c>
      <c r="F114" s="69" t="n">
        <f aca="false">TblProd[[#This Row],[Gems]]</f>
        <v>-1000</v>
      </c>
      <c r="G114" s="146"/>
      <c r="H114" s="69" t="n">
        <f aca="false">TblMili[[#This Row],[Draftees]]</f>
        <v>2829</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700</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0</v>
      </c>
      <c r="Z114" s="340" t="n">
        <f aca="false">keep_cap*(1-EXP(-TblImps[[#This Row],[Σ Keep]]/(keep_param*(OFFSET(TblImps[[#This Row],[Land]],1,0)-OFFSET(TblExplore[[#This Row],[Land Bonus]],1,0)*20)+15000)))*(1+(mason_bonus*TblConstr[[#This Row],[Tot Mas]]/TblConstr[[#This Row],[Land (2)]]))</f>
        <v>0</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0</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0</v>
      </c>
      <c r="AG114" s="33" t="n">
        <f aca="false">(1+Overview!$I$28)*SUM(TblImps[[#This Row],[P3]:[G3]])+OFFSET(TblImps[[#This Row],[Σ Keep]],-1,0)</f>
        <v>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6" t="n">
        <f aca="false">OFFSET(TblImps[[#This Row],[Real time]],-1,0)+1/24</f>
        <v>45434.3333333333</v>
      </c>
      <c r="BZ114" s="347" t="n">
        <f aca="false">OFFSET(TblImps[[#This Row],[Servertime]],-1,0)+1/24</f>
        <v>45434.5833333333</v>
      </c>
      <c r="CA114" s="350"/>
      <c r="CB114" s="345"/>
      <c r="CC114" s="345"/>
    </row>
    <row r="115" customFormat="false" ht="12.75" hidden="false" customHeight="false" outlineLevel="0" collapsed="false">
      <c r="A115" s="181" t="n">
        <f aca="false">TblConstr[[#This Row],[Land]]</f>
        <v>700</v>
      </c>
      <c r="B115" s="132"/>
      <c r="C115" s="69" t="n">
        <f aca="false">TblProd[[#This Row],[Platinum]]</f>
        <v>1595924</v>
      </c>
      <c r="D115" s="69" t="n">
        <f aca="false">TblProd[[#This Row],[Lumber]]</f>
        <v>46302</v>
      </c>
      <c r="E115" s="69" t="n">
        <f aca="false">TblProd[[#This Row],[Ore]]</f>
        <v>-357</v>
      </c>
      <c r="F115" s="69" t="n">
        <f aca="false">TblProd[[#This Row],[Gems]]</f>
        <v>-1000</v>
      </c>
      <c r="G115" s="146"/>
      <c r="H115" s="69" t="n">
        <f aca="false">TblMili[[#This Row],[Draftees]]</f>
        <v>2898</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700</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0</v>
      </c>
      <c r="Z115" s="340" t="n">
        <f aca="false">keep_cap*(1-EXP(-TblImps[[#This Row],[Σ Keep]]/(keep_param*(OFFSET(TblImps[[#This Row],[Land]],1,0)-OFFSET(TblExplore[[#This Row],[Land Bonus]],1,0)*20)+15000)))*(1+(mason_bonus*TblConstr[[#This Row],[Tot Mas]]/TblConstr[[#This Row],[Land (2)]]))</f>
        <v>0</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0</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0</v>
      </c>
      <c r="AG115" s="33" t="n">
        <f aca="false">(1+Overview!$I$28)*SUM(TblImps[[#This Row],[P3]:[G3]])+OFFSET(TblImps[[#This Row],[Σ Keep]],-1,0)</f>
        <v>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6" t="n">
        <f aca="false">OFFSET(TblImps[[#This Row],[Real time]],-1,0)+1/24</f>
        <v>45434.375</v>
      </c>
      <c r="BZ115" s="347" t="n">
        <f aca="false">OFFSET(TblImps[[#This Row],[Servertime]],-1,0)+1/24</f>
        <v>45434.625</v>
      </c>
      <c r="CA115" s="26"/>
      <c r="CB115" s="345"/>
      <c r="CC115" s="345"/>
    </row>
    <row r="116" customFormat="false" ht="12.75" hidden="false" customHeight="false" outlineLevel="0" collapsed="false">
      <c r="A116" s="181" t="n">
        <f aca="false">TblConstr[[#This Row],[Land]]</f>
        <v>700</v>
      </c>
      <c r="B116" s="132"/>
      <c r="C116" s="69" t="n">
        <f aca="false">TblProd[[#This Row],[Platinum]]</f>
        <v>1626704</v>
      </c>
      <c r="D116" s="69" t="n">
        <f aca="false">TblProd[[#This Row],[Lumber]]</f>
        <v>46964</v>
      </c>
      <c r="E116" s="69" t="n">
        <f aca="false">TblProd[[#This Row],[Ore]]</f>
        <v>-357</v>
      </c>
      <c r="F116" s="69" t="n">
        <f aca="false">TblProd[[#This Row],[Gems]]</f>
        <v>-1000</v>
      </c>
      <c r="G116" s="146"/>
      <c r="H116" s="69" t="n">
        <f aca="false">TblMili[[#This Row],[Draftees]]</f>
        <v>2966</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700</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0</v>
      </c>
      <c r="Z116" s="340" t="n">
        <f aca="false">keep_cap*(1-EXP(-TblImps[[#This Row],[Σ Keep]]/(keep_param*(OFFSET(TblImps[[#This Row],[Land]],1,0)-OFFSET(TblExplore[[#This Row],[Land Bonus]],1,0)*20)+15000)))*(1+(mason_bonus*TblConstr[[#This Row],[Tot Mas]]/TblConstr[[#This Row],[Land (2)]]))</f>
        <v>0</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0</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0</v>
      </c>
      <c r="AG116" s="33" t="n">
        <f aca="false">(1+Overview!$I$28)*SUM(TblImps[[#This Row],[P3]:[G3]])+OFFSET(TblImps[[#This Row],[Σ Keep]],-1,0)</f>
        <v>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6" t="n">
        <f aca="false">OFFSET(TblImps[[#This Row],[Real time]],-1,0)+1/24</f>
        <v>45434.4166666667</v>
      </c>
      <c r="BZ116" s="347" t="n">
        <f aca="false">OFFSET(TblImps[[#This Row],[Servertime]],-1,0)+1/24</f>
        <v>45434.6666666667</v>
      </c>
      <c r="CA116" s="26"/>
      <c r="CB116" s="345"/>
      <c r="CC116" s="345"/>
    </row>
    <row r="117" customFormat="false" ht="12.75" hidden="false" customHeight="false" outlineLevel="0" collapsed="false">
      <c r="A117" s="181" t="n">
        <f aca="false">TblConstr[[#This Row],[Land]]</f>
        <v>700</v>
      </c>
      <c r="B117" s="132"/>
      <c r="C117" s="69" t="n">
        <f aca="false">TblProd[[#This Row],[Platinum]]</f>
        <v>1657301</v>
      </c>
      <c r="D117" s="69" t="n">
        <f aca="false">TblProd[[#This Row],[Lumber]]</f>
        <v>47619</v>
      </c>
      <c r="E117" s="69" t="n">
        <f aca="false">TblProd[[#This Row],[Ore]]</f>
        <v>-357</v>
      </c>
      <c r="F117" s="69" t="n">
        <f aca="false">TblProd[[#This Row],[Gems]]</f>
        <v>-1000</v>
      </c>
      <c r="G117" s="146"/>
      <c r="H117" s="69" t="n">
        <f aca="false">TblMili[[#This Row],[Draftees]]</f>
        <v>3033</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700</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0</v>
      </c>
      <c r="Z117" s="340" t="n">
        <f aca="false">keep_cap*(1-EXP(-TblImps[[#This Row],[Σ Keep]]/(keep_param*(OFFSET(TblImps[[#This Row],[Land]],1,0)-OFFSET(TblExplore[[#This Row],[Land Bonus]],1,0)*20)+15000)))*(1+(mason_bonus*TblConstr[[#This Row],[Tot Mas]]/TblConstr[[#This Row],[Land (2)]]))</f>
        <v>0</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0</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0</v>
      </c>
      <c r="AG117" s="33" t="n">
        <f aca="false">(1+Overview!$I$28)*SUM(TblImps[[#This Row],[P3]:[G3]])+OFFSET(TblImps[[#This Row],[Σ Keep]],-1,0)</f>
        <v>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6" t="n">
        <f aca="false">OFFSET(TblImps[[#This Row],[Real time]],-1,0)+1/24</f>
        <v>45434.4583333333</v>
      </c>
      <c r="BZ117" s="347" t="n">
        <f aca="false">OFFSET(TblImps[[#This Row],[Servertime]],-1,0)+1/24</f>
        <v>45434.7083333333</v>
      </c>
      <c r="CA117" s="26"/>
      <c r="CB117" s="345"/>
      <c r="CC117" s="345"/>
    </row>
    <row r="118" customFormat="false" ht="12.75" hidden="false" customHeight="false" outlineLevel="0" collapsed="false">
      <c r="A118" s="181" t="n">
        <f aca="false">TblConstr[[#This Row],[Land]]</f>
        <v>700</v>
      </c>
      <c r="B118" s="132"/>
      <c r="C118" s="69" t="n">
        <f aca="false">TblProd[[#This Row],[Platinum]]</f>
        <v>1687717</v>
      </c>
      <c r="D118" s="69" t="n">
        <f aca="false">TblProd[[#This Row],[Lumber]]</f>
        <v>48268</v>
      </c>
      <c r="E118" s="69" t="n">
        <f aca="false">TblProd[[#This Row],[Ore]]</f>
        <v>-357</v>
      </c>
      <c r="F118" s="69" t="n">
        <f aca="false">TblProd[[#This Row],[Gems]]</f>
        <v>-1000</v>
      </c>
      <c r="G118" s="146"/>
      <c r="H118" s="69" t="n">
        <f aca="false">TblMili[[#This Row],[Draftees]]</f>
        <v>3100</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700</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0</v>
      </c>
      <c r="Z118" s="340" t="n">
        <f aca="false">keep_cap*(1-EXP(-TblImps[[#This Row],[Σ Keep]]/(keep_param*(OFFSET(TblImps[[#This Row],[Land]],1,0)-OFFSET(TblExplore[[#This Row],[Land Bonus]],1,0)*20)+15000)))*(1+(mason_bonus*TblConstr[[#This Row],[Tot Mas]]/TblConstr[[#This Row],[Land (2)]]))</f>
        <v>0</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0</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0</v>
      </c>
      <c r="AG118" s="33" t="n">
        <f aca="false">(1+Overview!$I$28)*SUM(TblImps[[#This Row],[P3]:[G3]])+OFFSET(TblImps[[#This Row],[Σ Keep]],-1,0)</f>
        <v>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6" t="n">
        <f aca="false">OFFSET(TblImps[[#This Row],[Real time]],-1,0)+1/24</f>
        <v>45434.5</v>
      </c>
      <c r="BZ118" s="347" t="n">
        <f aca="false">OFFSET(TblImps[[#This Row],[Servertime]],-1,0)+1/24</f>
        <v>45434.75</v>
      </c>
      <c r="CA118" s="26"/>
      <c r="CB118" s="345"/>
      <c r="CC118" s="345"/>
    </row>
    <row r="119" customFormat="false" ht="12.75" hidden="false" customHeight="false" outlineLevel="0" collapsed="false">
      <c r="A119" s="181" t="n">
        <f aca="false">TblConstr[[#This Row],[Land]]</f>
        <v>700</v>
      </c>
      <c r="B119" s="132"/>
      <c r="C119" s="69" t="n">
        <f aca="false">TblProd[[#This Row],[Platinum]]</f>
        <v>1717952</v>
      </c>
      <c r="D119" s="69" t="n">
        <f aca="false">TblProd[[#This Row],[Lumber]]</f>
        <v>48910</v>
      </c>
      <c r="E119" s="69" t="n">
        <f aca="false">TblProd[[#This Row],[Ore]]</f>
        <v>-357</v>
      </c>
      <c r="F119" s="69" t="n">
        <f aca="false">TblProd[[#This Row],[Gems]]</f>
        <v>-1000</v>
      </c>
      <c r="G119" s="146"/>
      <c r="H119" s="69" t="n">
        <f aca="false">TblMili[[#This Row],[Draftees]]</f>
        <v>3166</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700</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0</v>
      </c>
      <c r="Z119" s="340" t="n">
        <f aca="false">keep_cap*(1-EXP(-TblImps[[#This Row],[Σ Keep]]/(keep_param*(OFFSET(TblImps[[#This Row],[Land]],1,0)-OFFSET(TblExplore[[#This Row],[Land Bonus]],1,0)*20)+15000)))*(1+(mason_bonus*TblConstr[[#This Row],[Tot Mas]]/TblConstr[[#This Row],[Land (2)]]))</f>
        <v>0</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0</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0</v>
      </c>
      <c r="AG119" s="33" t="n">
        <f aca="false">(1+Overview!$I$28)*SUM(TblImps[[#This Row],[P3]:[G3]])+OFFSET(TblImps[[#This Row],[Σ Keep]],-1,0)</f>
        <v>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6" t="n">
        <f aca="false">OFFSET(TblImps[[#This Row],[Real time]],-1,0)+1/24</f>
        <v>45434.5416666667</v>
      </c>
      <c r="BZ119" s="347" t="n">
        <f aca="false">OFFSET(TblImps[[#This Row],[Servertime]],-1,0)+1/24</f>
        <v>45434.7916666667</v>
      </c>
      <c r="CA119" s="26"/>
      <c r="CB119" s="345"/>
      <c r="CC119" s="345"/>
    </row>
    <row r="120" customFormat="false" ht="12.75" hidden="false" customHeight="false" outlineLevel="0" collapsed="false">
      <c r="A120" s="181" t="n">
        <f aca="false">TblConstr[[#This Row],[Land]]</f>
        <v>700</v>
      </c>
      <c r="B120" s="132"/>
      <c r="C120" s="69" t="n">
        <f aca="false">TblProd[[#This Row],[Platinum]]</f>
        <v>1748009</v>
      </c>
      <c r="D120" s="69" t="n">
        <f aca="false">TblProd[[#This Row],[Lumber]]</f>
        <v>49546</v>
      </c>
      <c r="E120" s="69" t="n">
        <f aca="false">TblProd[[#This Row],[Ore]]</f>
        <v>-357</v>
      </c>
      <c r="F120" s="69" t="n">
        <f aca="false">TblProd[[#This Row],[Gems]]</f>
        <v>-1000</v>
      </c>
      <c r="G120" s="146"/>
      <c r="H120" s="69" t="n">
        <f aca="false">TblMili[[#This Row],[Draftees]]</f>
        <v>3231</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700</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0</v>
      </c>
      <c r="Z120" s="340" t="n">
        <f aca="false">keep_cap*(1-EXP(-TblImps[[#This Row],[Σ Keep]]/(keep_param*(OFFSET(TblImps[[#This Row],[Land]],1,0)-OFFSET(TblExplore[[#This Row],[Land Bonus]],1,0)*20)+15000)))*(1+(mason_bonus*TblConstr[[#This Row],[Tot Mas]]/TblConstr[[#This Row],[Land (2)]]))</f>
        <v>0</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0</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0</v>
      </c>
      <c r="AG120" s="33" t="n">
        <f aca="false">(1+Overview!$I$28)*SUM(TblImps[[#This Row],[P3]:[G3]])+OFFSET(TblImps[[#This Row],[Σ Keep]],-1,0)</f>
        <v>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6" t="n">
        <f aca="false">OFFSET(TblImps[[#This Row],[Real time]],-1,0)+1/24</f>
        <v>45434.5833333333</v>
      </c>
      <c r="BZ120" s="347" t="n">
        <f aca="false">OFFSET(TblImps[[#This Row],[Servertime]],-1,0)+1/24</f>
        <v>45434.8333333333</v>
      </c>
      <c r="CA120" s="26"/>
      <c r="CB120" s="345"/>
      <c r="CC120" s="345"/>
    </row>
    <row r="121" customFormat="false" ht="12.75" hidden="false" customHeight="false" outlineLevel="0" collapsed="false">
      <c r="A121" s="181" t="n">
        <f aca="false">TblConstr[[#This Row],[Land]]</f>
        <v>700</v>
      </c>
      <c r="B121" s="132"/>
      <c r="C121" s="69" t="n">
        <f aca="false">TblProd[[#This Row],[Platinum]]</f>
        <v>1777890</v>
      </c>
      <c r="D121" s="69" t="n">
        <f aca="false">TblProd[[#This Row],[Lumber]]</f>
        <v>50176</v>
      </c>
      <c r="E121" s="69" t="n">
        <f aca="false">TblProd[[#This Row],[Ore]]</f>
        <v>-357</v>
      </c>
      <c r="F121" s="69" t="n">
        <f aca="false">TblProd[[#This Row],[Gems]]</f>
        <v>-1000</v>
      </c>
      <c r="G121" s="146"/>
      <c r="H121" s="69" t="n">
        <f aca="false">TblMili[[#This Row],[Draftees]]</f>
        <v>3296</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700</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0</v>
      </c>
      <c r="Z121" s="340" t="n">
        <f aca="false">keep_cap*(1-EXP(-TblImps[[#This Row],[Σ Keep]]/(keep_param*(OFFSET(TblImps[[#This Row],[Land]],1,0)-OFFSET(TblExplore[[#This Row],[Land Bonus]],1,0)*20)+15000)))*(1+(mason_bonus*TblConstr[[#This Row],[Tot Mas]]/TblConstr[[#This Row],[Land (2)]]))</f>
        <v>0</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0</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0</v>
      </c>
      <c r="AG121" s="33" t="n">
        <f aca="false">(1+Overview!$I$28)*SUM(TblImps[[#This Row],[P3]:[G3]])+OFFSET(TblImps[[#This Row],[Σ Keep]],-1,0)</f>
        <v>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6" t="n">
        <f aca="false">OFFSET(TblImps[[#This Row],[Real time]],-1,0)+1/24</f>
        <v>45434.625</v>
      </c>
      <c r="BZ121" s="347" t="n">
        <f aca="false">OFFSET(TblImps[[#This Row],[Servertime]],-1,0)+1/24</f>
        <v>45434.875</v>
      </c>
      <c r="CA121" s="26"/>
      <c r="CB121" s="345"/>
      <c r="CC121" s="345"/>
    </row>
    <row r="122" customFormat="false" ht="12.75" hidden="false" customHeight="false" outlineLevel="0" collapsed="false">
      <c r="A122" s="181" t="n">
        <f aca="false">TblConstr[[#This Row],[Land]]</f>
        <v>700</v>
      </c>
      <c r="B122" s="132"/>
      <c r="C122" s="69" t="n">
        <f aca="false">TblProd[[#This Row],[Platinum]]</f>
        <v>1807596</v>
      </c>
      <c r="D122" s="69" t="n">
        <f aca="false">TblProd[[#This Row],[Lumber]]</f>
        <v>50799</v>
      </c>
      <c r="E122" s="69" t="n">
        <f aca="false">TblProd[[#This Row],[Ore]]</f>
        <v>-357</v>
      </c>
      <c r="F122" s="69" t="n">
        <f aca="false">TblProd[[#This Row],[Gems]]</f>
        <v>-1000</v>
      </c>
      <c r="G122" s="146"/>
      <c r="H122" s="69" t="n">
        <f aca="false">TblMili[[#This Row],[Draftees]]</f>
        <v>3360</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700</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0</v>
      </c>
      <c r="Z122" s="340" t="n">
        <f aca="false">keep_cap*(1-EXP(-TblImps[[#This Row],[Σ Keep]]/(keep_param*(OFFSET(TblImps[[#This Row],[Land]],1,0)-OFFSET(TblExplore[[#This Row],[Land Bonus]],1,0)*20)+15000)))*(1+(mason_bonus*TblConstr[[#This Row],[Tot Mas]]/TblConstr[[#This Row],[Land (2)]]))</f>
        <v>0</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0</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0</v>
      </c>
      <c r="AG122" s="33" t="n">
        <f aca="false">(1+Overview!$I$28)*SUM(TblImps[[#This Row],[P3]:[G3]])+OFFSET(TblImps[[#This Row],[Σ Keep]],-1,0)</f>
        <v>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6" t="n">
        <f aca="false">OFFSET(TblImps[[#This Row],[Real time]],-1,0)+1/24</f>
        <v>45434.6666666667</v>
      </c>
      <c r="BZ122" s="347" t="n">
        <f aca="false">OFFSET(TblImps[[#This Row],[Servertime]],-1,0)+1/24</f>
        <v>45434.9166666667</v>
      </c>
      <c r="CA122" s="26"/>
      <c r="CB122" s="345"/>
      <c r="CC122" s="345"/>
    </row>
    <row r="123" customFormat="false" ht="12.75" hidden="false" customHeight="false" outlineLevel="0" collapsed="false">
      <c r="A123" s="181" t="n">
        <f aca="false">TblConstr[[#This Row],[Land]]</f>
        <v>700</v>
      </c>
      <c r="B123" s="132"/>
      <c r="C123" s="69" t="n">
        <f aca="false">TblProd[[#This Row],[Platinum]]</f>
        <v>1837129</v>
      </c>
      <c r="D123" s="69" t="n">
        <f aca="false">TblProd[[#This Row],[Lumber]]</f>
        <v>51416</v>
      </c>
      <c r="E123" s="69" t="n">
        <f aca="false">TblProd[[#This Row],[Ore]]</f>
        <v>-357</v>
      </c>
      <c r="F123" s="69" t="n">
        <f aca="false">TblProd[[#This Row],[Gems]]</f>
        <v>-1000</v>
      </c>
      <c r="G123" s="146"/>
      <c r="H123" s="69" t="n">
        <f aca="false">TblMili[[#This Row],[Draftees]]</f>
        <v>3424</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700</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0</v>
      </c>
      <c r="Z123" s="340" t="n">
        <f aca="false">keep_cap*(1-EXP(-TblImps[[#This Row],[Σ Keep]]/(keep_param*(OFFSET(TblImps[[#This Row],[Land]],1,0)-OFFSET(TblExplore[[#This Row],[Land Bonus]],1,0)*20)+15000)))*(1+(mason_bonus*TblConstr[[#This Row],[Tot Mas]]/TblConstr[[#This Row],[Land (2)]]))</f>
        <v>0</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0</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0</v>
      </c>
      <c r="AG123" s="33" t="n">
        <f aca="false">(1+Overview!$I$28)*SUM(TblImps[[#This Row],[P3]:[G3]])+OFFSET(TblImps[[#This Row],[Σ Keep]],-1,0)</f>
        <v>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6" t="n">
        <f aca="false">OFFSET(TblImps[[#This Row],[Real time]],-1,0)+1/24</f>
        <v>45434.7083333333</v>
      </c>
      <c r="BZ123" s="347" t="n">
        <f aca="false">OFFSET(TblImps[[#This Row],[Servertime]],-1,0)+1/24</f>
        <v>45434.9583333333</v>
      </c>
      <c r="CA123" s="26"/>
      <c r="CB123" s="345"/>
      <c r="CC123" s="345"/>
    </row>
    <row r="124" customFormat="false" ht="12.75" hidden="false" customHeight="false" outlineLevel="0" collapsed="false">
      <c r="A124" s="181" t="n">
        <f aca="false">TblConstr[[#This Row],[Land]]</f>
        <v>700</v>
      </c>
      <c r="B124" s="132"/>
      <c r="C124" s="69" t="n">
        <f aca="false">TblProd[[#This Row],[Platinum]]</f>
        <v>1866489</v>
      </c>
      <c r="D124" s="69" t="n">
        <f aca="false">TblProd[[#This Row],[Lumber]]</f>
        <v>52027</v>
      </c>
      <c r="E124" s="69" t="n">
        <f aca="false">TblProd[[#This Row],[Ore]]</f>
        <v>-357</v>
      </c>
      <c r="F124" s="69" t="n">
        <f aca="false">TblProd[[#This Row],[Gems]]</f>
        <v>-1000</v>
      </c>
      <c r="G124" s="146"/>
      <c r="H124" s="69" t="n">
        <f aca="false">TblMili[[#This Row],[Draftees]]</f>
        <v>3487</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700</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0</v>
      </c>
      <c r="Z124" s="340" t="n">
        <f aca="false">keep_cap*(1-EXP(-TblImps[[#This Row],[Σ Keep]]/(keep_param*(OFFSET(TblImps[[#This Row],[Land]],1,0)-OFFSET(TblExplore[[#This Row],[Land Bonus]],1,0)*20)+15000)))*(1+(mason_bonus*TblConstr[[#This Row],[Tot Mas]]/TblConstr[[#This Row],[Land (2)]]))</f>
        <v>0</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0</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0</v>
      </c>
      <c r="AG124" s="33" t="n">
        <f aca="false">(1+Overview!$I$28)*SUM(TblImps[[#This Row],[P3]:[G3]])+OFFSET(TblImps[[#This Row],[Σ Keep]],-1,0)</f>
        <v>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6" t="n">
        <f aca="false">OFFSET(TblImps[[#This Row],[Real time]],-1,0)+1/24</f>
        <v>45434.75</v>
      </c>
      <c r="BZ124" s="347" t="n">
        <f aca="false">OFFSET(TblImps[[#This Row],[Servertime]],-1,0)+1/24</f>
        <v>45435</v>
      </c>
      <c r="CA124" s="26"/>
      <c r="CB124" s="345"/>
      <c r="CC124" s="345"/>
    </row>
    <row r="125" customFormat="false" ht="12.75" hidden="false" customHeight="false" outlineLevel="0" collapsed="false">
      <c r="A125" s="181" t="n">
        <f aca="false">TblConstr[[#This Row],[Land]]</f>
        <v>700</v>
      </c>
      <c r="B125" s="132"/>
      <c r="C125" s="69" t="n">
        <f aca="false">TblProd[[#This Row],[Platinum]]</f>
        <v>1895679</v>
      </c>
      <c r="D125" s="69" t="n">
        <f aca="false">TblProd[[#This Row],[Lumber]]</f>
        <v>52632</v>
      </c>
      <c r="E125" s="69" t="n">
        <f aca="false">TblProd[[#This Row],[Ore]]</f>
        <v>-357</v>
      </c>
      <c r="F125" s="69" t="n">
        <f aca="false">TblProd[[#This Row],[Gems]]</f>
        <v>-1000</v>
      </c>
      <c r="G125" s="146"/>
      <c r="H125" s="69" t="n">
        <f aca="false">TblMili[[#This Row],[Draftees]]</f>
        <v>3549</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700</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0</v>
      </c>
      <c r="Z125" s="340" t="n">
        <f aca="false">keep_cap*(1-EXP(-TblImps[[#This Row],[Σ Keep]]/(keep_param*(OFFSET(TblImps[[#This Row],[Land]],1,0)-OFFSET(TblExplore[[#This Row],[Land Bonus]],1,0)*20)+15000)))*(1+(mason_bonus*TblConstr[[#This Row],[Tot Mas]]/TblConstr[[#This Row],[Land (2)]]))</f>
        <v>0</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0</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0</v>
      </c>
      <c r="AG125" s="33" t="n">
        <f aca="false">(1+Overview!$I$28)*SUM(TblImps[[#This Row],[P3]:[G3]])+OFFSET(TblImps[[#This Row],[Σ Keep]],-1,0)</f>
        <v>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6" t="n">
        <f aca="false">OFFSET(TblImps[[#This Row],[Real time]],-1,0)+1/24</f>
        <v>45434.7916666667</v>
      </c>
      <c r="BZ125" s="347" t="n">
        <f aca="false">OFFSET(TblImps[[#This Row],[Servertime]],-1,0)+1/24</f>
        <v>45435.0416666667</v>
      </c>
      <c r="CA125" s="26"/>
      <c r="CB125" s="345"/>
      <c r="CC125" s="345"/>
    </row>
    <row r="126" customFormat="false" ht="12.75" hidden="false" customHeight="false" outlineLevel="0" collapsed="false">
      <c r="A126" s="181" t="n">
        <f aca="false">TblConstr[[#This Row],[Land]]</f>
        <v>700</v>
      </c>
      <c r="B126" s="132"/>
      <c r="C126" s="69" t="n">
        <f aca="false">TblProd[[#This Row],[Platinum]]</f>
        <v>1924702</v>
      </c>
      <c r="D126" s="69" t="n">
        <f aca="false">TblProd[[#This Row],[Lumber]]</f>
        <v>53231</v>
      </c>
      <c r="E126" s="69" t="n">
        <f aca="false">TblProd[[#This Row],[Ore]]</f>
        <v>-357</v>
      </c>
      <c r="F126" s="69" t="n">
        <f aca="false">TblProd[[#This Row],[Gems]]</f>
        <v>-1000</v>
      </c>
      <c r="G126" s="146"/>
      <c r="H126" s="69" t="n">
        <f aca="false">TblMili[[#This Row],[Draftees]]</f>
        <v>3611</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700</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0</v>
      </c>
      <c r="Z126" s="340" t="n">
        <f aca="false">keep_cap*(1-EXP(-TblImps[[#This Row],[Σ Keep]]/(keep_param*(OFFSET(TblImps[[#This Row],[Land]],1,0)-OFFSET(TblExplore[[#This Row],[Land Bonus]],1,0)*20)+15000)))*(1+(mason_bonus*TblConstr[[#This Row],[Tot Mas]]/TblConstr[[#This Row],[Land (2)]]))</f>
        <v>0</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0</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0</v>
      </c>
      <c r="AG126" s="33" t="n">
        <f aca="false">(1+Overview!$I$28)*SUM(TblImps[[#This Row],[P3]:[G3]])+OFFSET(TblImps[[#This Row],[Σ Keep]],-1,0)</f>
        <v>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6" t="n">
        <f aca="false">OFFSET(TblImps[[#This Row],[Real time]],-1,0)+1/24</f>
        <v>45434.8333333333</v>
      </c>
      <c r="BZ126" s="347" t="n">
        <f aca="false">OFFSET(TblImps[[#This Row],[Servertime]],-1,0)+1/24</f>
        <v>45435.0833333333</v>
      </c>
      <c r="CA126" s="26"/>
      <c r="CB126" s="345"/>
      <c r="CC126" s="345"/>
    </row>
    <row r="127" customFormat="false" ht="12.75" hidden="false" customHeight="false" outlineLevel="0" collapsed="false">
      <c r="A127" s="181" t="n">
        <f aca="false">TblConstr[[#This Row],[Land]]</f>
        <v>700</v>
      </c>
      <c r="B127" s="132"/>
      <c r="C127" s="69" t="n">
        <f aca="false">TblProd[[#This Row],[Platinum]]</f>
        <v>1953557</v>
      </c>
      <c r="D127" s="69" t="n">
        <f aca="false">TblProd[[#This Row],[Lumber]]</f>
        <v>53824</v>
      </c>
      <c r="E127" s="69" t="n">
        <f aca="false">TblProd[[#This Row],[Ore]]</f>
        <v>-357</v>
      </c>
      <c r="F127" s="69" t="n">
        <f aca="false">TblProd[[#This Row],[Gems]]</f>
        <v>-1000</v>
      </c>
      <c r="G127" s="146"/>
      <c r="H127" s="69" t="n">
        <f aca="false">TblMili[[#This Row],[Draftees]]</f>
        <v>3672</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700</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0</v>
      </c>
      <c r="Z127" s="340" t="n">
        <f aca="false">keep_cap*(1-EXP(-TblImps[[#This Row],[Σ Keep]]/(keep_param*(OFFSET(TblImps[[#This Row],[Land]],1,0)-OFFSET(TblExplore[[#This Row],[Land Bonus]],1,0)*20)+15000)))*(1+(mason_bonus*TblConstr[[#This Row],[Tot Mas]]/TblConstr[[#This Row],[Land (2)]]))</f>
        <v>0</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0</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0</v>
      </c>
      <c r="AG127" s="33" t="n">
        <f aca="false">(1+Overview!$I$28)*SUM(TblImps[[#This Row],[P3]:[G3]])+OFFSET(TblImps[[#This Row],[Σ Keep]],-1,0)</f>
        <v>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6" t="n">
        <f aca="false">OFFSET(TblImps[[#This Row],[Real time]],-1,0)+1/24</f>
        <v>45434.875</v>
      </c>
      <c r="BZ127" s="347" t="n">
        <f aca="false">OFFSET(TblImps[[#This Row],[Servertime]],-1,0)+1/24</f>
        <v>45435.125</v>
      </c>
      <c r="CA127" s="26"/>
      <c r="CB127" s="345"/>
      <c r="CC127" s="345"/>
    </row>
    <row r="128" customFormat="false" ht="12.75" hidden="false" customHeight="false" outlineLevel="0" collapsed="false">
      <c r="A128" s="181" t="n">
        <f aca="false">TblConstr[[#This Row],[Land]]</f>
        <v>700</v>
      </c>
      <c r="B128" s="132"/>
      <c r="C128" s="69" t="n">
        <f aca="false">TblProd[[#This Row],[Platinum]]</f>
        <v>1982248</v>
      </c>
      <c r="D128" s="69" t="n">
        <f aca="false">TblProd[[#This Row],[Lumber]]</f>
        <v>54411</v>
      </c>
      <c r="E128" s="69" t="n">
        <f aca="false">TblProd[[#This Row],[Ore]]</f>
        <v>-357</v>
      </c>
      <c r="F128" s="69" t="n">
        <f aca="false">TblProd[[#This Row],[Gems]]</f>
        <v>-1000</v>
      </c>
      <c r="G128" s="146"/>
      <c r="H128" s="69" t="n">
        <f aca="false">TblMili[[#This Row],[Draftees]]</f>
        <v>3732</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700</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0</v>
      </c>
      <c r="Z128" s="340" t="n">
        <f aca="false">keep_cap*(1-EXP(-TblImps[[#This Row],[Σ Keep]]/(keep_param*(OFFSET(TblImps[[#This Row],[Land]],1,0)-OFFSET(TblExplore[[#This Row],[Land Bonus]],1,0)*20)+15000)))*(1+(mason_bonus*TblConstr[[#This Row],[Tot Mas]]/TblConstr[[#This Row],[Land (2)]]))</f>
        <v>0</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0</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0</v>
      </c>
      <c r="AG128" s="33" t="n">
        <f aca="false">(1+Overview!$I$28)*SUM(TblImps[[#This Row],[P3]:[G3]])+OFFSET(TblImps[[#This Row],[Σ Keep]],-1,0)</f>
        <v>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6" t="n">
        <f aca="false">OFFSET(TblImps[[#This Row],[Real time]],-1,0)+1/24</f>
        <v>45434.9166666667</v>
      </c>
      <c r="BZ128" s="347" t="n">
        <f aca="false">OFFSET(TblImps[[#This Row],[Servertime]],-1,0)+1/24</f>
        <v>45435.1666666667</v>
      </c>
      <c r="CA128" s="26"/>
      <c r="CB128" s="345"/>
      <c r="CC128" s="345"/>
    </row>
    <row r="129" customFormat="false" ht="12.75" hidden="false" customHeight="false" outlineLevel="0" collapsed="false">
      <c r="A129" s="181" t="n">
        <f aca="false">TblConstr[[#This Row],[Land]]</f>
        <v>700</v>
      </c>
      <c r="B129" s="132"/>
      <c r="C129" s="69" t="n">
        <f aca="false">TblProd[[#This Row],[Platinum]]</f>
        <v>2010777</v>
      </c>
      <c r="D129" s="69" t="n">
        <f aca="false">TblProd[[#This Row],[Lumber]]</f>
        <v>54992</v>
      </c>
      <c r="E129" s="69" t="n">
        <f aca="false">TblProd[[#This Row],[Ore]]</f>
        <v>-357</v>
      </c>
      <c r="F129" s="69" t="n">
        <f aca="false">TblProd[[#This Row],[Gems]]</f>
        <v>-1000</v>
      </c>
      <c r="G129" s="146"/>
      <c r="H129" s="69" t="n">
        <f aca="false">TblMili[[#This Row],[Draftees]]</f>
        <v>3792</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700</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0</v>
      </c>
      <c r="Z129" s="340" t="n">
        <f aca="false">keep_cap*(1-EXP(-TblImps[[#This Row],[Σ Keep]]/(keep_param*(OFFSET(TblImps[[#This Row],[Land]],1,0)-OFFSET(TblExplore[[#This Row],[Land Bonus]],1,0)*20)+15000)))*(1+(mason_bonus*TblConstr[[#This Row],[Tot Mas]]/TblConstr[[#This Row],[Land (2)]]))</f>
        <v>0</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0</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0</v>
      </c>
      <c r="AG129" s="33" t="n">
        <f aca="false">(1+Overview!$I$28)*SUM(TblImps[[#This Row],[P3]:[G3]])+OFFSET(TblImps[[#This Row],[Σ Keep]],-1,0)</f>
        <v>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6" t="n">
        <f aca="false">OFFSET(TblImps[[#This Row],[Real time]],-1,0)+1/24</f>
        <v>45434.9583333333</v>
      </c>
      <c r="BZ129" s="347" t="n">
        <f aca="false">OFFSET(TblImps[[#This Row],[Servertime]],-1,0)+1/24</f>
        <v>45435.2083333333</v>
      </c>
      <c r="CA129" s="26"/>
      <c r="CB129" s="345"/>
      <c r="CC129" s="345"/>
    </row>
    <row r="130" customFormat="false" ht="12.75" hidden="false" customHeight="false" outlineLevel="0" collapsed="false">
      <c r="A130" s="181" t="n">
        <f aca="false">TblConstr[[#This Row],[Land]]</f>
        <v>700</v>
      </c>
      <c r="B130" s="132"/>
      <c r="C130" s="69" t="n">
        <f aca="false">TblProd[[#This Row],[Platinum]]</f>
        <v>2039144</v>
      </c>
      <c r="D130" s="69" t="n">
        <f aca="false">TblProd[[#This Row],[Lumber]]</f>
        <v>55567</v>
      </c>
      <c r="E130" s="69" t="n">
        <f aca="false">TblProd[[#This Row],[Ore]]</f>
        <v>-357</v>
      </c>
      <c r="F130" s="69" t="n">
        <f aca="false">TblProd[[#This Row],[Gems]]</f>
        <v>-1000</v>
      </c>
      <c r="G130" s="146"/>
      <c r="H130" s="69" t="n">
        <f aca="false">TblMili[[#This Row],[Draftees]]</f>
        <v>3851</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700</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0</v>
      </c>
      <c r="Z130" s="340" t="n">
        <f aca="false">keep_cap*(1-EXP(-TblImps[[#This Row],[Σ Keep]]/(keep_param*(OFFSET(TblImps[[#This Row],[Land]],1,0)-OFFSET(TblExplore[[#This Row],[Land Bonus]],1,0)*20)+15000)))*(1+(mason_bonus*TblConstr[[#This Row],[Tot Mas]]/TblConstr[[#This Row],[Land (2)]]))</f>
        <v>0</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0</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0</v>
      </c>
      <c r="AG130" s="33" t="n">
        <f aca="false">(1+Overview!$I$28)*SUM(TblImps[[#This Row],[P3]:[G3]])+OFFSET(TblImps[[#This Row],[Σ Keep]],-1,0)</f>
        <v>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6" t="n">
        <f aca="false">OFFSET(TblImps[[#This Row],[Real time]],-1,0)+1/24</f>
        <v>45435</v>
      </c>
      <c r="BZ130" s="347" t="n">
        <f aca="false">OFFSET(TblImps[[#This Row],[Servertime]],-1,0)+1/24</f>
        <v>45435.25</v>
      </c>
      <c r="CA130" s="26"/>
      <c r="CB130" s="345"/>
      <c r="CC130" s="345"/>
    </row>
    <row r="131" customFormat="false" ht="12.75" hidden="false" customHeight="false" outlineLevel="0" collapsed="false">
      <c r="A131" s="181" t="n">
        <f aca="false">TblConstr[[#This Row],[Land]]</f>
        <v>700</v>
      </c>
      <c r="B131" s="132"/>
      <c r="C131" s="69" t="n">
        <f aca="false">TblProd[[#This Row],[Platinum]]</f>
        <v>2067351</v>
      </c>
      <c r="D131" s="69" t="n">
        <f aca="false">TblProd[[#This Row],[Lumber]]</f>
        <v>56136</v>
      </c>
      <c r="E131" s="69" t="n">
        <f aca="false">TblProd[[#This Row],[Ore]]</f>
        <v>-357</v>
      </c>
      <c r="F131" s="69" t="n">
        <f aca="false">TblProd[[#This Row],[Gems]]</f>
        <v>-1000</v>
      </c>
      <c r="G131" s="146"/>
      <c r="H131" s="69" t="n">
        <f aca="false">TblMili[[#This Row],[Draftees]]</f>
        <v>3910</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700</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0</v>
      </c>
      <c r="Z131" s="340" t="n">
        <f aca="false">keep_cap*(1-EXP(-TblImps[[#This Row],[Σ Keep]]/(keep_param*(OFFSET(TblImps[[#This Row],[Land]],1,0)-OFFSET(TblExplore[[#This Row],[Land Bonus]],1,0)*20)+15000)))*(1+(mason_bonus*TblConstr[[#This Row],[Tot Mas]]/TblConstr[[#This Row],[Land (2)]]))</f>
        <v>0</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0</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0</v>
      </c>
      <c r="AG131" s="33" t="n">
        <f aca="false">(1+Overview!$I$28)*SUM(TblImps[[#This Row],[P3]:[G3]])+OFFSET(TblImps[[#This Row],[Σ Keep]],-1,0)</f>
        <v>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6" t="n">
        <f aca="false">OFFSET(TblImps[[#This Row],[Real time]],-1,0)+1/24</f>
        <v>45435.0416666667</v>
      </c>
      <c r="BZ131" s="347" t="n">
        <f aca="false">OFFSET(TblImps[[#This Row],[Servertime]],-1,0)+1/24</f>
        <v>45435.2916666667</v>
      </c>
      <c r="CA131" s="26"/>
      <c r="CB131" s="345"/>
      <c r="CC131" s="345"/>
    </row>
    <row r="132" customFormat="false" ht="12.75" hidden="false" customHeight="false" outlineLevel="0" collapsed="false">
      <c r="A132" s="181" t="n">
        <f aca="false">TblConstr[[#This Row],[Land]]</f>
        <v>700</v>
      </c>
      <c r="B132" s="132"/>
      <c r="C132" s="69" t="n">
        <f aca="false">TblProd[[#This Row],[Platinum]]</f>
        <v>2095399</v>
      </c>
      <c r="D132" s="69" t="n">
        <f aca="false">TblProd[[#This Row],[Lumber]]</f>
        <v>56700</v>
      </c>
      <c r="E132" s="69" t="n">
        <f aca="false">TblProd[[#This Row],[Ore]]</f>
        <v>-357</v>
      </c>
      <c r="F132" s="69" t="n">
        <f aca="false">TblProd[[#This Row],[Gems]]</f>
        <v>-1000</v>
      </c>
      <c r="G132" s="146"/>
      <c r="H132" s="69" t="n">
        <f aca="false">TblMili[[#This Row],[Draftees]]</f>
        <v>3968</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700</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0</v>
      </c>
      <c r="Z132" s="340" t="n">
        <f aca="false">keep_cap*(1-EXP(-TblImps[[#This Row],[Σ Keep]]/(keep_param*(OFFSET(TblImps[[#This Row],[Land]],1,0)-OFFSET(TblExplore[[#This Row],[Land Bonus]],1,0)*20)+15000)))*(1+(mason_bonus*TblConstr[[#This Row],[Tot Mas]]/TblConstr[[#This Row],[Land (2)]]))</f>
        <v>0</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0</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0</v>
      </c>
      <c r="AG132" s="33" t="n">
        <f aca="false">(1+Overview!$I$28)*SUM(TblImps[[#This Row],[P3]:[G3]])+OFFSET(TblImps[[#This Row],[Σ Keep]],-1,0)</f>
        <v>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6" t="n">
        <f aca="false">OFFSET(TblImps[[#This Row],[Real time]],-1,0)+1/24</f>
        <v>45435.0833333333</v>
      </c>
      <c r="BZ132" s="347" t="n">
        <f aca="false">OFFSET(TblImps[[#This Row],[Servertime]],-1,0)+1/24</f>
        <v>45435.3333333333</v>
      </c>
      <c r="CA132" s="26"/>
      <c r="CB132" s="345"/>
      <c r="CC132" s="345"/>
    </row>
    <row r="133" customFormat="false" ht="12.75" hidden="false" customHeight="false" outlineLevel="0" collapsed="false">
      <c r="A133" s="181" t="n">
        <f aca="false">TblConstr[[#This Row],[Land]]</f>
        <v>700</v>
      </c>
      <c r="B133" s="132"/>
      <c r="C133" s="69" t="n">
        <f aca="false">TblProd[[#This Row],[Platinum]]</f>
        <v>2123290</v>
      </c>
      <c r="D133" s="69" t="n">
        <f aca="false">TblProd[[#This Row],[Lumber]]</f>
        <v>57258</v>
      </c>
      <c r="E133" s="69" t="n">
        <f aca="false">TblProd[[#This Row],[Ore]]</f>
        <v>-357</v>
      </c>
      <c r="F133" s="69" t="n">
        <f aca="false">TblProd[[#This Row],[Gems]]</f>
        <v>-1000</v>
      </c>
      <c r="G133" s="146"/>
      <c r="H133" s="69" t="n">
        <f aca="false">TblMili[[#This Row],[Draftees]]</f>
        <v>4025</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700</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0</v>
      </c>
      <c r="Z133" s="340" t="n">
        <f aca="false">keep_cap*(1-EXP(-TblImps[[#This Row],[Σ Keep]]/(keep_param*(OFFSET(TblImps[[#This Row],[Land]],1,0)-OFFSET(TblExplore[[#This Row],[Land Bonus]],1,0)*20)+15000)))*(1+(mason_bonus*TblConstr[[#This Row],[Tot Mas]]/TblConstr[[#This Row],[Land (2)]]))</f>
        <v>0</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0</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0</v>
      </c>
      <c r="AG133" s="33" t="n">
        <f aca="false">(1+Overview!$I$28)*SUM(TblImps[[#This Row],[P3]:[G3]])+OFFSET(TblImps[[#This Row],[Σ Keep]],-1,0)</f>
        <v>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6" t="n">
        <f aca="false">OFFSET(TblImps[[#This Row],[Real time]],-1,0)+1/24</f>
        <v>45435.125</v>
      </c>
      <c r="BZ133" s="347" t="n">
        <f aca="false">OFFSET(TblImps[[#This Row],[Servertime]],-1,0)+1/24</f>
        <v>45435.375</v>
      </c>
      <c r="CA133" s="26"/>
      <c r="CB133" s="345"/>
      <c r="CC133" s="345"/>
    </row>
    <row r="134" customFormat="false" ht="12.75" hidden="false" customHeight="false" outlineLevel="0" collapsed="false">
      <c r="A134" s="181" t="n">
        <f aca="false">TblConstr[[#This Row],[Land]]</f>
        <v>700</v>
      </c>
      <c r="B134" s="132"/>
      <c r="C134" s="69" t="n">
        <f aca="false">TblProd[[#This Row],[Platinum]]</f>
        <v>2151028</v>
      </c>
      <c r="D134" s="69" t="n">
        <f aca="false">TblProd[[#This Row],[Lumber]]</f>
        <v>57810</v>
      </c>
      <c r="E134" s="69" t="n">
        <f aca="false">TblProd[[#This Row],[Ore]]</f>
        <v>-357</v>
      </c>
      <c r="F134" s="69" t="n">
        <f aca="false">TblProd[[#This Row],[Gems]]</f>
        <v>-1000</v>
      </c>
      <c r="G134" s="146"/>
      <c r="H134" s="69" t="n">
        <f aca="false">TblMili[[#This Row],[Draftees]]</f>
        <v>4082</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700</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0</v>
      </c>
      <c r="Z134" s="340" t="n">
        <f aca="false">keep_cap*(1-EXP(-TblImps[[#This Row],[Σ Keep]]/(keep_param*(OFFSET(TblImps[[#This Row],[Land]],1,0)-OFFSET(TblExplore[[#This Row],[Land Bonus]],1,0)*20)+15000)))*(1+(mason_bonus*TblConstr[[#This Row],[Tot Mas]]/TblConstr[[#This Row],[Land (2)]]))</f>
        <v>0</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0</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0</v>
      </c>
      <c r="AG134" s="33" t="n">
        <f aca="false">(1+Overview!$I$28)*SUM(TblImps[[#This Row],[P3]:[G3]])+OFFSET(TblImps[[#This Row],[Σ Keep]],-1,0)</f>
        <v>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6" t="n">
        <f aca="false">OFFSET(TblImps[[#This Row],[Real time]],-1,0)+1/24</f>
        <v>45435.1666666667</v>
      </c>
      <c r="BZ134" s="347" t="n">
        <f aca="false">OFFSET(TblImps[[#This Row],[Servertime]],-1,0)+1/24</f>
        <v>45435.4166666667</v>
      </c>
      <c r="CA134" s="26"/>
      <c r="CB134" s="345"/>
      <c r="CC134" s="345"/>
    </row>
    <row r="135" customFormat="false" ht="12.75" hidden="false" customHeight="false" outlineLevel="0" collapsed="false">
      <c r="A135" s="181" t="n">
        <f aca="false">TblConstr[[#This Row],[Land]]</f>
        <v>700</v>
      </c>
      <c r="B135" s="132"/>
      <c r="C135" s="69" t="n">
        <f aca="false">TblProd[[#This Row],[Platinum]]</f>
        <v>2178612</v>
      </c>
      <c r="D135" s="69" t="n">
        <f aca="false">TblProd[[#This Row],[Lumber]]</f>
        <v>58357</v>
      </c>
      <c r="E135" s="69" t="n">
        <f aca="false">TblProd[[#This Row],[Ore]]</f>
        <v>-357</v>
      </c>
      <c r="F135" s="69" t="n">
        <f aca="false">TblProd[[#This Row],[Gems]]</f>
        <v>-1000</v>
      </c>
      <c r="G135" s="146"/>
      <c r="H135" s="69" t="n">
        <f aca="false">TblMili[[#This Row],[Draftees]]</f>
        <v>4138</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700</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0</v>
      </c>
      <c r="Z135" s="340" t="n">
        <f aca="false">keep_cap*(1-EXP(-TblImps[[#This Row],[Σ Keep]]/(keep_param*(OFFSET(TblImps[[#This Row],[Land]],1,0)-OFFSET(TblExplore[[#This Row],[Land Bonus]],1,0)*20)+15000)))*(1+(mason_bonus*TblConstr[[#This Row],[Tot Mas]]/TblConstr[[#This Row],[Land (2)]]))</f>
        <v>0</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0</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0</v>
      </c>
      <c r="AG135" s="33" t="n">
        <f aca="false">(1+Overview!$I$28)*SUM(TblImps[[#This Row],[P3]:[G3]])+OFFSET(TblImps[[#This Row],[Σ Keep]],-1,0)</f>
        <v>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6" t="n">
        <f aca="false">OFFSET(TblImps[[#This Row],[Real time]],-1,0)+1/24</f>
        <v>45435.2083333333</v>
      </c>
      <c r="BZ135" s="347" t="n">
        <f aca="false">OFFSET(TblImps[[#This Row],[Servertime]],-1,0)+1/24</f>
        <v>45435.4583333333</v>
      </c>
      <c r="CA135" s="26"/>
      <c r="CB135" s="345"/>
      <c r="CC135" s="345"/>
    </row>
    <row r="136" customFormat="false" ht="12.75" hidden="false" customHeight="false" outlineLevel="0" collapsed="false">
      <c r="A136" s="181" t="n">
        <f aca="false">TblConstr[[#This Row],[Land]]</f>
        <v>700</v>
      </c>
      <c r="B136" s="132"/>
      <c r="C136" s="69" t="n">
        <f aca="false">TblProd[[#This Row],[Platinum]]</f>
        <v>2206044</v>
      </c>
      <c r="D136" s="69" t="n">
        <f aca="false">TblProd[[#This Row],[Lumber]]</f>
        <v>58898</v>
      </c>
      <c r="E136" s="69" t="n">
        <f aca="false">TblProd[[#This Row],[Ore]]</f>
        <v>-357</v>
      </c>
      <c r="F136" s="69" t="n">
        <f aca="false">TblProd[[#This Row],[Gems]]</f>
        <v>-1000</v>
      </c>
      <c r="G136" s="146"/>
      <c r="H136" s="69" t="n">
        <f aca="false">TblMili[[#This Row],[Draftees]]</f>
        <v>4194</v>
      </c>
      <c r="I136" s="130" t="n">
        <f aca="false">TblPop[[#This Row],[Employment]]</f>
        <v>0</v>
      </c>
      <c r="J136" s="130" t="n">
        <f aca="false">TblPop[[#This Row],[Total]]/TblPop[[#This Row],[Net max]]</f>
        <v>1</v>
      </c>
      <c r="K136" s="336" t="n">
        <f aca="false">TblRezone[[#This Row],[Hour]]</f>
        <v>133</v>
      </c>
      <c r="L136" s="337" t="n">
        <f aca="false">TblImps[[#This Row],[Real time]]</f>
        <v>45435.25</v>
      </c>
      <c r="M136" s="33" t="n">
        <f aca="false">IF(ISERROR(TblImps[[#This Row],[algorithm]]),0,TblImps[[#This Row],[algorithm]]*1)</f>
        <v>0</v>
      </c>
      <c r="N136" s="69" t="n">
        <f aca="false">TblImps[[#This Row],[Land]]</f>
        <v>700</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v>
      </c>
      <c r="Z136" s="340" t="n">
        <f aca="false">keep_cap*(1-EXP(-TblImps[[#This Row],[Σ Keep]]/(keep_param*(OFFSET(TblImps[[#This Row],[Land]],1,0)-OFFSET(TblExplore[[#This Row],[Land Bonus]],1,0)*20)+15000)))*(1+(mason_bonus*TblConstr[[#This Row],[Tot Mas]]/TblConstr[[#This Row],[Land (2)]]))</f>
        <v>0</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0</v>
      </c>
      <c r="AG136" s="33" t="n">
        <f aca="false">(1+Overview!$I$28)*SUM(TblImps[[#This Row],[P3]:[G3]])+OFFSET(TblImps[[#This Row],[Σ Keep]],-1,0)</f>
        <v>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6" t="n">
        <f aca="false">OFFSET(TblImps[[#This Row],[Real time]],-1,0)+1/24</f>
        <v>45435.25</v>
      </c>
      <c r="BZ136" s="347" t="n">
        <f aca="false">OFFSET(TblImps[[#This Row],[Servertime]],-1,0)+1/24</f>
        <v>45435.5</v>
      </c>
      <c r="CA136" s="26"/>
      <c r="CB136" s="345"/>
      <c r="CC136" s="345"/>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4">
      <formula>ROW()-3=$B$1270</formula>
    </cfRule>
    <cfRule type="expression" priority="3" aboveAverage="0" equalAverage="0" bottom="0" percent="0" rank="0" text="" dxfId="105">
      <formula>OR(ROW()-3=$B$1270,A4&lt;0)</formula>
    </cfRule>
    <cfRule type="expression" priority="4" aboveAverage="0" equalAverage="0" bottom="0" percent="0" rank="0" text="" dxfId="106">
      <formula>$K4=73</formula>
    </cfRule>
    <cfRule type="expression" priority="5" aboveAverage="0" equalAverage="0" bottom="0" percent="0" rank="0" text="" dxfId="107">
      <formula>ROUND(($K4-1)/12,0)=INT($K4-1)/12</formula>
    </cfRule>
  </conditionalFormatting>
  <conditionalFormatting sqref="A1:XFD3">
    <cfRule type="expression" priority="6" aboveAverage="0" equalAverage="0" bottom="0" percent="0" rank="0" text="" dxfId="108">
      <formula>$B$1270&lt;0</formula>
    </cfRule>
  </conditionalFormatting>
  <conditionalFormatting sqref="IV29207:IV65010 CD1271:IV60115 A1271:CC60158 A137:XFD1268">
    <cfRule type="expression" priority="7" aboveAverage="0" equalAverage="0" bottom="0" percent="0" rank="0" text="" dxfId="109">
      <formula>ROW(-2=#ref!)</formula>
    </cfRule>
  </conditionalFormatting>
  <conditionalFormatting sqref="A1269:CC1269">
    <cfRule type="expression" priority="8" aboveAverage="0" equalAverage="0" bottom="0" percent="0" rank="0" text="" dxfId="110">
      <formula>$B$1270&gt;84</formula>
    </cfRule>
  </conditionalFormatting>
  <conditionalFormatting sqref="A1269:XFD1270">
    <cfRule type="expression" priority="9" aboveAverage="0" equalAverage="0" bottom="0" percent="0" rank="0" text="" dxfId="111">
      <formula>$B$1270&gt;144</formula>
    </cfRule>
  </conditionalFormatting>
  <conditionalFormatting sqref="BV4:BV136">
    <cfRule type="expression" priority="10" aboveAverage="0" equalAverage="0" bottom="0" percent="0" rank="0" text="" dxfId="112">
      <formula>AND(ROW()-3=$B$1270,ISERROR(BV4))</formula>
    </cfRule>
    <cfRule type="expression" priority="11" aboveAverage="0" equalAverage="0" bottom="0" percent="0" rank="0" text="" dxfId="113">
      <formula>ISERROR(BV4)</formula>
    </cfRule>
  </conditionalFormatting>
  <conditionalFormatting sqref="BV76">
    <cfRule type="expression" priority="12" aboveAverage="0" equalAverage="0" bottom="0" percent="0" rank="0" text="" dxfId="114">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B25CA1D1-6635-4C9D-9CAA-C169C4FE756B}">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358" width="10.85"/>
    <col collapsed="false" customWidth="true" hidden="false" outlineLevel="0" max="18" min="18" style="358" width="10.14"/>
  </cols>
  <sheetData>
    <row r="16" customFormat="false" ht="12.75" hidden="false" customHeight="false" outlineLevel="0" collapsed="false">
      <c r="O16" s="31" t="s">
        <v>794</v>
      </c>
      <c r="P16" s="359"/>
    </row>
    <row r="27" customFormat="false" ht="12.75" hidden="false" customHeight="true" outlineLevel="0" collapsed="false"/>
    <row r="28" customFormat="false" ht="12.75" hidden="false" customHeight="false" outlineLevel="0" collapsed="false">
      <c r="H28" s="124" t="s">
        <v>794</v>
      </c>
      <c r="I28" s="359"/>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true" autoFill="0" autoPict="0" macro="Sheet13.loghr">
                <anchor moveWithCells="true" sizeWithCells="false">
                  <from>
                    <xdr:col>13</xdr:col>
                    <xdr:colOff>71280</xdr:colOff>
                    <xdr:row>2</xdr:row>
                    <xdr:rowOff>0</xdr:rowOff>
                  </from>
                  <to>
                    <xdr:col>16</xdr:col>
                    <xdr:colOff>18720</xdr:colOff>
                    <xdr:row>3</xdr:row>
                    <xdr:rowOff>42840</xdr:rowOff>
                  </to>
                </anchor>
              </controlPr>
            </control>
          </mc:Choice>
        </mc:AlternateContent>
        <mc:AlternateContent xmlns:mc="http://schemas.openxmlformats.org/markup-compatibility/2006">
          <mc:Choice Requires="x14">
            <control shapeId="1002" r:id="rId5" name="Button 3">
              <controlPr defaultSize="0" print="true" autoFill="0" autoPict="0" macro="Sheet13.TextboxCopy">
                <anchor moveWithCells="true" sizeWithCells="false">
                  <from>
                    <xdr:col>13</xdr:col>
                    <xdr:colOff>71280</xdr:colOff>
                    <xdr:row>5</xdr:row>
                    <xdr:rowOff>0</xdr:rowOff>
                  </from>
                  <to>
                    <xdr:col>16</xdr:col>
                    <xdr:colOff>18720</xdr:colOff>
                    <xdr:row>6</xdr:row>
                    <xdr:rowOff>42840</xdr:rowOff>
                  </to>
                </anchor>
              </controlPr>
            </control>
          </mc:Choice>
        </mc:AlternateContent>
        <mc:AlternateContent xmlns:mc="http://schemas.openxmlformats.org/markup-compatibility/2006">
          <mc:Choice Requires="x14">
            <control shapeId="1003" r:id="rId6" name="Button 4">
              <controlPr defaultSize="0" print="true" autoFill="0" autoPict="0" macro="Sheet13.clear">
                <anchor moveWithCells="true" sizeWithCells="false">
                  <from>
                    <xdr:col>13</xdr:col>
                    <xdr:colOff>71280</xdr:colOff>
                    <xdr:row>8</xdr:row>
                    <xdr:rowOff>9360</xdr:rowOff>
                  </from>
                  <to>
                    <xdr:col>16</xdr:col>
                    <xdr:colOff>18720</xdr:colOff>
                    <xdr:row>10</xdr:row>
                    <xdr:rowOff>9360</xdr:rowOff>
                  </to>
                </anchor>
              </controlPr>
            </control>
          </mc:Choice>
        </mc:AlternateContent>
        <mc:AlternateContent xmlns:mc="http://schemas.openxmlformats.org/markup-compatibility/2006">
          <mc:Choice Requires="x14">
            <control shapeId="1004" r:id="rId7" name="Button 5">
              <controlPr defaultSize="0" print="true" autoFill="0" autoPict="0" macro="Sheet13.currenthour">
                <anchor moveWithCells="true" sizeWithCells="false">
                  <from>
                    <xdr:col>13</xdr:col>
                    <xdr:colOff>66600</xdr:colOff>
                    <xdr:row>11</xdr:row>
                    <xdr:rowOff>14400</xdr:rowOff>
                  </from>
                  <to>
                    <xdr:col>16</xdr:col>
                    <xdr:colOff>14040</xdr:colOff>
                    <xdr:row>13</xdr:row>
                    <xdr:rowOff>9720</xdr:rowOff>
                  </to>
                </anchor>
              </controlPr>
            </control>
          </mc:Choice>
        </mc:AlternateContent>
        <mc:AlternateContent xmlns:mc="http://schemas.openxmlformats.org/markup-compatibility/2006">
          <mc:Choice Requires="x14">
            <control shapeId="1005" r:id="rId8" name="Button 25">
              <controlPr defaultSize="0" print="true" autoFill="0" autoPict="0" macro="Sheet13.stats">
                <anchor moveWithCells="true" sizeWithCells="false">
                  <from>
                    <xdr:col>6</xdr:col>
                    <xdr:colOff>95400</xdr:colOff>
                    <xdr:row>29</xdr:row>
                    <xdr:rowOff>4680</xdr:rowOff>
                  </from>
                  <to>
                    <xdr:col>9</xdr:col>
                    <xdr:colOff>14400</xdr:colOff>
                    <xdr:row>31</xdr:row>
                    <xdr:rowOff>4680</xdr:rowOff>
                  </to>
                </anchor>
              </controlPr>
            </control>
          </mc:Choice>
        </mc:AlternateContent>
        <mc:AlternateContent xmlns:mc="http://schemas.openxmlformats.org/markup-compatibility/2006">
          <mc:Choice Requires="x14">
            <control shapeId="1006" r:id="rId9" name="Button 26">
              <controlPr defaultSize="0" print="true" autoFill="0" autoPict="0" macro="Sheet13.StatCopy">
                <anchor moveWithCells="true" sizeWithCells="false">
                  <from>
                    <xdr:col>6</xdr:col>
                    <xdr:colOff>95400</xdr:colOff>
                    <xdr:row>32</xdr:row>
                    <xdr:rowOff>9360</xdr:rowOff>
                  </from>
                  <to>
                    <xdr:col>9</xdr:col>
                    <xdr:colOff>14400</xdr:colOff>
                    <xdr:row>34</xdr:row>
                    <xdr:rowOff>9360</xdr:rowOff>
                  </to>
                </anchor>
              </controlPr>
            </control>
          </mc:Choice>
        </mc:AlternateContent>
        <mc:AlternateContent xmlns:mc="http://schemas.openxmlformats.org/markup-compatibility/2006">
          <mc:Choice Requires="x14">
            <control shapeId="1007" r:id="rId10" name="Button 27">
              <controlPr defaultSize="0" print="true" autoFill="0" autoPict="0" macro="Sheet13.clearstat">
                <anchor moveWithCells="true" sizeWithCells="false">
                  <from>
                    <xdr:col>6</xdr:col>
                    <xdr:colOff>95400</xdr:colOff>
                    <xdr:row>35</xdr:row>
                    <xdr:rowOff>19080</xdr:rowOff>
                  </from>
                  <to>
                    <xdr:col>9</xdr:col>
                    <xdr:colOff>14400</xdr:colOff>
                    <xdr:row>37</xdr:row>
                    <xdr:rowOff>19080</xdr:rowOff>
                  </to>
                </anchor>
              </controlPr>
            </control>
          </mc:Choice>
        </mc:AlternateContent>
        <mc:AlternateContent xmlns:mc="http://schemas.openxmlformats.org/markup-compatibility/2006">
          <mc:Choice Requires="x14">
            <control shapeId="1008" r:id="rId11" name="Button 35">
              <controlPr defaultSize="0" print="true" autoFill="0" autoPict="0" macro="Module1.AdvanceTick">
                <anchor moveWithCells="true" sizeWithCells="false">
                  <from>
                    <xdr:col>13</xdr:col>
                    <xdr:colOff>61920</xdr:colOff>
                    <xdr:row>16</xdr:row>
                    <xdr:rowOff>19080</xdr:rowOff>
                  </from>
                  <to>
                    <xdr:col>16</xdr:col>
                    <xdr:colOff>9360</xdr:colOff>
                    <xdr:row>18</xdr:row>
                    <xdr:rowOff>14400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0" width="3.29"/>
    <col collapsed="false" customWidth="true" hidden="false" outlineLevel="0" max="2" min="2" style="360" width="25.29"/>
    <col collapsed="false" customWidth="true" hidden="false" outlineLevel="0" max="3" min="3" style="360" width="8.57"/>
    <col collapsed="false" customWidth="true" hidden="false" outlineLevel="0" max="5" min="4" style="360" width="11.14"/>
    <col collapsed="false" customWidth="true" hidden="false" outlineLevel="0" max="6" min="6" style="360" width="5.29"/>
    <col collapsed="false" customWidth="false" hidden="false" outlineLevel="0" max="16384" min="7" style="360" width="9.14"/>
  </cols>
  <sheetData>
    <row r="2" s="361" customFormat="true" ht="27" hidden="false" customHeight="true" outlineLevel="0" collapsed="false">
      <c r="B2" s="361" t="s">
        <v>7</v>
      </c>
      <c r="C2" s="361" t="s">
        <v>795</v>
      </c>
      <c r="D2" s="361" t="s">
        <v>520</v>
      </c>
      <c r="E2" s="361" t="s">
        <v>796</v>
      </c>
    </row>
    <row r="3" customFormat="false" ht="15" hidden="false" customHeight="false" outlineLevel="0" collapsed="false">
      <c r="B3" s="360" t="s">
        <v>797</v>
      </c>
      <c r="C3" s="362" t="s">
        <v>244</v>
      </c>
      <c r="D3" s="360" t="n">
        <f aca="false">_xlfn.IFNA(INDEX(TblConstr[],MATCH(Log!$I$28,TblConstr[Hour],0),MATCH(TblStats[[#This Row],[Abbr]],TblConstr[#headers],0)),0)</f>
        <v>0</v>
      </c>
      <c r="E3" s="363" t="e">
        <f aca="false">TblStats[[#This Row],[Number]]/INDEX(TblConstr[[Hour]:[Land]],MATCH(Log!$I$28,TblConstr[Hour],0),6)</f>
        <v>#N/A</v>
      </c>
    </row>
    <row r="4" customFormat="false" ht="15" hidden="false" customHeight="false" outlineLevel="0" collapsed="false">
      <c r="B4" s="360" t="s">
        <v>798</v>
      </c>
      <c r="C4" s="362" t="s">
        <v>245</v>
      </c>
      <c r="D4" s="360" t="n">
        <f aca="false">_xlfn.IFNA(INDEX(TblConstr[],MATCH(Log!$I$28,TblConstr[Hour],0),MATCH(TblStats[[#This Row],[Abbr]],TblConstr[#headers],0)),0)</f>
        <v>0</v>
      </c>
      <c r="E4" s="363" t="e">
        <f aca="false">TblStats[[#This Row],[Number]]/INDEX(TblConstr[[Hour]:[Land]],MATCH(Log!$I$28,TblConstr[Hour],0),6)</f>
        <v>#N/A</v>
      </c>
    </row>
    <row r="5" customFormat="false" ht="15" hidden="false" customHeight="false" outlineLevel="0" collapsed="false">
      <c r="B5" s="360" t="s">
        <v>799</v>
      </c>
      <c r="C5" s="362" t="s">
        <v>246</v>
      </c>
      <c r="D5" s="360" t="n">
        <f aca="false">_xlfn.IFNA(INDEX(TblConstr[],MATCH(Log!$I$28,TblConstr[Hour],0),MATCH(TblStats[[#This Row],[Abbr]],TblConstr[#headers],0)),0)</f>
        <v>0</v>
      </c>
      <c r="E5" s="363" t="e">
        <f aca="false">TblStats[[#This Row],[Number]]/INDEX(TblConstr[[Hour]:[Land]],MATCH(Log!$I$28,TblConstr[Hour],0),6)</f>
        <v>#N/A</v>
      </c>
    </row>
    <row r="6" customFormat="false" ht="15" hidden="false" customHeight="false" outlineLevel="0" collapsed="false">
      <c r="B6" s="360" t="s">
        <v>800</v>
      </c>
      <c r="C6" s="362" t="s">
        <v>247</v>
      </c>
      <c r="D6" s="360" t="n">
        <f aca="false">_xlfn.IFNA(INDEX(TblConstr[],MATCH(Log!$I$28,TblConstr[Hour],0),MATCH(TblStats[[#This Row],[Abbr]],TblConstr[#headers],0)),0)</f>
        <v>0</v>
      </c>
      <c r="E6" s="363" t="e">
        <f aca="false">TblStats[[#This Row],[Number]]/INDEX(TblConstr[[Hour]:[Land]],MATCH(Log!$I$28,TblConstr[Hour],0),6)</f>
        <v>#N/A</v>
      </c>
    </row>
    <row r="7" customFormat="false" ht="15" hidden="false" customHeight="false" outlineLevel="0" collapsed="false">
      <c r="B7" s="360" t="s">
        <v>801</v>
      </c>
      <c r="C7" s="362" t="s">
        <v>248</v>
      </c>
      <c r="D7" s="360" t="n">
        <f aca="false">_xlfn.IFNA(INDEX(TblConstr[],MATCH(Log!$I$28,TblConstr[Hour],0),MATCH(TblStats[[#This Row],[Abbr]],TblConstr[#headers],0)),0)</f>
        <v>0</v>
      </c>
      <c r="E7" s="363" t="e">
        <f aca="false">TblStats[[#This Row],[Number]]/INDEX(TblConstr[[Hour]:[Land]],MATCH(Log!$I$28,TblConstr[Hour],0),6)</f>
        <v>#N/A</v>
      </c>
    </row>
    <row r="8" customFormat="false" ht="15" hidden="false" customHeight="false" outlineLevel="0" collapsed="false">
      <c r="B8" s="360" t="s">
        <v>802</v>
      </c>
      <c r="C8" s="362" t="s">
        <v>249</v>
      </c>
      <c r="D8" s="360" t="n">
        <f aca="false">_xlfn.IFNA(INDEX(TblConstr[],MATCH(Log!$I$28,TblConstr[Hour],0),MATCH(TblStats[[#This Row],[Abbr]],TblConstr[#headers],0)),0)</f>
        <v>0</v>
      </c>
      <c r="E8" s="363" t="e">
        <f aca="false">TblStats[[#This Row],[Number]]/INDEX(TblConstr[[Hour]:[Land]],MATCH(Log!$I$28,TblConstr[Hour],0),6)</f>
        <v>#N/A</v>
      </c>
    </row>
    <row r="9" customFormat="false" ht="15" hidden="false" customHeight="false" outlineLevel="0" collapsed="false">
      <c r="B9" s="360" t="s">
        <v>803</v>
      </c>
      <c r="C9" s="362" t="s">
        <v>250</v>
      </c>
      <c r="D9" s="360" t="n">
        <f aca="false">_xlfn.IFNA(INDEX(TblConstr[],MATCH(Log!$I$28,TblConstr[Hour],0),MATCH(TblStats[[#This Row],[Abbr]],TblConstr[#headers],0)),0)</f>
        <v>0</v>
      </c>
      <c r="E9" s="363" t="e">
        <f aca="false">TblStats[[#This Row],[Number]]/INDEX(TblConstr[[Hour]:[Land]],MATCH(Log!$I$28,TblConstr[Hour],0),6)</f>
        <v>#N/A</v>
      </c>
    </row>
    <row r="10" customFormat="false" ht="15" hidden="false" customHeight="false" outlineLevel="0" collapsed="false">
      <c r="B10" s="360" t="s">
        <v>804</v>
      </c>
      <c r="C10" s="362" t="s">
        <v>251</v>
      </c>
      <c r="D10" s="360" t="n">
        <f aca="false">_xlfn.IFNA(INDEX(TblConstr[],MATCH(Log!$I$28,TblConstr[Hour],0),MATCH(TblStats[[#This Row],[Abbr]],TblConstr[#headers],0)),0)</f>
        <v>0</v>
      </c>
      <c r="E10" s="363" t="e">
        <f aca="false">TblStats[[#This Row],[Number]]/INDEX(TblConstr[[Hour]:[Land]],MATCH(Log!$I$28,TblConstr[Hour],0),6)</f>
        <v>#N/A</v>
      </c>
    </row>
    <row r="11" customFormat="false" ht="15" hidden="false" customHeight="false" outlineLevel="0" collapsed="false">
      <c r="B11" s="360" t="s">
        <v>805</v>
      </c>
      <c r="C11" s="362" t="s">
        <v>252</v>
      </c>
      <c r="D11" s="360" t="n">
        <f aca="false">_xlfn.IFNA(INDEX(TblConstr[],MATCH(Log!$I$28,TblConstr[Hour],0),MATCH(TblStats[[#This Row],[Abbr]],TblConstr[#headers],0)),0)</f>
        <v>0</v>
      </c>
      <c r="E11" s="363" t="e">
        <f aca="false">TblStats[[#This Row],[Number]]/INDEX(TblConstr[[Hour]:[Land]],MATCH(Log!$I$28,TblConstr[Hour],0),6)</f>
        <v>#N/A</v>
      </c>
    </row>
    <row r="12" customFormat="false" ht="15" hidden="false" customHeight="false" outlineLevel="0" collapsed="false">
      <c r="B12" s="360" t="s">
        <v>806</v>
      </c>
      <c r="C12" s="362" t="s">
        <v>253</v>
      </c>
      <c r="D12" s="360" t="n">
        <f aca="false">_xlfn.IFNA(INDEX(TblConstr[],MATCH(Log!$I$28,TblConstr[Hour],0),MATCH(TblStats[[#This Row],[Abbr]],TblConstr[#headers],0)),0)</f>
        <v>0</v>
      </c>
      <c r="E12" s="363" t="e">
        <f aca="false">TblStats[[#This Row],[Number]]/INDEX(TblConstr[[Hour]:[Land]],MATCH(Log!$I$28,TblConstr[Hour],0),6)</f>
        <v>#N/A</v>
      </c>
    </row>
    <row r="13" customFormat="false" ht="15" hidden="false" customHeight="false" outlineLevel="0" collapsed="false">
      <c r="B13" s="360" t="s">
        <v>807</v>
      </c>
      <c r="C13" s="362" t="s">
        <v>254</v>
      </c>
      <c r="D13" s="360" t="n">
        <f aca="false">_xlfn.IFNA(INDEX(TblConstr[],MATCH(Log!$I$28,TblConstr[Hour],0),MATCH(TblStats[[#This Row],[Abbr]],TblConstr[#headers],0)),0)</f>
        <v>0</v>
      </c>
      <c r="E13" s="363" t="e">
        <f aca="false">TblStats[[#This Row],[Number]]/INDEX(TblConstr[[Hour]:[Land]],MATCH(Log!$I$28,TblConstr[Hour],0),6)</f>
        <v>#N/A</v>
      </c>
    </row>
    <row r="14" customFormat="false" ht="15" hidden="false" customHeight="false" outlineLevel="0" collapsed="false">
      <c r="B14" s="360" t="s">
        <v>808</v>
      </c>
      <c r="C14" s="362" t="s">
        <v>255</v>
      </c>
      <c r="D14" s="360" t="n">
        <f aca="false">_xlfn.IFNA(INDEX(TblConstr[],MATCH(Log!$I$28,TblConstr[Hour],0),MATCH(TblStats[[#This Row],[Abbr]],TblConstr[#headers],0)),0)</f>
        <v>0</v>
      </c>
      <c r="E14" s="363" t="e">
        <f aca="false">TblStats[[#This Row],[Number]]/INDEX(TblConstr[[Hour]:[Land]],MATCH(Log!$I$28,TblConstr[Hour],0),6)</f>
        <v>#N/A</v>
      </c>
    </row>
    <row r="15" customFormat="false" ht="15" hidden="false" customHeight="false" outlineLevel="0" collapsed="false">
      <c r="B15" s="360" t="s">
        <v>809</v>
      </c>
      <c r="C15" s="362" t="s">
        <v>256</v>
      </c>
      <c r="D15" s="360" t="n">
        <f aca="false">_xlfn.IFNA(INDEX(TblConstr[],MATCH(Log!$I$28,TblConstr[Hour],0),MATCH(TblStats[[#This Row],[Abbr]],TblConstr[#headers],0)),0)</f>
        <v>0</v>
      </c>
      <c r="E15" s="363" t="e">
        <f aca="false">TblStats[[#This Row],[Number]]/INDEX(TblConstr[[Hour]:[Land]],MATCH(Log!$I$28,TblConstr[Hour],0),6)</f>
        <v>#N/A</v>
      </c>
    </row>
    <row r="16" customFormat="false" ht="15" hidden="false" customHeight="false" outlineLevel="0" collapsed="false">
      <c r="B16" s="360" t="s">
        <v>810</v>
      </c>
      <c r="C16" s="362" t="s">
        <v>257</v>
      </c>
      <c r="D16" s="360" t="n">
        <f aca="false">_xlfn.IFNA(INDEX(TblConstr[],MATCH(Log!$I$28,TblConstr[Hour],0),MATCH(TblStats[[#This Row],[Abbr]],TblConstr[#headers],0)),0)</f>
        <v>0</v>
      </c>
      <c r="E16" s="363" t="e">
        <f aca="false">TblStats[[#This Row],[Number]]/INDEX(TblConstr[[Hour]:[Land]],MATCH(Log!$I$28,TblConstr[Hour],0),6)</f>
        <v>#N/A</v>
      </c>
    </row>
    <row r="17" customFormat="false" ht="15" hidden="false" customHeight="false" outlineLevel="0" collapsed="false">
      <c r="B17" s="360" t="s">
        <v>811</v>
      </c>
      <c r="C17" s="362" t="s">
        <v>258</v>
      </c>
      <c r="D17" s="360" t="n">
        <f aca="false">_xlfn.IFNA(INDEX(TblConstr[],MATCH(Log!$I$28,TblConstr[Hour],0),MATCH(TblStats[[#This Row],[Abbr]],TblConstr[#headers],0)),0)</f>
        <v>0</v>
      </c>
      <c r="E17" s="363" t="e">
        <f aca="false">TblStats[[#This Row],[Number]]/INDEX(TblConstr[[Hour]:[Land]],MATCH(Log!$I$28,TblConstr[Hour],0),6)</f>
        <v>#N/A</v>
      </c>
    </row>
    <row r="18" customFormat="false" ht="15" hidden="false" customHeight="false" outlineLevel="0" collapsed="false">
      <c r="B18" s="360" t="s">
        <v>812</v>
      </c>
      <c r="C18" s="362" t="s">
        <v>259</v>
      </c>
      <c r="D18" s="360" t="n">
        <f aca="false">_xlfn.IFNA(INDEX(TblConstr[],MATCH(Log!$I$28,TblConstr[Hour],0),MATCH(TblStats[[#This Row],[Abbr]],TblConstr[#headers],0)),0)</f>
        <v>0</v>
      </c>
      <c r="E18" s="363" t="e">
        <f aca="false">TblStats[[#This Row],[Number]]/INDEX(TblConstr[[Hour]:[Land]],MATCH(Log!$I$28,TblConstr[Hour],0),6)</f>
        <v>#N/A</v>
      </c>
    </row>
    <row r="19" customFormat="false" ht="15" hidden="false" customHeight="false" outlineLevel="0" collapsed="false">
      <c r="B19" s="360" t="s">
        <v>813</v>
      </c>
      <c r="C19" s="362" t="s">
        <v>260</v>
      </c>
      <c r="D19" s="360" t="n">
        <f aca="false">_xlfn.IFNA(INDEX(TblConstr[],MATCH(Log!$I$28,TblConstr[Hour],0),MATCH(TblStats[[#This Row],[Abbr]],TblConstr[#headers],0)),0)</f>
        <v>0</v>
      </c>
      <c r="E19" s="363" t="e">
        <f aca="false">TblStats[[#This Row],[Number]]/INDEX(TblConstr[[Hour]:[Land]],MATCH(Log!$I$28,TblConstr[Hour],0),6)</f>
        <v>#N/A</v>
      </c>
    </row>
    <row r="20" customFormat="false" ht="15" hidden="false" customHeight="false" outlineLevel="0" collapsed="false">
      <c r="B20" s="360" t="s">
        <v>814</v>
      </c>
      <c r="C20" s="362" t="s">
        <v>261</v>
      </c>
      <c r="D20" s="360" t="n">
        <f aca="false">_xlfn.IFNA(INDEX(TblConstr[],MATCH(Log!$I$28,TblConstr[Hour],0),MATCH(TblStats[[#This Row],[Abbr]],TblConstr[#headers],0)),0)</f>
        <v>0</v>
      </c>
      <c r="E20" s="363" t="e">
        <f aca="false">TblStats[[#This Row],[Number]]/INDEX(TblConstr[[Hour]:[Land]],MATCH(Log!$I$28,TblConstr[Hour],0),6)</f>
        <v>#N/A</v>
      </c>
    </row>
    <row r="21" customFormat="false" ht="15" hidden="false" customHeight="false" outlineLevel="0" collapsed="false">
      <c r="B21" s="360" t="s">
        <v>815</v>
      </c>
      <c r="C21" s="362" t="s">
        <v>262</v>
      </c>
      <c r="D21" s="360" t="n">
        <f aca="false">_xlfn.IFNA(INDEX(TblConstr[],MATCH(Log!$I$28,TblConstr[Hour],0),MATCH(TblStats[[#This Row],[Abbr]],TblConstr[#headers],0)),0)</f>
        <v>0</v>
      </c>
      <c r="E21" s="363" t="e">
        <f aca="false">TblStats[[#This Row],[Number]]/INDEX(TblConstr[[Hour]:[Land]],MATCH(Log!$I$28,TblConstr[Hour],0),6)</f>
        <v>#N/A</v>
      </c>
    </row>
    <row r="22" customFormat="false" ht="15" hidden="false" customHeight="false" outlineLevel="0" collapsed="false">
      <c r="B22" s="360" t="s">
        <v>816</v>
      </c>
      <c r="C22" s="360" t="s">
        <v>220</v>
      </c>
      <c r="D22" s="360" t="n">
        <f aca="false">_xlfn.IFNA(INDEX(TblConstr[],MATCH(Log!$I$28,TblConstr[Hour],0),MATCH(TblStats[[#This Row],[Abbr]],TblConstr[#headers],0)),0)</f>
        <v>0</v>
      </c>
      <c r="E22" s="363" t="e">
        <f aca="false">TblStats[[#This Row],[Number]]/INDEX(TblConstr[[Hour]:[Land]],MATCH(Log!$I$28,TblConstr[Hour],0),6)</f>
        <v>#N/A</v>
      </c>
    </row>
    <row r="23" customFormat="false" ht="15" hidden="false" customHeight="false" outlineLevel="0" collapsed="false">
      <c r="B23" s="360" t="s">
        <v>817</v>
      </c>
      <c r="C23" s="360" t="s">
        <v>235</v>
      </c>
      <c r="D23" s="360" t="n">
        <f aca="false">_xlfn.IFNA(INDEX(TblConstr[],MATCH(Log!$I$28,TblConstr[Hour],0),MATCH(TblStats[[#This Row],[Abbr]],TblConstr[#headers],0)),0)</f>
        <v>0</v>
      </c>
      <c r="E23" s="363" t="e">
        <f aca="false">TblStats[[#This Row],[Number]]/INDEX(TblConstr[[Hour]:[Land]],MATCH(Log!$I$28,TblConstr[Hour],0),6)</f>
        <v>#N/A</v>
      </c>
    </row>
    <row r="24" customFormat="false" ht="15" hidden="false" customHeight="false" outlineLevel="0" collapsed="false">
      <c r="E24" s="363"/>
    </row>
    <row r="25" customFormat="false" ht="15" hidden="false" customHeight="false" outlineLevel="0" collapsed="false">
      <c r="E25" s="363"/>
    </row>
    <row r="26" customFormat="false" ht="15" hidden="false" customHeight="false" outlineLevel="0" collapsed="false">
      <c r="E26" s="363"/>
    </row>
    <row r="27" customFormat="false" ht="15" hidden="false" customHeight="false" outlineLevel="0" collapsed="false">
      <c r="E27" s="363"/>
    </row>
    <row r="28" customFormat="false" ht="15" hidden="false" customHeight="false" outlineLevel="0" collapsed="false">
      <c r="E28" s="363"/>
      <c r="L28" s="360" t="s">
        <v>818</v>
      </c>
    </row>
    <row r="29" customFormat="false" ht="15" hidden="false" customHeight="false" outlineLevel="0" collapsed="false">
      <c r="E29" s="363"/>
    </row>
    <row r="30" customFormat="false" ht="15" hidden="false" customHeight="false" outlineLevel="0" collapsed="false">
      <c r="E30" s="363"/>
    </row>
    <row r="31" customFormat="false" ht="15" hidden="false" customHeight="false" outlineLevel="0" collapsed="false">
      <c r="E31" s="363"/>
    </row>
    <row r="32" customFormat="false" ht="15" hidden="false" customHeight="false" outlineLevel="0" collapsed="false">
      <c r="E32" s="363"/>
    </row>
    <row r="33" customFormat="false" ht="15" hidden="false" customHeight="false" outlineLevel="0" collapsed="false">
      <c r="E33" s="363"/>
    </row>
    <row r="34" customFormat="false" ht="15" hidden="false" customHeight="false" outlineLevel="0" collapsed="false">
      <c r="E34" s="363"/>
    </row>
    <row r="35" customFormat="false" ht="15" hidden="false" customHeight="false" outlineLevel="0" collapsed="false">
      <c r="E35" s="363"/>
    </row>
    <row r="36" customFormat="false" ht="15" hidden="false" customHeight="false" outlineLevel="0" collapsed="false">
      <c r="E36" s="363"/>
    </row>
    <row r="37" customFormat="false" ht="15" hidden="false" customHeight="false" outlineLevel="0" collapsed="false">
      <c r="E37" s="363"/>
    </row>
    <row r="38" customFormat="false" ht="15" hidden="false" customHeight="false" outlineLevel="0" collapsed="false">
      <c r="E38" s="363"/>
    </row>
    <row r="39" customFormat="false" ht="15" hidden="false" customHeight="false" outlineLevel="0" collapsed="false">
      <c r="E39" s="363"/>
    </row>
    <row r="40" customFormat="false" ht="15" hidden="false" customHeight="false" outlineLevel="0" collapsed="false">
      <c r="E40" s="363"/>
    </row>
    <row r="41" customFormat="false" ht="15" hidden="false" customHeight="false" outlineLevel="0" collapsed="false">
      <c r="E41" s="363"/>
    </row>
    <row r="42" customFormat="false" ht="15" hidden="false" customHeight="false" outlineLevel="0" collapsed="false">
      <c r="E42" s="363"/>
    </row>
    <row r="43" customFormat="false" ht="15" hidden="false" customHeight="false" outlineLevel="0" collapsed="false">
      <c r="E43" s="363"/>
    </row>
    <row r="44" customFormat="false" ht="15" hidden="false" customHeight="false" outlineLevel="0" collapsed="false">
      <c r="E44" s="363"/>
    </row>
    <row r="45" customFormat="false" ht="15" hidden="false" customHeight="false" outlineLevel="0" collapsed="false">
      <c r="E45" s="363"/>
    </row>
    <row r="46" customFormat="false" ht="15" hidden="false" customHeight="false" outlineLevel="0" collapsed="false">
      <c r="E46" s="363"/>
    </row>
    <row r="47" customFormat="false" ht="15" hidden="false" customHeight="false" outlineLevel="0" collapsed="false">
      <c r="E47" s="363"/>
    </row>
    <row r="48" customFormat="false" ht="15" hidden="false" customHeight="false" outlineLevel="0" collapsed="false">
      <c r="E48" s="363"/>
    </row>
    <row r="49" customFormat="false" ht="15" hidden="false" customHeight="false" outlineLevel="0" collapsed="false">
      <c r="E49" s="363"/>
    </row>
    <row r="50" customFormat="false" ht="15" hidden="false" customHeight="false" outlineLevel="0" collapsed="false">
      <c r="E50" s="363"/>
    </row>
    <row r="51" customFormat="false" ht="15" hidden="false" customHeight="false" outlineLevel="0" collapsed="false">
      <c r="E51" s="363"/>
    </row>
    <row r="52" customFormat="false" ht="15" hidden="false" customHeight="false" outlineLevel="0" collapsed="false">
      <c r="E52" s="363"/>
    </row>
    <row r="53" customFormat="false" ht="15" hidden="false" customHeight="false" outlineLevel="0" collapsed="false">
      <c r="E53" s="363"/>
    </row>
    <row r="54" customFormat="false" ht="15" hidden="false" customHeight="false" outlineLevel="0" collapsed="false">
      <c r="E54" s="363"/>
    </row>
    <row r="55" customFormat="false" ht="15" hidden="false" customHeight="false" outlineLevel="0" collapsed="false">
      <c r="E55" s="363"/>
    </row>
    <row r="56" customFormat="false" ht="15" hidden="false" customHeight="false" outlineLevel="0" collapsed="false">
      <c r="E56" s="363"/>
    </row>
    <row r="57" customFormat="false" ht="15" hidden="false" customHeight="false" outlineLevel="0" collapsed="false">
      <c r="E57" s="363"/>
    </row>
    <row r="58" customFormat="false" ht="15" hidden="false" customHeight="false" outlineLevel="0" collapsed="false">
      <c r="E58" s="363"/>
    </row>
    <row r="59" customFormat="false" ht="15" hidden="false" customHeight="false" outlineLevel="0" collapsed="false">
      <c r="E59" s="363"/>
    </row>
    <row r="60" customFormat="false" ht="15" hidden="false" customHeight="false" outlineLevel="0" collapsed="false">
      <c r="E60" s="363"/>
    </row>
    <row r="61" customFormat="false" ht="15" hidden="false" customHeight="false" outlineLevel="0" collapsed="false">
      <c r="E61" s="363"/>
    </row>
    <row r="62" customFormat="false" ht="15" hidden="false" customHeight="false" outlineLevel="0" collapsed="false">
      <c r="E62" s="363"/>
    </row>
    <row r="63" customFormat="false" ht="15" hidden="false" customHeight="false" outlineLevel="0" collapsed="false">
      <c r="E63" s="363"/>
    </row>
    <row r="64" customFormat="false" ht="15" hidden="false" customHeight="false" outlineLevel="0" collapsed="false">
      <c r="E64" s="363"/>
    </row>
    <row r="65" customFormat="false" ht="15" hidden="false" customHeight="false" outlineLevel="0" collapsed="false">
      <c r="E65" s="363"/>
    </row>
    <row r="66" customFormat="false" ht="15" hidden="false" customHeight="false" outlineLevel="0" collapsed="false">
      <c r="E66" s="363"/>
    </row>
    <row r="67" customFormat="false" ht="15" hidden="false" customHeight="false" outlineLevel="0" collapsed="false">
      <c r="E67" s="363"/>
    </row>
    <row r="68" customFormat="false" ht="15" hidden="false" customHeight="false" outlineLevel="0" collapsed="false">
      <c r="E68" s="363"/>
    </row>
    <row r="69" customFormat="false" ht="15" hidden="false" customHeight="false" outlineLevel="0" collapsed="false">
      <c r="E69" s="363"/>
    </row>
    <row r="70" customFormat="false" ht="15" hidden="false" customHeight="false" outlineLevel="0" collapsed="false">
      <c r="E70" s="363"/>
    </row>
    <row r="71" customFormat="false" ht="15" hidden="false" customHeight="false" outlineLevel="0" collapsed="false">
      <c r="E71" s="363"/>
    </row>
    <row r="72" customFormat="false" ht="15" hidden="false" customHeight="false" outlineLevel="0" collapsed="false">
      <c r="E72" s="363"/>
    </row>
    <row r="73" customFormat="false" ht="15" hidden="false" customHeight="false" outlineLevel="0" collapsed="false">
      <c r="E73" s="363"/>
    </row>
    <row r="74" customFormat="false" ht="15" hidden="false" customHeight="false" outlineLevel="0" collapsed="false">
      <c r="E74" s="363"/>
    </row>
    <row r="75" customFormat="false" ht="15" hidden="false" customHeight="false" outlineLevel="0" collapsed="false">
      <c r="E75" s="363"/>
    </row>
    <row r="76" customFormat="false" ht="15" hidden="false" customHeight="false" outlineLevel="0" collapsed="false">
      <c r="E76" s="363"/>
    </row>
    <row r="77" customFormat="false" ht="15" hidden="false" customHeight="false" outlineLevel="0" collapsed="false">
      <c r="E77" s="363"/>
    </row>
    <row r="78" customFormat="false" ht="15" hidden="false" customHeight="false" outlineLevel="0" collapsed="false">
      <c r="E78" s="363"/>
    </row>
    <row r="79" customFormat="false" ht="15" hidden="false" customHeight="false" outlineLevel="0" collapsed="false">
      <c r="E79" s="363"/>
    </row>
    <row r="80" customFormat="false" ht="15" hidden="false" customHeight="false" outlineLevel="0" collapsed="false">
      <c r="E80" s="363"/>
    </row>
    <row r="81" customFormat="false" ht="15" hidden="false" customHeight="false" outlineLevel="0" collapsed="false">
      <c r="E81" s="363"/>
    </row>
    <row r="82" customFormat="false" ht="15" hidden="false" customHeight="false" outlineLevel="0" collapsed="false">
      <c r="E82" s="363"/>
    </row>
    <row r="83" customFormat="false" ht="15" hidden="false" customHeight="false" outlineLevel="0" collapsed="false">
      <c r="E83" s="363"/>
    </row>
    <row r="84" customFormat="false" ht="15" hidden="false" customHeight="false" outlineLevel="0" collapsed="false">
      <c r="E84" s="363"/>
    </row>
    <row r="85" customFormat="false" ht="15" hidden="false" customHeight="false" outlineLevel="0" collapsed="false">
      <c r="E85" s="363"/>
    </row>
    <row r="86" customFormat="false" ht="15" hidden="false" customHeight="false" outlineLevel="0" collapsed="false">
      <c r="E86" s="363"/>
    </row>
    <row r="87" customFormat="false" ht="15" hidden="false" customHeight="false" outlineLevel="0" collapsed="false">
      <c r="E87" s="363"/>
    </row>
    <row r="88" customFormat="false" ht="15" hidden="false" customHeight="false" outlineLevel="0" collapsed="false">
      <c r="E88" s="363"/>
    </row>
    <row r="89" customFormat="false" ht="15" hidden="false" customHeight="false" outlineLevel="0" collapsed="false">
      <c r="E89" s="363"/>
    </row>
    <row r="90" customFormat="false" ht="15" hidden="false" customHeight="false" outlineLevel="0" collapsed="false">
      <c r="E90" s="363"/>
    </row>
    <row r="91" customFormat="false" ht="15" hidden="false" customHeight="false" outlineLevel="0" collapsed="false">
      <c r="E91" s="363"/>
    </row>
    <row r="92" customFormat="false" ht="15" hidden="false" customHeight="false" outlineLevel="0" collapsed="false">
      <c r="E92" s="363"/>
    </row>
    <row r="93" customFormat="false" ht="15" hidden="false" customHeight="false" outlineLevel="0" collapsed="false">
      <c r="E93" s="363"/>
    </row>
    <row r="94" customFormat="false" ht="15" hidden="false" customHeight="false" outlineLevel="0" collapsed="false">
      <c r="E94" s="363"/>
    </row>
    <row r="95" customFormat="false" ht="15" hidden="false" customHeight="false" outlineLevel="0" collapsed="false">
      <c r="E95" s="363"/>
    </row>
    <row r="96" customFormat="false" ht="15" hidden="false" customHeight="false" outlineLevel="0" collapsed="false">
      <c r="E96" s="363"/>
    </row>
    <row r="97" customFormat="false" ht="15" hidden="false" customHeight="false" outlineLevel="0" collapsed="false">
      <c r="E97" s="363"/>
    </row>
    <row r="98" customFormat="false" ht="15" hidden="false" customHeight="false" outlineLevel="0" collapsed="false">
      <c r="E98" s="363"/>
    </row>
    <row r="99" customFormat="false" ht="15" hidden="false" customHeight="false" outlineLevel="0" collapsed="false">
      <c r="E99" s="363"/>
    </row>
    <row r="100" customFormat="false" ht="15" hidden="false" customHeight="false" outlineLevel="0" collapsed="false">
      <c r="E100" s="363"/>
    </row>
    <row r="101" customFormat="false" ht="15" hidden="false" customHeight="false" outlineLevel="0" collapsed="false">
      <c r="E101" s="363"/>
    </row>
    <row r="102" customFormat="false" ht="15" hidden="false" customHeight="false" outlineLevel="0" collapsed="false">
      <c r="E102" s="363"/>
    </row>
    <row r="103" customFormat="false" ht="15" hidden="false" customHeight="false" outlineLevel="0" collapsed="false">
      <c r="E103" s="363"/>
    </row>
    <row r="104" customFormat="false" ht="15" hidden="false" customHeight="false" outlineLevel="0" collapsed="false">
      <c r="E104" s="363"/>
    </row>
    <row r="105" customFormat="false" ht="15" hidden="false" customHeight="false" outlineLevel="0" collapsed="false">
      <c r="E105" s="363"/>
    </row>
    <row r="106" customFormat="false" ht="15" hidden="false" customHeight="false" outlineLevel="0" collapsed="false">
      <c r="E106" s="363"/>
    </row>
    <row r="107" customFormat="false" ht="15" hidden="false" customHeight="false" outlineLevel="0" collapsed="false">
      <c r="E107" s="363"/>
    </row>
    <row r="108" customFormat="false" ht="15" hidden="false" customHeight="false" outlineLevel="0" collapsed="false">
      <c r="E108" s="363"/>
    </row>
    <row r="109" customFormat="false" ht="15" hidden="false" customHeight="false" outlineLevel="0" collapsed="false">
      <c r="E109" s="363"/>
    </row>
    <row r="110" customFormat="false" ht="15" hidden="false" customHeight="false" outlineLevel="0" collapsed="false">
      <c r="E110" s="363"/>
    </row>
    <row r="111" customFormat="false" ht="15" hidden="false" customHeight="false" outlineLevel="0" collapsed="false">
      <c r="E111" s="363"/>
    </row>
    <row r="112" customFormat="false" ht="15" hidden="false" customHeight="false" outlineLevel="0" collapsed="false">
      <c r="E112" s="363"/>
    </row>
    <row r="113" customFormat="false" ht="15" hidden="false" customHeight="false" outlineLevel="0" collapsed="false">
      <c r="E113" s="363"/>
    </row>
    <row r="114" customFormat="false" ht="15" hidden="false" customHeight="false" outlineLevel="0" collapsed="false">
      <c r="E114" s="363"/>
    </row>
    <row r="115" customFormat="false" ht="15" hidden="false" customHeight="false" outlineLevel="0" collapsed="false">
      <c r="E115" s="363"/>
    </row>
    <row r="116" customFormat="false" ht="15" hidden="false" customHeight="false" outlineLevel="0" collapsed="false">
      <c r="E116" s="363"/>
    </row>
    <row r="117" customFormat="false" ht="15" hidden="false" customHeight="false" outlineLevel="0" collapsed="false">
      <c r="E117" s="363"/>
    </row>
    <row r="118" customFormat="false" ht="15" hidden="false" customHeight="false" outlineLevel="0" collapsed="false">
      <c r="E118" s="363"/>
    </row>
    <row r="119" customFormat="false" ht="15" hidden="false" customHeight="false" outlineLevel="0" collapsed="false">
      <c r="E119" s="363"/>
    </row>
    <row r="120" customFormat="false" ht="15" hidden="false" customHeight="false" outlineLevel="0" collapsed="false">
      <c r="E120" s="363"/>
    </row>
    <row r="121" customFormat="false" ht="15" hidden="false" customHeight="false" outlineLevel="0" collapsed="false">
      <c r="E121" s="363"/>
    </row>
    <row r="122" customFormat="false" ht="15" hidden="false" customHeight="false" outlineLevel="0" collapsed="false">
      <c r="E122" s="363"/>
    </row>
    <row r="123" customFormat="false" ht="15" hidden="false" customHeight="false" outlineLevel="0" collapsed="false">
      <c r="E123" s="363"/>
    </row>
    <row r="124" customFormat="false" ht="15" hidden="false" customHeight="false" outlineLevel="0" collapsed="false">
      <c r="E124" s="363"/>
    </row>
    <row r="125" customFormat="false" ht="15" hidden="false" customHeight="false" outlineLevel="0" collapsed="false">
      <c r="E125" s="36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67" colorId="64" zoomScale="70" zoomScaleNormal="70" zoomScalePageLayoutView="100" workbookViewId="0">
      <selection pane="topLeft" activeCell="A86" activeCellId="0" sqref="A86"/>
    </sheetView>
  </sheetViews>
  <sheetFormatPr defaultColWidth="9.1484375" defaultRowHeight="12.75" zeroHeight="false" outlineLevelRow="0" outlineLevelCol="0"/>
  <cols>
    <col collapsed="false" customWidth="true" hidden="false" outlineLevel="0" max="1" min="1" style="364"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4"/>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5" t="s">
        <v>819</v>
      </c>
    </row>
    <row r="3" customFormat="false" ht="12.75" hidden="false" customHeight="false" outlineLevel="0" collapsed="false">
      <c r="A3" s="364" t="s">
        <v>820</v>
      </c>
    </row>
    <row r="4" customFormat="false" ht="12.75" hidden="false" customHeight="false" outlineLevel="0" collapsed="false">
      <c r="A4" s="364" t="s">
        <v>821</v>
      </c>
      <c r="B4" s="1" t="n">
        <v>45</v>
      </c>
      <c r="C4" s="1" t="s">
        <v>87</v>
      </c>
    </row>
    <row r="5" customFormat="false" ht="12.75" hidden="false" customHeight="false" outlineLevel="0" collapsed="false">
      <c r="A5" s="364" t="s">
        <v>822</v>
      </c>
      <c r="B5" s="1" t="n">
        <v>80</v>
      </c>
      <c r="C5" s="1" t="s">
        <v>175</v>
      </c>
    </row>
    <row r="6" customFormat="false" ht="12.75" hidden="false" customHeight="false" outlineLevel="0" collapsed="false">
      <c r="A6" s="364" t="s">
        <v>823</v>
      </c>
      <c r="B6" s="1" t="n">
        <v>50</v>
      </c>
      <c r="C6" s="1" t="s">
        <v>176</v>
      </c>
    </row>
    <row r="7" customFormat="false" ht="12.75" hidden="false" customHeight="false" outlineLevel="0" collapsed="false">
      <c r="A7" s="364" t="s">
        <v>824</v>
      </c>
      <c r="B7" s="1" t="n">
        <v>60</v>
      </c>
      <c r="C7" s="1" t="s">
        <v>178</v>
      </c>
    </row>
    <row r="8" customFormat="false" ht="12.75" hidden="false" customHeight="false" outlineLevel="0" collapsed="false">
      <c r="A8" s="364" t="s">
        <v>825</v>
      </c>
      <c r="B8" s="1" t="n">
        <v>15</v>
      </c>
      <c r="C8" s="1" t="s">
        <v>179</v>
      </c>
    </row>
    <row r="9" customFormat="false" ht="12.75" hidden="false" customHeight="false" outlineLevel="0" collapsed="false">
      <c r="A9" s="364" t="s">
        <v>826</v>
      </c>
      <c r="B9" s="1" t="n">
        <v>25</v>
      </c>
      <c r="C9" s="1" t="s">
        <v>177</v>
      </c>
    </row>
    <row r="10" customFormat="false" ht="12.75" hidden="false" customHeight="false" outlineLevel="0" collapsed="false">
      <c r="A10" s="364" t="s">
        <v>827</v>
      </c>
      <c r="B10" s="1" t="n">
        <v>0.05</v>
      </c>
      <c r="C10" s="1" t="s">
        <v>180</v>
      </c>
      <c r="D10" s="1" t="n">
        <v>40</v>
      </c>
      <c r="E10" s="1" t="s">
        <v>175</v>
      </c>
    </row>
    <row r="11" customFormat="false" ht="12.75" hidden="false" customHeight="false" outlineLevel="0" collapsed="false">
      <c r="A11" s="364" t="s">
        <v>828</v>
      </c>
      <c r="B11" s="1" t="n">
        <v>25</v>
      </c>
      <c r="C11" s="1" t="s">
        <v>176</v>
      </c>
    </row>
    <row r="12" customFormat="false" ht="12.75" hidden="false" customHeight="false" outlineLevel="0" collapsed="false">
      <c r="A12" s="364" t="s">
        <v>254</v>
      </c>
      <c r="B12" s="288" t="n">
        <v>1.75</v>
      </c>
      <c r="C12" s="1" t="s">
        <v>829</v>
      </c>
      <c r="D12" s="149" t="n">
        <v>0.35</v>
      </c>
      <c r="E12" s="1" t="s">
        <v>830</v>
      </c>
    </row>
    <row r="13" customFormat="false" ht="12.75" hidden="false" customHeight="false" outlineLevel="0" collapsed="false">
      <c r="A13" s="364" t="s">
        <v>252</v>
      </c>
      <c r="B13" s="288" t="n">
        <v>1.75</v>
      </c>
      <c r="C13" s="1" t="s">
        <v>831</v>
      </c>
      <c r="D13" s="149" t="n">
        <v>0.35</v>
      </c>
      <c r="E13" s="1" t="s">
        <v>830</v>
      </c>
    </row>
    <row r="14" customFormat="false" ht="12.75" hidden="false" customHeight="false" outlineLevel="0" collapsed="false">
      <c r="A14" s="364" t="s">
        <v>832</v>
      </c>
      <c r="B14" s="1" t="n">
        <v>0</v>
      </c>
      <c r="C14" s="1" t="s">
        <v>833</v>
      </c>
      <c r="D14" s="366"/>
      <c r="F14" s="149"/>
    </row>
    <row r="15" customFormat="false" ht="12.75" hidden="false" customHeight="false" outlineLevel="0" collapsed="false">
      <c r="B15" s="1" t="n">
        <v>3.5</v>
      </c>
      <c r="C15" s="1" t="s">
        <v>834</v>
      </c>
      <c r="D15" s="367" t="n">
        <v>0.35</v>
      </c>
      <c r="E15" s="1" t="s">
        <v>830</v>
      </c>
      <c r="F15" s="149"/>
    </row>
    <row r="16" customFormat="false" ht="12.75" hidden="false" customHeight="false" outlineLevel="0" collapsed="false">
      <c r="A16" s="364" t="s">
        <v>835</v>
      </c>
      <c r="B16" s="1" t="n">
        <v>0</v>
      </c>
      <c r="C16" s="1" t="s">
        <v>836</v>
      </c>
      <c r="D16" s="367" t="n">
        <v>0</v>
      </c>
      <c r="E16" s="1" t="s">
        <v>830</v>
      </c>
      <c r="F16" s="149"/>
    </row>
    <row r="17" customFormat="false" ht="12.75" hidden="false" customHeight="false" outlineLevel="0" collapsed="false">
      <c r="B17" s="1" t="n">
        <v>3.5</v>
      </c>
      <c r="C17" s="1" t="s">
        <v>837</v>
      </c>
      <c r="D17" s="367" t="n">
        <v>0.35</v>
      </c>
      <c r="E17" s="1" t="s">
        <v>830</v>
      </c>
      <c r="F17" s="149"/>
    </row>
    <row r="18" customFormat="false" ht="12.75" hidden="false" customHeight="false" outlineLevel="0" collapsed="false">
      <c r="B18" s="1" t="n">
        <v>15</v>
      </c>
      <c r="C18" s="1" t="s">
        <v>177</v>
      </c>
      <c r="D18" s="367"/>
      <c r="F18" s="149"/>
    </row>
    <row r="19" customFormat="false" ht="12.75" hidden="false" customHeight="false" outlineLevel="0" collapsed="false">
      <c r="A19" s="364" t="s">
        <v>345</v>
      </c>
      <c r="B19" s="1" t="n">
        <v>2</v>
      </c>
      <c r="C19" s="1" t="s">
        <v>838</v>
      </c>
      <c r="D19" s="149" t="n">
        <v>0.36</v>
      </c>
      <c r="E19" s="1" t="s">
        <v>830</v>
      </c>
    </row>
    <row r="20" customFormat="false" ht="12.75" hidden="false" customHeight="false" outlineLevel="0" collapsed="false">
      <c r="A20" s="364" t="s">
        <v>839</v>
      </c>
      <c r="B20" s="1" t="n">
        <v>2.6</v>
      </c>
      <c r="C20" s="1" t="s">
        <v>840</v>
      </c>
    </row>
    <row r="21" customFormat="false" ht="12.75" hidden="false" customHeight="false" outlineLevel="0" collapsed="false">
      <c r="A21" s="364" t="s">
        <v>841</v>
      </c>
      <c r="B21" s="368" t="n">
        <v>5</v>
      </c>
      <c r="C21" s="1" t="s">
        <v>842</v>
      </c>
      <c r="D21" s="149" t="n">
        <v>0.5</v>
      </c>
      <c r="E21" s="1" t="s">
        <v>830</v>
      </c>
    </row>
    <row r="22" customFormat="false" ht="12.75" hidden="false" customHeight="false" outlineLevel="0" collapsed="false">
      <c r="B22" s="368" t="n">
        <v>5</v>
      </c>
      <c r="C22" s="1" t="s">
        <v>843</v>
      </c>
      <c r="D22" s="149" t="n">
        <v>0.5</v>
      </c>
      <c r="E22" s="1" t="s">
        <v>830</v>
      </c>
    </row>
    <row r="23" customFormat="false" ht="12.75" hidden="false" customHeight="false" outlineLevel="0" collapsed="false">
      <c r="A23" s="364" t="s">
        <v>844</v>
      </c>
      <c r="B23" s="368"/>
      <c r="C23" s="1" t="s">
        <v>845</v>
      </c>
      <c r="D23" s="149" t="n">
        <v>0.5</v>
      </c>
      <c r="E23" s="1" t="s">
        <v>830</v>
      </c>
    </row>
    <row r="24" customFormat="false" ht="12.75" hidden="false" customHeight="false" outlineLevel="0" collapsed="false">
      <c r="A24" s="365" t="s">
        <v>846</v>
      </c>
    </row>
    <row r="25" customFormat="false" ht="12.75" hidden="false" customHeight="false" outlineLevel="0" collapsed="false">
      <c r="A25" s="369" t="s">
        <v>244</v>
      </c>
      <c r="B25" s="369" t="s">
        <v>245</v>
      </c>
      <c r="C25" s="369" t="s">
        <v>246</v>
      </c>
      <c r="D25" s="369" t="s">
        <v>247</v>
      </c>
      <c r="E25" s="369" t="s">
        <v>248</v>
      </c>
      <c r="F25" s="370" t="s">
        <v>249</v>
      </c>
      <c r="G25" s="370" t="s">
        <v>250</v>
      </c>
      <c r="H25" s="371" t="s">
        <v>251</v>
      </c>
      <c r="I25" s="371" t="s">
        <v>252</v>
      </c>
      <c r="J25" s="372" t="s">
        <v>253</v>
      </c>
      <c r="K25" s="372" t="s">
        <v>254</v>
      </c>
      <c r="L25" s="372" t="s">
        <v>255</v>
      </c>
      <c r="M25" s="373" t="s">
        <v>256</v>
      </c>
      <c r="N25" s="374" t="s">
        <v>257</v>
      </c>
      <c r="O25" s="374" t="s">
        <v>258</v>
      </c>
      <c r="P25" s="374" t="s">
        <v>847</v>
      </c>
      <c r="Q25" s="375" t="s">
        <v>260</v>
      </c>
      <c r="R25" s="375" t="s">
        <v>261</v>
      </c>
      <c r="S25" s="376" t="s">
        <v>262</v>
      </c>
    </row>
    <row r="26" customFormat="false" ht="12.75" hidden="false" customHeight="false" outlineLevel="0" collapsed="false">
      <c r="A26" s="364"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5" t="s">
        <v>848</v>
      </c>
    </row>
    <row r="29" customFormat="false" ht="12.75" hidden="false" customHeight="false" outlineLevel="0" collapsed="false">
      <c r="A29" s="377" t="s">
        <v>338</v>
      </c>
      <c r="B29" s="370" t="s">
        <v>237</v>
      </c>
      <c r="C29" s="371" t="s">
        <v>374</v>
      </c>
      <c r="D29" s="373" t="s">
        <v>340</v>
      </c>
      <c r="E29" s="374" t="s">
        <v>240</v>
      </c>
      <c r="F29" s="375" t="s">
        <v>341</v>
      </c>
      <c r="G29" s="376" t="s">
        <v>242</v>
      </c>
    </row>
    <row r="30" s="31" customFormat="true" ht="12.75" hidden="false" customHeight="false" outlineLevel="0" collapsed="false">
      <c r="A30" s="364"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5"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4"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4"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4"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4"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4"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4" t="str">
        <f aca="false">Overview!$A25</f>
        <v>Salamander</v>
      </c>
      <c r="B38" s="1" t="n">
        <v>0</v>
      </c>
      <c r="M38" s="149" t="n">
        <v>-0.1</v>
      </c>
      <c r="N38" s="1" t="s">
        <v>857</v>
      </c>
      <c r="O38" s="1" t="n">
        <v>-2</v>
      </c>
      <c r="P38" s="1" t="s">
        <v>858</v>
      </c>
    </row>
    <row r="39" customFormat="false" ht="12.75" hidden="false" customHeight="false" outlineLevel="0" collapsed="false">
      <c r="A39" s="364"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4"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4"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4"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5" t="s">
        <v>865</v>
      </c>
      <c r="C44" s="69"/>
      <c r="M44" s="149" t="n">
        <v>0.05</v>
      </c>
      <c r="N44" s="1" t="s">
        <v>111</v>
      </c>
    </row>
    <row r="45" customFormat="false" ht="12.75" hidden="false" customHeight="false" outlineLevel="0" collapsed="false">
      <c r="A45" s="364" t="s">
        <v>34</v>
      </c>
      <c r="B45" s="69" t="n">
        <f aca="false">HLOOKUP(1,E33:J37,3)</f>
        <v>100000</v>
      </c>
      <c r="C45" s="69"/>
      <c r="D45" s="1" t="s">
        <v>866</v>
      </c>
      <c r="L45" s="1" t="s">
        <v>40</v>
      </c>
      <c r="M45" s="149" t="n">
        <v>-0.1</v>
      </c>
      <c r="N45" s="1" t="s">
        <v>867</v>
      </c>
    </row>
    <row r="46" customFormat="false" ht="12.75" hidden="false" customHeight="false" outlineLevel="0" collapsed="false">
      <c r="A46" s="364" t="s">
        <v>91</v>
      </c>
      <c r="B46" s="69" t="n">
        <f aca="false">HLOOKUP(1,E33:J37,4)</f>
        <v>15000</v>
      </c>
      <c r="C46" s="69"/>
      <c r="D46" s="1" t="s">
        <v>81</v>
      </c>
      <c r="E46" s="1" t="n">
        <v>100</v>
      </c>
      <c r="M46" s="149" t="n">
        <v>-0.2</v>
      </c>
      <c r="N46" s="1" t="s">
        <v>868</v>
      </c>
    </row>
    <row r="47" customFormat="false" ht="12.75" hidden="false" customHeight="false" outlineLevel="0" collapsed="false">
      <c r="A47" s="364" t="s">
        <v>869</v>
      </c>
      <c r="B47" s="69" t="n">
        <f aca="false">HLOOKUP(1,E33:J37,5)</f>
        <v>15000</v>
      </c>
      <c r="C47" s="69"/>
      <c r="D47" s="1" t="s">
        <v>34</v>
      </c>
      <c r="E47" s="1" t="n">
        <v>5000</v>
      </c>
      <c r="M47" s="1" t="n">
        <v>1</v>
      </c>
      <c r="N47" s="1" t="s">
        <v>870</v>
      </c>
    </row>
    <row r="48" customFormat="false" ht="12.75" hidden="false" customHeight="false" outlineLevel="0" collapsed="false">
      <c r="A48" s="364" t="s">
        <v>95</v>
      </c>
      <c r="B48" s="69" t="n">
        <v>0</v>
      </c>
      <c r="C48" s="69"/>
      <c r="D48" s="1" t="s">
        <v>91</v>
      </c>
      <c r="E48" s="1" t="n">
        <v>1500</v>
      </c>
      <c r="L48" s="1" t="s">
        <v>44</v>
      </c>
      <c r="M48" s="149" t="n">
        <v>-0.1</v>
      </c>
      <c r="N48" s="1" t="s">
        <v>871</v>
      </c>
    </row>
    <row r="49" customFormat="false" ht="12.75" hidden="false" customHeight="false" outlineLevel="0" collapsed="false">
      <c r="A49" s="364" t="s">
        <v>35</v>
      </c>
      <c r="B49" s="69" t="n">
        <v>0</v>
      </c>
      <c r="C49" s="69"/>
      <c r="D49" s="1" t="s">
        <v>93</v>
      </c>
      <c r="E49" s="1" t="n">
        <v>2500</v>
      </c>
      <c r="M49" s="149" t="n">
        <v>-0.2</v>
      </c>
      <c r="N49" s="1" t="s">
        <v>872</v>
      </c>
    </row>
    <row r="50" customFormat="false" ht="12.75" hidden="false" customHeight="false" outlineLevel="0" collapsed="false">
      <c r="A50" s="364" t="s">
        <v>97</v>
      </c>
      <c r="B50" s="69" t="n">
        <v>10000</v>
      </c>
      <c r="C50" s="69"/>
      <c r="D50" s="1" t="s">
        <v>35</v>
      </c>
      <c r="E50" s="1" t="n">
        <v>2500</v>
      </c>
      <c r="M50" s="1" t="n">
        <v>1</v>
      </c>
      <c r="N50" s="1" t="s">
        <v>873</v>
      </c>
    </row>
    <row r="51" customFormat="false" ht="12.75" hidden="false" customHeight="false" outlineLevel="0" collapsed="false">
      <c r="A51" s="364"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5" t="s">
        <v>879</v>
      </c>
      <c r="D53" s="1" t="s">
        <v>880</v>
      </c>
      <c r="E53" s="1" t="n">
        <v>30</v>
      </c>
      <c r="L53" s="1" t="s">
        <v>881</v>
      </c>
      <c r="M53" s="150" t="n">
        <v>0.06</v>
      </c>
      <c r="N53" s="1" t="s">
        <v>862</v>
      </c>
    </row>
    <row r="54" customFormat="false" ht="12.75" hidden="false" customHeight="false" outlineLevel="0" collapsed="false">
      <c r="A54" s="364" t="s">
        <v>81</v>
      </c>
      <c r="B54" s="109" t="n">
        <v>0.03</v>
      </c>
      <c r="L54" s="1" t="s">
        <v>882</v>
      </c>
      <c r="M54" s="106" t="n">
        <v>0.125</v>
      </c>
      <c r="N54" s="1" t="s">
        <v>856</v>
      </c>
    </row>
    <row r="55" customFormat="false" ht="12.75" hidden="false" customHeight="false" outlineLevel="0" collapsed="false">
      <c r="A55" s="364" t="s">
        <v>65</v>
      </c>
      <c r="B55" s="109" t="n">
        <v>0.01</v>
      </c>
      <c r="L55" s="1" t="s">
        <v>883</v>
      </c>
      <c r="M55" s="149" t="n">
        <v>-0.3</v>
      </c>
      <c r="N55" s="1" t="s">
        <v>884</v>
      </c>
    </row>
    <row r="56" customFormat="false" ht="12.75" hidden="false" customHeight="false" outlineLevel="0" collapsed="false">
      <c r="A56" s="364" t="s">
        <v>195</v>
      </c>
      <c r="B56" s="109" t="n">
        <v>0.01</v>
      </c>
      <c r="L56" s="1" t="s">
        <v>885</v>
      </c>
      <c r="M56" s="149" t="n">
        <v>-0.2</v>
      </c>
      <c r="N56" s="1" t="s">
        <v>857</v>
      </c>
      <c r="O56" s="149" t="n">
        <v>0.15</v>
      </c>
      <c r="P56" s="1" t="s">
        <v>886</v>
      </c>
    </row>
    <row r="57" customFormat="false" ht="12.75" hidden="false" customHeight="false" outlineLevel="0" collapsed="false">
      <c r="A57" s="364" t="s">
        <v>197</v>
      </c>
      <c r="B57" s="109" t="n">
        <v>0.01</v>
      </c>
      <c r="L57" s="1" t="s">
        <v>887</v>
      </c>
      <c r="M57" s="149" t="n">
        <v>-0.25</v>
      </c>
      <c r="N57" s="1" t="s">
        <v>888</v>
      </c>
    </row>
    <row r="58" customFormat="false" ht="12.75" hidden="false" customHeight="false" outlineLevel="0" collapsed="false">
      <c r="A58" s="364"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4" t="s">
        <v>892</v>
      </c>
      <c r="B60" s="1" t="n">
        <v>0.25</v>
      </c>
      <c r="C60" s="1" t="s">
        <v>893</v>
      </c>
      <c r="U60" s="150"/>
    </row>
    <row r="61" customFormat="false" ht="12.75" hidden="false" customHeight="false" outlineLevel="0" collapsed="false">
      <c r="A61" s="364"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5" t="s">
        <v>897</v>
      </c>
    </row>
    <row r="64" customFormat="false" ht="12.75" hidden="false" customHeight="false" outlineLevel="0" collapsed="false">
      <c r="A64" s="364" t="s">
        <v>898</v>
      </c>
      <c r="B64" s="1" t="n">
        <v>36</v>
      </c>
      <c r="C64" s="1" t="s">
        <v>899</v>
      </c>
      <c r="D64" s="1" t="s">
        <v>900</v>
      </c>
      <c r="L64" s="1" t="s">
        <v>901</v>
      </c>
      <c r="M64" s="1" t="n">
        <v>3780</v>
      </c>
      <c r="U64" s="149"/>
    </row>
    <row r="65" customFormat="false" ht="12.75" hidden="false" customHeight="false" outlineLevel="0" collapsed="false">
      <c r="A65" s="364" t="s">
        <v>902</v>
      </c>
      <c r="B65" s="1" t="n">
        <v>30</v>
      </c>
      <c r="C65" s="1" t="s">
        <v>903</v>
      </c>
    </row>
    <row r="66" customFormat="false" ht="12.75" hidden="false" customHeight="false" outlineLevel="0" collapsed="false">
      <c r="A66" s="364" t="s">
        <v>904</v>
      </c>
      <c r="B66" s="1" t="n">
        <v>15</v>
      </c>
      <c r="C66" s="1" t="s">
        <v>903</v>
      </c>
      <c r="L66" s="31" t="s">
        <v>905</v>
      </c>
      <c r="U66" s="149"/>
    </row>
    <row r="67" customFormat="false" ht="12.75" hidden="false" customHeight="false" outlineLevel="0" collapsed="false">
      <c r="A67" s="364" t="s">
        <v>906</v>
      </c>
      <c r="B67" s="1" t="n">
        <v>15</v>
      </c>
      <c r="C67" s="1" t="s">
        <v>903</v>
      </c>
      <c r="L67" s="94" t="s">
        <v>524</v>
      </c>
      <c r="M67" s="378" t="n">
        <v>0.025</v>
      </c>
      <c r="N67" s="1" t="s">
        <v>907</v>
      </c>
      <c r="S67" s="1" t="s">
        <v>591</v>
      </c>
      <c r="U67" s="149"/>
    </row>
    <row r="68" customFormat="false" ht="12.75" hidden="false" customHeight="false" outlineLevel="0" collapsed="false">
      <c r="A68" s="364" t="s">
        <v>908</v>
      </c>
      <c r="B68" s="1" t="n">
        <v>15</v>
      </c>
      <c r="C68" s="1" t="str">
        <f aca="false">C65</f>
        <v>peasants</v>
      </c>
      <c r="L68" s="94" t="s">
        <v>525</v>
      </c>
      <c r="M68" s="378" t="n">
        <v>0.05</v>
      </c>
      <c r="N68" s="1" t="s">
        <v>909</v>
      </c>
      <c r="S68" s="1" t="s">
        <v>593</v>
      </c>
    </row>
    <row r="69" customFormat="false" ht="12.75" hidden="false" customHeight="false" outlineLevel="0" collapsed="false">
      <c r="A69" s="364" t="s">
        <v>910</v>
      </c>
      <c r="B69" s="1" t="n">
        <f aca="false">IF(OR(Overview!$B$14="Halfling",Overview!$B$14="Dwarf",Overview!$B$14="Gnome"),10,IF(race="Nomad",25,5))</f>
        <v>5</v>
      </c>
      <c r="L69" s="1" t="s">
        <v>526</v>
      </c>
      <c r="M69" s="379" t="n">
        <v>0.05</v>
      </c>
      <c r="N69" s="1" t="s">
        <v>911</v>
      </c>
      <c r="S69" s="1" t="s">
        <v>595</v>
      </c>
    </row>
    <row r="70" customFormat="false" ht="12.75" hidden="false" customHeight="false" outlineLevel="0" collapsed="false">
      <c r="L70" s="1" t="s">
        <v>527</v>
      </c>
      <c r="M70" s="378" t="n">
        <v>0.075</v>
      </c>
      <c r="N70" s="1" t="s">
        <v>907</v>
      </c>
      <c r="S70" s="1" t="s">
        <v>597</v>
      </c>
      <c r="T70" s="94"/>
      <c r="U70" s="150"/>
    </row>
    <row r="71" customFormat="false" ht="12.75" hidden="false" customHeight="false" outlineLevel="0" collapsed="false">
      <c r="A71" s="380" t="s">
        <v>912</v>
      </c>
      <c r="L71" s="1" t="s">
        <v>528</v>
      </c>
      <c r="M71" s="378" t="n">
        <v>0.02</v>
      </c>
      <c r="N71" s="1" t="s">
        <v>913</v>
      </c>
      <c r="S71" s="1" t="s">
        <v>599</v>
      </c>
      <c r="U71" s="150"/>
    </row>
    <row r="72" customFormat="false" ht="12.75" hidden="false" customHeight="false" outlineLevel="0" collapsed="false">
      <c r="A72" s="364" t="str">
        <f aca="false">CONCATENATE("Your race is ",Overview!B14)</f>
        <v>Your race is Firewalker</v>
      </c>
      <c r="L72" s="1" t="s">
        <v>529</v>
      </c>
      <c r="M72" s="379" t="n">
        <v>0.05</v>
      </c>
      <c r="N72" s="1" t="s">
        <v>914</v>
      </c>
      <c r="S72" s="94" t="s">
        <v>601</v>
      </c>
      <c r="T72" s="94"/>
      <c r="U72" s="149"/>
    </row>
    <row r="73" customFormat="false" ht="12.75" hidden="false" customHeight="false" outlineLevel="0" collapsed="false">
      <c r="L73" s="1" t="s">
        <v>530</v>
      </c>
      <c r="M73" s="379" t="n">
        <v>0.1</v>
      </c>
      <c r="N73" s="1" t="s">
        <v>915</v>
      </c>
      <c r="S73" s="94" t="s">
        <v>603</v>
      </c>
      <c r="T73" s="94"/>
      <c r="U73" s="149"/>
    </row>
    <row r="74" customFormat="false" ht="12.75" hidden="false" customHeight="false" outlineLevel="0" collapsed="false">
      <c r="A74" s="365" t="s">
        <v>916</v>
      </c>
      <c r="B74" s="1" t="s">
        <v>917</v>
      </c>
      <c r="F74" s="1" t="s">
        <v>13</v>
      </c>
      <c r="L74" s="1" t="s">
        <v>531</v>
      </c>
      <c r="M74" s="379" t="n">
        <v>-0.1</v>
      </c>
      <c r="N74" s="1" t="s">
        <v>918</v>
      </c>
      <c r="O74" s="1" t="s">
        <v>919</v>
      </c>
      <c r="S74" s="94" t="s">
        <v>605</v>
      </c>
      <c r="T74" s="94"/>
      <c r="U74" s="149"/>
    </row>
    <row r="75" customFormat="false" ht="12.75" hidden="false" customHeight="false" outlineLevel="0" collapsed="false">
      <c r="A75" s="364" t="s">
        <v>484</v>
      </c>
      <c r="B75" s="1" t="n">
        <v>2</v>
      </c>
      <c r="C75" s="1" t="s">
        <v>920</v>
      </c>
      <c r="D75" s="109"/>
      <c r="F75" s="109" t="n">
        <v>0.1</v>
      </c>
      <c r="G75" s="1" t="s">
        <v>28</v>
      </c>
      <c r="L75" s="1" t="s">
        <v>532</v>
      </c>
      <c r="M75" s="379" t="n">
        <v>-0.05</v>
      </c>
      <c r="N75" s="1" t="s">
        <v>921</v>
      </c>
      <c r="O75" s="149" t="n">
        <v>-0.15</v>
      </c>
      <c r="P75" s="1" t="s">
        <v>922</v>
      </c>
      <c r="S75" s="94" t="s">
        <v>607</v>
      </c>
      <c r="T75" s="94"/>
      <c r="U75" s="150"/>
    </row>
    <row r="76" customFormat="false" ht="12.75" hidden="false" customHeight="false" outlineLevel="0" collapsed="false">
      <c r="A76" s="364" t="s">
        <v>485</v>
      </c>
      <c r="B76" s="1" t="n">
        <v>2</v>
      </c>
      <c r="C76" s="1" t="s">
        <v>920</v>
      </c>
      <c r="D76" s="109"/>
      <c r="F76" s="109" t="n">
        <v>0.1</v>
      </c>
      <c r="G76" s="1" t="s">
        <v>37</v>
      </c>
      <c r="L76" s="1" t="s">
        <v>533</v>
      </c>
      <c r="M76" s="378" t="n">
        <v>-0.025</v>
      </c>
      <c r="N76" s="1" t="s">
        <v>923</v>
      </c>
      <c r="S76" s="94" t="s">
        <v>609</v>
      </c>
      <c r="T76" s="94"/>
      <c r="U76" s="149"/>
    </row>
    <row r="77" customFormat="false" ht="12.75" hidden="false" customHeight="false" outlineLevel="0" collapsed="false">
      <c r="A77" s="364" t="s">
        <v>924</v>
      </c>
      <c r="B77" s="1" t="n">
        <v>2.5</v>
      </c>
      <c r="C77" s="1" t="s">
        <v>920</v>
      </c>
      <c r="D77" s="109"/>
      <c r="F77" s="109" t="n">
        <v>0.1</v>
      </c>
      <c r="G77" s="1" t="s">
        <v>33</v>
      </c>
      <c r="L77" s="1" t="s">
        <v>534</v>
      </c>
      <c r="M77" s="379" t="n">
        <v>-0.1</v>
      </c>
      <c r="N77" s="1" t="s">
        <v>925</v>
      </c>
      <c r="S77" s="94" t="s">
        <v>611</v>
      </c>
      <c r="T77" s="94"/>
    </row>
    <row r="78" customFormat="false" ht="12.75" hidden="false" customHeight="false" outlineLevel="0" collapsed="false">
      <c r="A78" s="364" t="s">
        <v>488</v>
      </c>
      <c r="B78" s="1" t="n">
        <v>2.5</v>
      </c>
      <c r="C78" s="1" t="s">
        <v>920</v>
      </c>
      <c r="D78" s="109"/>
      <c r="F78" s="109" t="n">
        <v>0.5</v>
      </c>
      <c r="G78" s="1" t="s">
        <v>926</v>
      </c>
      <c r="S78" s="94"/>
      <c r="T78" s="94"/>
    </row>
    <row r="79" customFormat="false" ht="12.75" hidden="false" customHeight="false" outlineLevel="0" collapsed="false">
      <c r="A79" s="364" t="s">
        <v>927</v>
      </c>
      <c r="B79" s="1" t="n">
        <v>2.5</v>
      </c>
      <c r="C79" s="1" t="s">
        <v>920</v>
      </c>
      <c r="D79" s="109"/>
      <c r="F79" s="109" t="n">
        <v>0.1</v>
      </c>
      <c r="G79" s="1" t="s">
        <v>928</v>
      </c>
      <c r="L79" s="1" t="s">
        <v>535</v>
      </c>
      <c r="M79" s="378" t="n">
        <v>-0.1</v>
      </c>
      <c r="N79" s="1" t="s">
        <v>929</v>
      </c>
      <c r="S79" s="94" t="s">
        <v>613</v>
      </c>
      <c r="T79" s="94"/>
      <c r="U79" s="150"/>
    </row>
    <row r="80" customFormat="false" ht="12.75" hidden="false" customHeight="false" outlineLevel="0" collapsed="false">
      <c r="A80" s="364" t="s">
        <v>930</v>
      </c>
      <c r="B80" s="1" t="n">
        <v>5</v>
      </c>
      <c r="C80" s="1" t="s">
        <v>920</v>
      </c>
      <c r="D80" s="109"/>
      <c r="F80" s="109" t="n">
        <v>0.2</v>
      </c>
      <c r="G80" s="1" t="s">
        <v>37</v>
      </c>
      <c r="H80" s="1" t="s">
        <v>931</v>
      </c>
      <c r="L80" s="1" t="s">
        <v>536</v>
      </c>
      <c r="M80" s="379" t="n">
        <v>0.15</v>
      </c>
      <c r="N80" s="1" t="s">
        <v>932</v>
      </c>
      <c r="S80" s="94" t="s">
        <v>615</v>
      </c>
      <c r="T80" s="94"/>
      <c r="U80" s="149"/>
    </row>
    <row r="81" customFormat="false" ht="12.75" hidden="false" customHeight="false" outlineLevel="0" collapsed="false">
      <c r="A81" s="364" t="s">
        <v>933</v>
      </c>
      <c r="B81" s="1" t="n">
        <v>5</v>
      </c>
      <c r="C81" s="1" t="s">
        <v>920</v>
      </c>
      <c r="D81" s="109"/>
      <c r="F81" s="109" t="n">
        <v>0.3</v>
      </c>
      <c r="G81" s="1" t="s">
        <v>934</v>
      </c>
      <c r="L81" s="1" t="s">
        <v>537</v>
      </c>
      <c r="M81" s="379" t="n">
        <v>-0.1</v>
      </c>
      <c r="N81" s="1" t="s">
        <v>935</v>
      </c>
      <c r="S81" s="94" t="s">
        <v>617</v>
      </c>
      <c r="T81" s="94"/>
      <c r="U81" s="149"/>
    </row>
    <row r="82" customFormat="false" ht="12.75" hidden="false" customHeight="false" outlineLevel="0" collapsed="false">
      <c r="A82" s="364" t="s">
        <v>936</v>
      </c>
      <c r="B82" s="1" t="n">
        <f aca="false">B80</f>
        <v>5</v>
      </c>
      <c r="C82" s="1" t="str">
        <f aca="false">C80</f>
        <v>* Landsize</v>
      </c>
      <c r="D82" s="149"/>
      <c r="F82" s="109" t="n">
        <v>0.2</v>
      </c>
      <c r="G82" s="1" t="s">
        <v>33</v>
      </c>
      <c r="H82" s="1" t="s">
        <v>937</v>
      </c>
      <c r="L82" s="1" t="s">
        <v>538</v>
      </c>
      <c r="M82" s="379" t="n">
        <v>-0.2</v>
      </c>
      <c r="N82" s="1" t="s">
        <v>938</v>
      </c>
      <c r="O82" s="159" t="n">
        <v>0.1</v>
      </c>
      <c r="P82" s="31" t="s">
        <v>939</v>
      </c>
      <c r="S82" s="94" t="s">
        <v>619</v>
      </c>
      <c r="T82" s="94"/>
      <c r="U82" s="149"/>
    </row>
    <row r="83" customFormat="false" ht="12.75" hidden="false" customHeight="false" outlineLevel="0" collapsed="false">
      <c r="A83" s="364" t="s">
        <v>940</v>
      </c>
      <c r="B83" s="1" t="n">
        <f aca="false">B80</f>
        <v>5</v>
      </c>
      <c r="C83" s="1" t="str">
        <f aca="false">C80</f>
        <v>* Landsize</v>
      </c>
      <c r="D83" s="149"/>
      <c r="F83" s="109" t="n">
        <v>0.1</v>
      </c>
      <c r="G83" s="1" t="s">
        <v>32</v>
      </c>
      <c r="L83" s="1" t="s">
        <v>539</v>
      </c>
      <c r="M83" s="379" t="n">
        <v>0.01</v>
      </c>
      <c r="N83" s="1" t="s">
        <v>941</v>
      </c>
      <c r="O83" s="1" t="s">
        <v>919</v>
      </c>
      <c r="S83" s="94" t="s">
        <v>621</v>
      </c>
      <c r="T83" s="94"/>
      <c r="U83" s="149"/>
    </row>
    <row r="84" customFormat="false" ht="12.75" hidden="false" customHeight="false" outlineLevel="0" collapsed="false">
      <c r="A84" s="364" t="s">
        <v>493</v>
      </c>
      <c r="B84" s="1" t="n">
        <v>5</v>
      </c>
      <c r="C84" s="1" t="str">
        <f aca="false">C83</f>
        <v>* Landsize</v>
      </c>
      <c r="D84" s="149"/>
      <c r="F84" s="149" t="n">
        <v>0.2</v>
      </c>
      <c r="G84" s="1" t="s">
        <v>28</v>
      </c>
      <c r="H84" s="149" t="n">
        <v>0.1</v>
      </c>
      <c r="I84" s="1" t="s">
        <v>29</v>
      </c>
      <c r="L84" s="1" t="s">
        <v>540</v>
      </c>
      <c r="M84" s="381" t="n">
        <f aca="false">-2.5%/explore_tech_divisor</f>
        <v>-0.0125</v>
      </c>
      <c r="N84" s="1" t="s">
        <v>942</v>
      </c>
      <c r="O84" s="150" t="n">
        <v>-0.05</v>
      </c>
      <c r="P84" s="1" t="s">
        <v>943</v>
      </c>
      <c r="S84" s="94" t="s">
        <v>623</v>
      </c>
      <c r="T84" s="94"/>
    </row>
    <row r="85" customFormat="false" ht="12.75" hidden="false" customHeight="false" outlineLevel="0" collapsed="false">
      <c r="A85" s="364"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4" t="s">
        <v>945</v>
      </c>
      <c r="B86" s="1" t="n">
        <f aca="false">B85</f>
        <v>5</v>
      </c>
      <c r="C86" s="1" t="str">
        <f aca="false">C85</f>
        <v>* Landsize</v>
      </c>
      <c r="D86" s="149"/>
      <c r="F86" s="149" t="n">
        <v>0.15</v>
      </c>
      <c r="G86" s="1" t="s">
        <v>33</v>
      </c>
      <c r="H86" s="149" t="s">
        <v>946</v>
      </c>
      <c r="L86" s="1" t="s">
        <v>542</v>
      </c>
      <c r="M86" s="379" t="n">
        <v>-0.15</v>
      </c>
      <c r="N86" s="1" t="s">
        <v>929</v>
      </c>
      <c r="S86" s="94" t="s">
        <v>627</v>
      </c>
      <c r="T86" s="94"/>
      <c r="U86" s="149"/>
    </row>
    <row r="87" customFormat="false" ht="12.75" hidden="false" customHeight="false" outlineLevel="0" collapsed="false">
      <c r="A87" s="364" t="s">
        <v>496</v>
      </c>
      <c r="B87" s="1" t="n">
        <v>5</v>
      </c>
      <c r="C87" s="1" t="str">
        <f aca="false">C86</f>
        <v>* Landsize</v>
      </c>
      <c r="D87" s="149"/>
      <c r="F87" s="285" t="n">
        <v>13</v>
      </c>
      <c r="G87" s="1" t="s">
        <v>947</v>
      </c>
      <c r="H87" s="149"/>
      <c r="L87" s="1" t="s">
        <v>543</v>
      </c>
      <c r="M87" s="378" t="n">
        <f aca="false">-2.5%/explore_tech_divisor</f>
        <v>-0.0125</v>
      </c>
      <c r="N87" s="1" t="s">
        <v>942</v>
      </c>
      <c r="O87" s="1" t="n">
        <v>-1</v>
      </c>
      <c r="P87" s="1" t="s">
        <v>948</v>
      </c>
      <c r="S87" s="94" t="s">
        <v>629</v>
      </c>
      <c r="T87" s="94"/>
      <c r="U87" s="149"/>
    </row>
    <row r="88" customFormat="false" ht="12.75" hidden="false" customHeight="false" outlineLevel="0" collapsed="false">
      <c r="A88" s="364" t="s">
        <v>497</v>
      </c>
      <c r="B88" s="1" t="n">
        <v>5</v>
      </c>
      <c r="C88" s="1" t="str">
        <f aca="false">C87</f>
        <v>* Landsize</v>
      </c>
      <c r="D88" s="149"/>
      <c r="F88" s="106" t="n">
        <v>0.05</v>
      </c>
      <c r="G88" s="1" t="s">
        <v>32</v>
      </c>
      <c r="L88" s="1" t="s">
        <v>544</v>
      </c>
      <c r="M88" s="378" t="n">
        <v>-0.025</v>
      </c>
      <c r="N88" s="1" t="s">
        <v>935</v>
      </c>
      <c r="S88" s="94" t="s">
        <v>631</v>
      </c>
      <c r="T88" s="94"/>
      <c r="U88" s="150"/>
    </row>
    <row r="89" customFormat="false" ht="12.75" hidden="false" customHeight="false" outlineLevel="0" collapsed="false">
      <c r="A89" s="364"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4" t="s">
        <v>495</v>
      </c>
      <c r="B90" s="1" t="n">
        <v>5</v>
      </c>
      <c r="C90" s="1" t="str">
        <f aca="false">C89</f>
        <v>* Landsize</v>
      </c>
      <c r="F90" s="149" t="n">
        <v>0.15</v>
      </c>
      <c r="G90" s="1" t="s">
        <v>928</v>
      </c>
      <c r="L90" s="1" t="s">
        <v>545</v>
      </c>
      <c r="M90" s="379" t="n">
        <v>0.05</v>
      </c>
      <c r="N90" s="1" t="s">
        <v>950</v>
      </c>
      <c r="S90" s="94" t="s">
        <v>633</v>
      </c>
      <c r="T90" s="94"/>
    </row>
    <row r="91" customFormat="false" ht="12.75" hidden="false" customHeight="false" outlineLevel="0" collapsed="false">
      <c r="L91" s="1" t="s">
        <v>546</v>
      </c>
      <c r="M91" s="378" t="n">
        <v>0.025</v>
      </c>
      <c r="N91" s="1" t="s">
        <v>951</v>
      </c>
      <c r="S91" s="94" t="s">
        <v>635</v>
      </c>
      <c r="T91" s="94"/>
      <c r="U91" s="150"/>
    </row>
    <row r="92" customFormat="false" ht="12.75" hidden="false" customHeight="false" outlineLevel="0" collapsed="false">
      <c r="A92" s="365" t="s">
        <v>99</v>
      </c>
      <c r="L92" s="1" t="s">
        <v>547</v>
      </c>
      <c r="M92" s="378" t="n">
        <v>0.075</v>
      </c>
      <c r="N92" s="1" t="s">
        <v>952</v>
      </c>
      <c r="O92" s="106" t="n">
        <v>0.25</v>
      </c>
      <c r="P92" s="1" t="s">
        <v>953</v>
      </c>
      <c r="S92" s="94" t="s">
        <v>637</v>
      </c>
      <c r="T92" s="94"/>
      <c r="U92" s="150"/>
      <c r="W92" s="149"/>
    </row>
    <row r="93" customFormat="false" ht="12.75" hidden="false" customHeight="false" outlineLevel="0" collapsed="false">
      <c r="A93" s="364" t="s">
        <v>954</v>
      </c>
      <c r="B93" s="1" t="n">
        <f aca="false">IF(Overview!$B$14="Kobold",40,30)</f>
        <v>30</v>
      </c>
      <c r="C93" s="1" t="s">
        <v>955</v>
      </c>
      <c r="L93" s="1" t="s">
        <v>548</v>
      </c>
      <c r="M93" s="378" t="n">
        <v>0.1</v>
      </c>
      <c r="N93" s="1" t="s">
        <v>909</v>
      </c>
      <c r="O93" s="149" t="n">
        <v>0.05</v>
      </c>
      <c r="P93" s="1" t="s">
        <v>956</v>
      </c>
      <c r="S93" s="94" t="s">
        <v>639</v>
      </c>
      <c r="T93" s="94"/>
      <c r="U93" s="150"/>
      <c r="W93" s="149"/>
    </row>
    <row r="94" customFormat="false" ht="12.75" hidden="false" customHeight="false" outlineLevel="0" collapsed="false">
      <c r="L94" s="1" t="s">
        <v>549</v>
      </c>
      <c r="M94" s="378" t="n">
        <v>-0.0175</v>
      </c>
      <c r="N94" s="1" t="s">
        <v>957</v>
      </c>
      <c r="S94" s="94" t="s">
        <v>641</v>
      </c>
      <c r="T94" s="94"/>
    </row>
    <row r="95" customFormat="false" ht="12.75" hidden="false" customHeight="false" outlineLevel="0" collapsed="false">
      <c r="A95" s="365" t="s">
        <v>172</v>
      </c>
      <c r="L95" s="1" t="s">
        <v>550</v>
      </c>
      <c r="M95" s="378" t="n">
        <v>0.015</v>
      </c>
      <c r="N95" s="1" t="s">
        <v>958</v>
      </c>
      <c r="S95" s="94" t="s">
        <v>643</v>
      </c>
      <c r="T95" s="94"/>
      <c r="U95" s="149"/>
    </row>
    <row r="96" customFormat="false" ht="12.75" hidden="false" customHeight="false" outlineLevel="0" collapsed="false">
      <c r="A96" s="364" t="s">
        <v>959</v>
      </c>
      <c r="B96" s="1" t="n">
        <v>250</v>
      </c>
      <c r="L96" s="1" t="s">
        <v>551</v>
      </c>
      <c r="M96" s="378" t="n">
        <f aca="false">-7.5%/explore_tech_divisor</f>
        <v>-0.0375</v>
      </c>
      <c r="N96" s="1" t="s">
        <v>942</v>
      </c>
      <c r="O96" s="1" t="n">
        <v>-2</v>
      </c>
      <c r="P96" s="1" t="s">
        <v>948</v>
      </c>
      <c r="S96" s="94" t="s">
        <v>645</v>
      </c>
      <c r="T96" s="94"/>
      <c r="U96" s="150"/>
    </row>
    <row r="97" customFormat="false" ht="12.75" hidden="false" customHeight="false" outlineLevel="0" collapsed="false">
      <c r="A97" s="364" t="s">
        <v>960</v>
      </c>
      <c r="B97" s="149" t="n">
        <v>0.01</v>
      </c>
      <c r="L97" s="1" t="s">
        <v>552</v>
      </c>
      <c r="M97" s="379" t="n">
        <v>-0.5</v>
      </c>
      <c r="N97" s="1" t="s">
        <v>961</v>
      </c>
      <c r="S97" s="94" t="s">
        <v>647</v>
      </c>
      <c r="T97" s="94"/>
      <c r="U97" s="149"/>
    </row>
    <row r="98" customFormat="false" ht="12.75" hidden="false" customHeight="false" outlineLevel="0" collapsed="false">
      <c r="A98" s="364" t="s">
        <v>962</v>
      </c>
      <c r="B98" s="149" t="n">
        <v>0.01</v>
      </c>
      <c r="L98" s="1" t="s">
        <v>553</v>
      </c>
      <c r="M98" s="379" t="n">
        <v>-0.1</v>
      </c>
      <c r="N98" s="1" t="s">
        <v>963</v>
      </c>
      <c r="S98" s="94" t="s">
        <v>649</v>
      </c>
      <c r="T98" s="94"/>
      <c r="U98" s="149"/>
      <c r="W98" s="149"/>
    </row>
    <row r="99" customFormat="false" ht="12.75" hidden="false" customHeight="false" outlineLevel="0" collapsed="false">
      <c r="A99" s="364" t="s">
        <v>964</v>
      </c>
      <c r="B99" s="149" t="n">
        <v>0.01</v>
      </c>
      <c r="S99" s="94"/>
      <c r="T99" s="94"/>
    </row>
    <row r="100" customFormat="false" ht="12.75" hidden="false" customHeight="false" outlineLevel="0" collapsed="false">
      <c r="L100" s="1" t="s">
        <v>554</v>
      </c>
      <c r="M100" s="378" t="n">
        <v>0.125</v>
      </c>
      <c r="N100" s="1" t="s">
        <v>965</v>
      </c>
      <c r="S100" s="94" t="s">
        <v>651</v>
      </c>
      <c r="T100" s="94"/>
      <c r="U100" s="150"/>
    </row>
    <row r="101" customFormat="false" ht="12.75" hidden="false" customHeight="false" outlineLevel="0" collapsed="false">
      <c r="A101" s="365" t="s">
        <v>966</v>
      </c>
      <c r="L101" s="1" t="s">
        <v>555</v>
      </c>
      <c r="N101" s="1" t="s">
        <v>654</v>
      </c>
      <c r="S101" s="94" t="s">
        <v>653</v>
      </c>
      <c r="T101" s="94"/>
    </row>
    <row r="102" customFormat="false" ht="12.75" hidden="false" customHeight="false" outlineLevel="0" collapsed="false">
      <c r="L102" s="1" t="s">
        <v>556</v>
      </c>
      <c r="M102" s="378" t="n">
        <v>0.025</v>
      </c>
      <c r="N102" s="1" t="s">
        <v>951</v>
      </c>
      <c r="O102" s="150" t="n">
        <v>0.075</v>
      </c>
      <c r="P102" s="1" t="s">
        <v>950</v>
      </c>
      <c r="S102" s="94" t="s">
        <v>655</v>
      </c>
      <c r="T102" s="94"/>
      <c r="U102" s="150"/>
      <c r="W102" s="150"/>
    </row>
    <row r="103" customFormat="false" ht="12.75" hidden="false" customHeight="false" outlineLevel="0" collapsed="false">
      <c r="A103" s="364" t="s">
        <v>967</v>
      </c>
      <c r="B103" s="1" t="s">
        <v>734</v>
      </c>
      <c r="D103" s="109" t="n">
        <v>0.3</v>
      </c>
      <c r="E103" s="1" t="s">
        <v>830</v>
      </c>
      <c r="L103" s="1" t="s">
        <v>557</v>
      </c>
      <c r="M103" s="379"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8"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79" t="n">
        <v>-0.2</v>
      </c>
      <c r="N107" s="1" t="s">
        <v>972</v>
      </c>
      <c r="S107" s="94" t="s">
        <v>664</v>
      </c>
      <c r="T107" s="94"/>
    </row>
    <row r="108" customFormat="false" ht="12.75" hidden="false" customHeight="false" outlineLevel="0" collapsed="false">
      <c r="A108" s="364" t="s">
        <v>973</v>
      </c>
      <c r="B108" s="1" t="s">
        <v>734</v>
      </c>
      <c r="D108" s="1" t="n">
        <v>4000</v>
      </c>
      <c r="E108" s="1" t="s">
        <v>974</v>
      </c>
    </row>
    <row r="109" customFormat="false" ht="12.75" hidden="false" customHeight="false" outlineLevel="0" collapsed="false">
      <c r="B109" s="1" t="s">
        <v>733</v>
      </c>
      <c r="D109" s="1" t="n">
        <v>4000</v>
      </c>
      <c r="E109" s="1" t="s">
        <v>974</v>
      </c>
      <c r="L109" s="1" t="s">
        <v>562</v>
      </c>
      <c r="M109" s="378"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79"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8"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8" t="n">
        <v>0.025</v>
      </c>
      <c r="N112" s="1" t="s">
        <v>980</v>
      </c>
      <c r="O112" s="150" t="n">
        <v>0.075</v>
      </c>
      <c r="P112" s="1" t="s">
        <v>981</v>
      </c>
      <c r="S112" s="94" t="s">
        <v>671</v>
      </c>
      <c r="T112" s="94"/>
      <c r="U112" s="150"/>
      <c r="W112" s="150"/>
    </row>
    <row r="113" customFormat="false" ht="12.75" hidden="false" customHeight="false" outlineLevel="0" collapsed="false">
      <c r="L113" s="1" t="s">
        <v>566</v>
      </c>
      <c r="M113" s="378" t="n">
        <v>-0.0175</v>
      </c>
      <c r="N113" s="1" t="s">
        <v>957</v>
      </c>
      <c r="S113" s="94" t="s">
        <v>673</v>
      </c>
      <c r="T113" s="94"/>
      <c r="U113" s="149"/>
    </row>
    <row r="114" customFormat="false" ht="12.75" hidden="false" customHeight="false" outlineLevel="0" collapsed="false">
      <c r="A114" s="365" t="s">
        <v>982</v>
      </c>
      <c r="F114" s="1" t="s">
        <v>983</v>
      </c>
      <c r="L114" s="1" t="s">
        <v>567</v>
      </c>
      <c r="M114" s="1" t="n">
        <v>1</v>
      </c>
      <c r="N114" s="1" t="s">
        <v>984</v>
      </c>
      <c r="S114" s="94" t="s">
        <v>674</v>
      </c>
      <c r="T114" s="94"/>
      <c r="U114" s="149"/>
      <c r="W114" s="149"/>
    </row>
    <row r="115" customFormat="false" ht="12.75" hidden="false" customHeight="false" outlineLevel="0" collapsed="false">
      <c r="A115" s="364" t="s">
        <v>114</v>
      </c>
      <c r="B115" s="104"/>
      <c r="C115" s="382" t="n">
        <v>0.2</v>
      </c>
      <c r="D115" s="1" t="s">
        <v>985</v>
      </c>
      <c r="F115" s="165" t="n">
        <v>4.5</v>
      </c>
      <c r="L115" s="1" t="s">
        <v>568</v>
      </c>
      <c r="M115" s="379" t="n">
        <v>-0.01</v>
      </c>
      <c r="N115" s="1" t="s">
        <v>986</v>
      </c>
      <c r="S115" s="94" t="s">
        <v>676</v>
      </c>
      <c r="T115" s="94"/>
      <c r="U115" s="149"/>
    </row>
    <row r="116" customFormat="false" ht="12.75" hidden="false" customHeight="false" outlineLevel="0" collapsed="false">
      <c r="A116" s="364" t="s">
        <v>115</v>
      </c>
      <c r="B116" s="104" t="s">
        <v>111</v>
      </c>
      <c r="C116" s="382"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1" t="n">
        <v>0.015</v>
      </c>
      <c r="N117" s="1" t="s">
        <v>958</v>
      </c>
      <c r="S117" s="94" t="s">
        <v>678</v>
      </c>
      <c r="T117" s="94"/>
      <c r="U117" s="150"/>
    </row>
    <row r="118" customFormat="false" ht="12.75" hidden="false" customHeight="false" outlineLevel="0" collapsed="false">
      <c r="A118" s="364" t="s">
        <v>117</v>
      </c>
      <c r="B118" s="104"/>
      <c r="C118" s="382" t="n">
        <v>0.2</v>
      </c>
      <c r="D118" s="1" t="s">
        <v>985</v>
      </c>
      <c r="F118" s="165" t="n">
        <v>4</v>
      </c>
      <c r="L118" s="1" t="s">
        <v>570</v>
      </c>
      <c r="M118" s="378" t="n">
        <v>0.025</v>
      </c>
      <c r="N118" s="1" t="s">
        <v>951</v>
      </c>
      <c r="O118" s="149" t="n">
        <v>-0.05</v>
      </c>
      <c r="P118" s="1" t="s">
        <v>987</v>
      </c>
      <c r="S118" s="94" t="s">
        <v>679</v>
      </c>
      <c r="T118" s="94"/>
      <c r="U118" s="150"/>
      <c r="W118" s="149"/>
    </row>
    <row r="119" customFormat="false" ht="12.75" hidden="false" customHeight="false" outlineLevel="0" collapsed="false">
      <c r="A119" s="364" t="s">
        <v>119</v>
      </c>
      <c r="B119" s="104"/>
      <c r="C119" s="382" t="n">
        <v>0.2</v>
      </c>
      <c r="D119" s="1" t="s">
        <v>988</v>
      </c>
      <c r="F119" s="165" t="n">
        <v>2</v>
      </c>
      <c r="L119" s="1" t="s">
        <v>571</v>
      </c>
      <c r="M119" s="379"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4" t="s">
        <v>445</v>
      </c>
      <c r="B120" s="104" t="s">
        <v>111</v>
      </c>
      <c r="C120" s="382" t="n">
        <v>0.1</v>
      </c>
      <c r="D120" s="1" t="s">
        <v>259</v>
      </c>
      <c r="F120" s="165" t="n">
        <v>0</v>
      </c>
      <c r="L120" s="1" t="s">
        <v>572</v>
      </c>
      <c r="M120" s="378" t="n">
        <v>-0.125</v>
      </c>
      <c r="N120" s="1" t="s">
        <v>990</v>
      </c>
      <c r="S120" s="94" t="s">
        <v>683</v>
      </c>
      <c r="T120" s="94"/>
      <c r="U120" s="150"/>
    </row>
    <row r="121" customFormat="false" ht="12.75" hidden="false" customHeight="false" outlineLevel="0" collapsed="false">
      <c r="B121" s="1" t="s">
        <v>112</v>
      </c>
      <c r="C121" s="383" t="n">
        <v>0.1</v>
      </c>
      <c r="D121" s="1" t="s">
        <v>259</v>
      </c>
      <c r="F121" s="165" t="n">
        <v>0</v>
      </c>
      <c r="L121" s="1" t="s">
        <v>573</v>
      </c>
      <c r="M121" s="378" t="n">
        <v>0.01</v>
      </c>
      <c r="N121" s="1" t="s">
        <v>958</v>
      </c>
      <c r="O121" s="31"/>
      <c r="P121" s="31"/>
      <c r="S121" s="94" t="s">
        <v>685</v>
      </c>
      <c r="T121" s="94"/>
      <c r="U121" s="149"/>
    </row>
    <row r="122" customFormat="false" ht="12.75" hidden="false" customHeight="false" outlineLevel="0" collapsed="false">
      <c r="A122" s="364" t="s">
        <v>991</v>
      </c>
      <c r="B122" s="104"/>
      <c r="C122" s="382" t="n">
        <v>0.2</v>
      </c>
      <c r="D122" s="1" t="s">
        <v>988</v>
      </c>
      <c r="F122" s="165" t="n">
        <v>3</v>
      </c>
      <c r="L122" s="1" t="s">
        <v>574</v>
      </c>
      <c r="M122" s="381" t="n">
        <v>0.075</v>
      </c>
      <c r="N122" s="1" t="s">
        <v>992</v>
      </c>
      <c r="O122" s="149" t="n">
        <v>-0.05</v>
      </c>
      <c r="P122" s="1" t="s">
        <v>993</v>
      </c>
      <c r="S122" s="94" t="s">
        <v>687</v>
      </c>
      <c r="T122" s="94"/>
      <c r="U122" s="149"/>
      <c r="W122" s="149"/>
    </row>
    <row r="123" customFormat="false" ht="12.75" hidden="false" customHeight="false" outlineLevel="0" collapsed="false">
      <c r="A123" s="364" t="s">
        <v>124</v>
      </c>
      <c r="C123" s="165" t="n">
        <v>1</v>
      </c>
      <c r="D123" s="1" t="s">
        <v>994</v>
      </c>
      <c r="F123" s="165" t="n">
        <v>3</v>
      </c>
      <c r="S123" s="94"/>
      <c r="T123" s="94"/>
    </row>
    <row r="124" customFormat="false" ht="12.75" hidden="false" customHeight="false" outlineLevel="0" collapsed="false">
      <c r="A124" s="364" t="s">
        <v>126</v>
      </c>
      <c r="B124" s="165" t="s">
        <v>995</v>
      </c>
      <c r="C124" s="104" t="n">
        <v>500</v>
      </c>
      <c r="D124" s="1" t="s">
        <v>996</v>
      </c>
      <c r="F124" s="165" t="n">
        <v>0</v>
      </c>
      <c r="L124" s="1" t="s">
        <v>575</v>
      </c>
      <c r="M124" s="379" t="n">
        <v>0.3</v>
      </c>
      <c r="N124" s="1" t="s">
        <v>997</v>
      </c>
      <c r="S124" s="94" t="s">
        <v>689</v>
      </c>
      <c r="T124" s="94"/>
      <c r="U124" s="149"/>
    </row>
    <row r="125" customFormat="false" ht="12.75" hidden="false" customHeight="false" outlineLevel="0" collapsed="false">
      <c r="A125" s="364"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4" t="s">
        <v>129</v>
      </c>
      <c r="B126" s="104"/>
      <c r="C126" s="106" t="n">
        <v>0.1</v>
      </c>
      <c r="D126" s="1" t="s">
        <v>999</v>
      </c>
      <c r="F126" s="165" t="n">
        <v>4</v>
      </c>
      <c r="L126" s="1" t="s">
        <v>577</v>
      </c>
      <c r="M126" s="378" t="n">
        <v>-0.075</v>
      </c>
      <c r="N126" s="1" t="s">
        <v>993</v>
      </c>
      <c r="O126" s="150" t="n">
        <v>0.0075</v>
      </c>
      <c r="P126" s="1" t="s">
        <v>1000</v>
      </c>
      <c r="S126" s="94" t="s">
        <v>693</v>
      </c>
      <c r="T126" s="94"/>
      <c r="U126" s="149"/>
    </row>
    <row r="127" customFormat="false" ht="12.75" hidden="false" customHeight="false" outlineLevel="0" collapsed="false">
      <c r="L127" s="1" t="s">
        <v>578</v>
      </c>
      <c r="M127" s="378" t="n">
        <v>0.025</v>
      </c>
      <c r="N127" s="1" t="s">
        <v>980</v>
      </c>
      <c r="S127" s="94" t="s">
        <v>695</v>
      </c>
      <c r="T127" s="94"/>
      <c r="U127" s="150"/>
    </row>
    <row r="128" customFormat="false" ht="12.75" hidden="false" customHeight="false" outlineLevel="0" collapsed="false">
      <c r="A128" s="365" t="s">
        <v>147</v>
      </c>
      <c r="L128" s="1" t="s">
        <v>579</v>
      </c>
      <c r="M128" s="378" t="n">
        <v>-0.025</v>
      </c>
      <c r="N128" s="1" t="s">
        <v>923</v>
      </c>
      <c r="O128" s="31" t="n">
        <v>2</v>
      </c>
      <c r="P128" s="31" t="s">
        <v>1001</v>
      </c>
      <c r="S128" s="94" t="s">
        <v>697</v>
      </c>
      <c r="T128" s="94"/>
      <c r="U128" s="150"/>
    </row>
    <row r="129" customFormat="false" ht="12.75" hidden="false" customHeight="false" outlineLevel="0" collapsed="false">
      <c r="A129" s="364" t="s">
        <v>1002</v>
      </c>
      <c r="B129" s="1" t="n">
        <v>20</v>
      </c>
      <c r="S129" s="94"/>
      <c r="T129" s="94"/>
    </row>
    <row r="130" customFormat="false" ht="12.75" hidden="false" customHeight="false" outlineLevel="0" collapsed="false">
      <c r="A130" s="364" t="s">
        <v>835</v>
      </c>
      <c r="B130" s="1" t="n">
        <v>0</v>
      </c>
      <c r="C130" s="1" t="s">
        <v>1003</v>
      </c>
      <c r="L130" s="1" t="s">
        <v>580</v>
      </c>
      <c r="M130" s="379" t="n">
        <v>0.6</v>
      </c>
      <c r="N130" s="1" t="s">
        <v>1004</v>
      </c>
      <c r="S130" s="94" t="s">
        <v>699</v>
      </c>
      <c r="T130" s="94"/>
    </row>
    <row r="131" customFormat="false" ht="12.75" hidden="false" customHeight="false" outlineLevel="0" collapsed="false">
      <c r="L131" s="1" t="s">
        <v>581</v>
      </c>
      <c r="M131" s="378" t="n">
        <v>-0.075</v>
      </c>
      <c r="N131" s="1" t="s">
        <v>993</v>
      </c>
      <c r="S131" s="94" t="s">
        <v>701</v>
      </c>
      <c r="T131" s="94"/>
      <c r="U131" s="150"/>
    </row>
    <row r="132" customFormat="false" ht="12.75" hidden="false" customHeight="false" outlineLevel="0" collapsed="false">
      <c r="A132" s="365" t="s">
        <v>1005</v>
      </c>
      <c r="L132" s="1" t="s">
        <v>582</v>
      </c>
      <c r="M132" s="1" t="n">
        <v>2</v>
      </c>
      <c r="N132" s="1" t="s">
        <v>1006</v>
      </c>
      <c r="S132" s="94" t="s">
        <v>703</v>
      </c>
      <c r="T132" s="94"/>
    </row>
    <row r="133" customFormat="false" ht="12.75" hidden="false" customHeight="false" outlineLevel="0" collapsed="false">
      <c r="A133" s="364" t="s">
        <v>1007</v>
      </c>
      <c r="B133" s="1" t="s">
        <v>35</v>
      </c>
      <c r="L133" s="1" t="s">
        <v>583</v>
      </c>
      <c r="M133" s="379" t="n">
        <v>0.3</v>
      </c>
      <c r="N133" s="1" t="s">
        <v>1008</v>
      </c>
      <c r="S133" s="94" t="s">
        <v>705</v>
      </c>
      <c r="T133" s="94"/>
      <c r="U133" s="149"/>
    </row>
    <row r="134" customFormat="false" ht="12.75" hidden="false" customHeight="false" outlineLevel="0" collapsed="false">
      <c r="A134" s="364" t="s">
        <v>480</v>
      </c>
      <c r="B134" s="1" t="s">
        <v>35</v>
      </c>
      <c r="S134" s="94"/>
      <c r="T134" s="94"/>
    </row>
    <row r="135" customFormat="false" ht="12.75" hidden="false" customHeight="false" outlineLevel="0" collapsed="false">
      <c r="A135" s="364" t="s">
        <v>476</v>
      </c>
      <c r="B135" s="1" t="s">
        <v>35</v>
      </c>
      <c r="L135" s="1" t="s">
        <v>584</v>
      </c>
      <c r="M135" s="379" t="n">
        <v>-0.15</v>
      </c>
      <c r="N135" s="1" t="s">
        <v>921</v>
      </c>
      <c r="O135" s="149" t="n">
        <v>-0.05</v>
      </c>
      <c r="P135" s="1" t="s">
        <v>922</v>
      </c>
      <c r="S135" s="94" t="s">
        <v>707</v>
      </c>
      <c r="T135" s="94"/>
      <c r="U135" s="149"/>
      <c r="W135" s="149"/>
    </row>
    <row r="136" customFormat="false" ht="12.75" hidden="false" customHeight="false" outlineLevel="0" collapsed="false">
      <c r="A136" s="364" t="s">
        <v>113</v>
      </c>
      <c r="B136" s="1" t="s">
        <v>35</v>
      </c>
      <c r="L136" s="1" t="s">
        <v>585</v>
      </c>
      <c r="M136" s="378" t="n">
        <v>-0.05</v>
      </c>
      <c r="N136" s="1" t="s">
        <v>935</v>
      </c>
      <c r="S136" s="94" t="s">
        <v>709</v>
      </c>
      <c r="T136" s="94"/>
      <c r="U136" s="150"/>
    </row>
    <row r="137" customFormat="false" ht="12.75" hidden="false" customHeight="false" outlineLevel="0" collapsed="false">
      <c r="A137" s="364" t="s">
        <v>134</v>
      </c>
      <c r="B137" s="1" t="s">
        <v>35</v>
      </c>
      <c r="L137" s="1" t="s">
        <v>586</v>
      </c>
      <c r="M137" s="379" t="n">
        <v>-0.25</v>
      </c>
      <c r="N137" s="1" t="s">
        <v>1009</v>
      </c>
      <c r="S137" s="94" t="s">
        <v>711</v>
      </c>
      <c r="T137" s="94"/>
      <c r="U137" s="149"/>
    </row>
    <row r="138" customFormat="false" ht="12.75" hidden="false" customHeight="false" outlineLevel="0" collapsed="false">
      <c r="A138" s="364" t="s">
        <v>118</v>
      </c>
      <c r="B138" s="1" t="s">
        <v>35</v>
      </c>
      <c r="S138" s="94"/>
      <c r="T138" s="94"/>
    </row>
    <row r="139" customFormat="false" ht="12.75" hidden="false" customHeight="false" outlineLevel="0" collapsed="false">
      <c r="A139" s="364" t="s">
        <v>1010</v>
      </c>
      <c r="B139" s="1" t="s">
        <v>35</v>
      </c>
      <c r="L139" s="1" t="s">
        <v>587</v>
      </c>
      <c r="M139" s="381" t="n">
        <v>0.075</v>
      </c>
      <c r="N139" s="1" t="s">
        <v>1011</v>
      </c>
      <c r="S139" s="94" t="s">
        <v>713</v>
      </c>
      <c r="T139" s="94"/>
      <c r="U139" s="150"/>
    </row>
    <row r="140" customFormat="false" ht="12.75" hidden="false" customHeight="false" outlineLevel="0" collapsed="false">
      <c r="A140" s="364" t="s">
        <v>116</v>
      </c>
      <c r="B140" s="1" t="s">
        <v>93</v>
      </c>
      <c r="L140" s="1" t="s">
        <v>588</v>
      </c>
      <c r="M140" s="378" t="n">
        <v>-0.075</v>
      </c>
      <c r="N140" s="1" t="s">
        <v>990</v>
      </c>
      <c r="S140" s="94" t="s">
        <v>715</v>
      </c>
      <c r="T140" s="94"/>
      <c r="U140" s="149"/>
    </row>
    <row r="141" customFormat="false" ht="12.75" hidden="false" customHeight="false" outlineLevel="0" collapsed="false">
      <c r="A141" s="364" t="s">
        <v>1012</v>
      </c>
      <c r="B141" s="1" t="s">
        <v>35</v>
      </c>
    </row>
    <row r="142" customFormat="false" ht="12.75" hidden="false" customHeight="false" outlineLevel="0" collapsed="false">
      <c r="A142" s="364" t="s">
        <v>1013</v>
      </c>
      <c r="B142" s="1" t="s">
        <v>35</v>
      </c>
      <c r="L142" s="1" t="s">
        <v>589</v>
      </c>
      <c r="M142" s="379" t="n">
        <v>-0.05</v>
      </c>
      <c r="N142" s="1" t="s">
        <v>993</v>
      </c>
      <c r="S142" s="1" t="s">
        <v>717</v>
      </c>
      <c r="U142" s="149"/>
    </row>
    <row r="143" customFormat="false" ht="12.75" hidden="false" customHeight="false" outlineLevel="0" collapsed="false">
      <c r="A143" s="364" t="s">
        <v>120</v>
      </c>
      <c r="B143" s="1" t="s">
        <v>35</v>
      </c>
    </row>
    <row r="144" customFormat="false" ht="12.75" hidden="false" customHeight="false" outlineLevel="0" collapsed="false">
      <c r="A144" s="364" t="s">
        <v>1014</v>
      </c>
      <c r="B144" s="1" t="s">
        <v>95</v>
      </c>
      <c r="L144" s="151" t="b">
        <f aca="false">OR(race=L145,race=L146,race=L147)</f>
        <v>1</v>
      </c>
      <c r="M144" s="1" t="n">
        <f aca="false">IF(L144=FALSE(),1,2)</f>
        <v>2</v>
      </c>
    </row>
    <row r="145" customFormat="false" ht="12.75" hidden="false" customHeight="false" outlineLevel="0" collapsed="false">
      <c r="A145" s="364" t="s">
        <v>1015</v>
      </c>
      <c r="B145" s="1" t="s">
        <v>95</v>
      </c>
      <c r="L145" s="1" t="s">
        <v>1012</v>
      </c>
    </row>
    <row r="146" customFormat="false" ht="12.75" hidden="false" customHeight="false" outlineLevel="0" collapsed="false">
      <c r="A146" s="364" t="s">
        <v>1016</v>
      </c>
      <c r="B146" s="1" t="s">
        <v>35</v>
      </c>
      <c r="L146" s="1" t="s">
        <v>1016</v>
      </c>
    </row>
    <row r="147" customFormat="false" ht="12.75" hidden="false" customHeight="false" outlineLevel="0" collapsed="false">
      <c r="A147" s="364" t="s">
        <v>131</v>
      </c>
      <c r="B147" s="1" t="s">
        <v>35</v>
      </c>
      <c r="L147" s="94" t="s">
        <v>9</v>
      </c>
      <c r="M147" s="149"/>
    </row>
    <row r="148" customFormat="false" ht="12.75" hidden="false" customHeight="false" outlineLevel="0" collapsed="false">
      <c r="A148" s="364" t="s">
        <v>136</v>
      </c>
      <c r="B148" s="1" t="s">
        <v>35</v>
      </c>
      <c r="L148" s="94"/>
    </row>
    <row r="149" customFormat="false" ht="12.75" hidden="false" customHeight="false" outlineLevel="0" collapsed="false">
      <c r="A149" s="364" t="s">
        <v>122</v>
      </c>
      <c r="B149" s="1" t="s">
        <v>35</v>
      </c>
      <c r="L149" s="94"/>
      <c r="M149" s="149"/>
    </row>
    <row r="150" customFormat="false" ht="12.75" hidden="false" customHeight="false" outlineLevel="0" collapsed="false">
      <c r="A150" s="364" t="s">
        <v>9</v>
      </c>
      <c r="B150" s="1" t="s">
        <v>35</v>
      </c>
    </row>
    <row r="151" customFormat="false" ht="12.75" hidden="false" customHeight="false" outlineLevel="0" collapsed="false">
      <c r="A151" s="364" t="s">
        <v>125</v>
      </c>
      <c r="B151" s="1" t="s">
        <v>93</v>
      </c>
    </row>
    <row r="152" customFormat="false" ht="12.75" hidden="false" customHeight="false" outlineLevel="0" collapsed="false">
      <c r="A152" s="364" t="s">
        <v>128</v>
      </c>
      <c r="B152" s="1" t="s">
        <v>95</v>
      </c>
    </row>
    <row r="153" customFormat="false" ht="12.75" hidden="false" customHeight="false" outlineLevel="0" collapsed="false">
      <c r="A153" s="364" t="s">
        <v>1017</v>
      </c>
      <c r="B153" s="1" t="s">
        <v>95</v>
      </c>
    </row>
    <row r="155" customFormat="false" ht="12.75" hidden="false" customHeight="false" outlineLevel="0" collapsed="false">
      <c r="A155" s="365" t="s">
        <v>1018</v>
      </c>
    </row>
    <row r="156" customFormat="false" ht="12.75" hidden="false" customHeight="false" outlineLevel="0" collapsed="false">
      <c r="A156" s="364" t="s">
        <v>34</v>
      </c>
      <c r="B156" s="1" t="n">
        <v>1</v>
      </c>
    </row>
    <row r="157" customFormat="false" ht="12.75" hidden="false" customHeight="false" outlineLevel="0" collapsed="false">
      <c r="A157" s="364" t="s">
        <v>93</v>
      </c>
      <c r="B157" s="1" t="n">
        <v>2</v>
      </c>
    </row>
    <row r="158" customFormat="false" ht="12.75" hidden="false" customHeight="false" outlineLevel="0" collapsed="false">
      <c r="A158" s="364" t="s">
        <v>35</v>
      </c>
      <c r="B158" s="1" t="n">
        <v>2</v>
      </c>
    </row>
    <row r="159" customFormat="false" ht="12.75" hidden="false" customHeight="false" outlineLevel="0" collapsed="false">
      <c r="A159" s="364" t="s">
        <v>97</v>
      </c>
      <c r="B159" s="1" t="n">
        <v>12</v>
      </c>
    </row>
    <row r="161" customFormat="false" ht="12.75" hidden="false" customHeight="false" outlineLevel="0" collapsed="false">
      <c r="A161" s="365" t="s">
        <v>1019</v>
      </c>
    </row>
    <row r="162" customFormat="false" ht="12.75" hidden="false" customHeight="false" outlineLevel="0" collapsed="false">
      <c r="A162" s="364" t="s">
        <v>92</v>
      </c>
      <c r="B162" s="149" t="n">
        <v>0.75</v>
      </c>
    </row>
    <row r="164" customFormat="false" ht="12.75" hidden="false" customHeight="false" outlineLevel="0" collapsed="false">
      <c r="A164" s="365" t="s">
        <v>1020</v>
      </c>
    </row>
    <row r="165" customFormat="false" ht="12.75" hidden="false" customHeight="false" outlineLevel="0" collapsed="false">
      <c r="A165" s="364" t="s">
        <v>841</v>
      </c>
      <c r="B165" s="1" t="n">
        <v>5</v>
      </c>
    </row>
  </sheetData>
  <conditionalFormatting sqref="J25:L25">
    <cfRule type="expression" priority="2" aboveAverage="0" equalAverage="0" bottom="0" percent="0" rank="0" text="" dxfId="115">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4"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5" width="7"/>
    <col collapsed="false" customWidth="true" hidden="false" outlineLevel="0" max="26" min="25" style="328" width="7"/>
    <col collapsed="false" customWidth="false" hidden="false" outlineLevel="0" max="16384" min="27" style="328" width="9.14"/>
  </cols>
  <sheetData>
    <row r="1" s="386" customFormat="true" ht="19.5" hidden="false" customHeight="true" outlineLevel="0" collapsed="false">
      <c r="A1" s="386" t="s">
        <v>1021</v>
      </c>
      <c r="E1" s="387"/>
      <c r="F1" s="387"/>
      <c r="G1" s="387"/>
      <c r="X1" s="388"/>
    </row>
    <row r="2" customFormat="false" ht="19.5" hidden="false" customHeight="true" outlineLevel="0" collapsed="false">
      <c r="A2" s="328"/>
    </row>
    <row r="3" s="386" customFormat="true" ht="19.5" hidden="false" customHeight="true" outlineLevel="0" collapsed="false">
      <c r="A3" s="386" t="s">
        <v>1022</v>
      </c>
      <c r="D3" s="386" t="s">
        <v>1023</v>
      </c>
      <c r="E3" s="387"/>
      <c r="F3" s="387"/>
      <c r="G3" s="387"/>
      <c r="J3" s="386" t="s">
        <v>723</v>
      </c>
      <c r="X3" s="388"/>
    </row>
    <row r="4" customFormat="false" ht="87" hidden="false" customHeight="true" outlineLevel="0" collapsed="false">
      <c r="A4" s="386" t="s">
        <v>8</v>
      </c>
      <c r="B4" s="386" t="s">
        <v>1024</v>
      </c>
      <c r="C4" s="386" t="s">
        <v>1025</v>
      </c>
      <c r="D4" s="386" t="s">
        <v>1026</v>
      </c>
      <c r="E4" s="387" t="s">
        <v>1027</v>
      </c>
      <c r="F4" s="387" t="s">
        <v>1028</v>
      </c>
      <c r="G4" s="387" t="s">
        <v>1029</v>
      </c>
      <c r="H4" s="389" t="s">
        <v>1030</v>
      </c>
      <c r="I4" s="389" t="s">
        <v>36</v>
      </c>
      <c r="J4" s="390" t="s">
        <v>16</v>
      </c>
      <c r="K4" s="390" t="s">
        <v>21</v>
      </c>
      <c r="L4" s="390" t="s">
        <v>25</v>
      </c>
      <c r="M4" s="390" t="s">
        <v>28</v>
      </c>
      <c r="N4" s="390" t="s">
        <v>29</v>
      </c>
      <c r="O4" s="390" t="s">
        <v>30</v>
      </c>
      <c r="P4" s="390" t="s">
        <v>37</v>
      </c>
      <c r="Q4" s="390" t="s">
        <v>38</v>
      </c>
      <c r="R4" s="390" t="s">
        <v>39</v>
      </c>
      <c r="S4" s="390" t="s">
        <v>33</v>
      </c>
      <c r="T4" s="390" t="s">
        <v>32</v>
      </c>
      <c r="U4" s="391" t="s">
        <v>41</v>
      </c>
      <c r="V4" s="390" t="s">
        <v>43</v>
      </c>
      <c r="W4" s="390" t="s">
        <v>45</v>
      </c>
      <c r="X4" s="390" t="s">
        <v>47</v>
      </c>
      <c r="Y4" s="390" t="s">
        <v>49</v>
      </c>
      <c r="Z4" s="390" t="s">
        <v>50</v>
      </c>
      <c r="AA4" s="390" t="s">
        <v>51</v>
      </c>
    </row>
    <row r="5" s="398" customFormat="true" ht="19.5" hidden="false" customHeight="true" outlineLevel="0" collapsed="false">
      <c r="A5" s="328" t="s">
        <v>1007</v>
      </c>
      <c r="B5" s="392" t="s">
        <v>1031</v>
      </c>
      <c r="C5" s="328" t="s">
        <v>236</v>
      </c>
      <c r="D5" s="393" t="s">
        <v>1032</v>
      </c>
      <c r="E5" s="68" t="n">
        <v>3</v>
      </c>
      <c r="F5" s="68"/>
      <c r="G5" s="68" t="n">
        <v>275</v>
      </c>
      <c r="H5" s="328" t="n">
        <v>25</v>
      </c>
      <c r="I5" s="392" t="n">
        <v>5</v>
      </c>
      <c r="J5" s="394"/>
      <c r="K5" s="395"/>
      <c r="L5" s="395"/>
      <c r="M5" s="395" t="n">
        <v>0.05</v>
      </c>
      <c r="N5" s="395"/>
      <c r="O5" s="395"/>
      <c r="P5" s="395"/>
      <c r="Q5" s="395"/>
      <c r="R5" s="395"/>
      <c r="S5" s="395"/>
      <c r="T5" s="395"/>
      <c r="U5" s="395"/>
      <c r="V5" s="395"/>
      <c r="W5" s="68"/>
      <c r="X5" s="396"/>
      <c r="Y5" s="68"/>
      <c r="Z5" s="68"/>
      <c r="AA5" s="397"/>
    </row>
    <row r="6" customFormat="false" ht="19.5" hidden="false" customHeight="true" outlineLevel="0" collapsed="false">
      <c r="A6" s="328" t="s">
        <v>1007</v>
      </c>
      <c r="B6" s="392" t="s">
        <v>1031</v>
      </c>
      <c r="C6" s="328" t="s">
        <v>236</v>
      </c>
      <c r="D6" s="393" t="s">
        <v>1033</v>
      </c>
      <c r="F6" s="68" t="n">
        <v>3</v>
      </c>
      <c r="G6" s="68" t="n">
        <v>275</v>
      </c>
      <c r="H6" s="328" t="n">
        <v>15</v>
      </c>
      <c r="I6" s="392" t="n">
        <v>5</v>
      </c>
      <c r="J6" s="394"/>
      <c r="K6" s="395"/>
      <c r="L6" s="395"/>
      <c r="M6" s="395"/>
      <c r="N6" s="395"/>
      <c r="O6" s="395"/>
      <c r="P6" s="395"/>
      <c r="Q6" s="395"/>
      <c r="R6" s="395"/>
      <c r="S6" s="395"/>
      <c r="T6" s="395"/>
      <c r="U6" s="395"/>
      <c r="V6" s="395"/>
      <c r="W6" s="68"/>
      <c r="X6" s="396"/>
      <c r="Y6" s="68"/>
      <c r="Z6" s="68"/>
      <c r="AA6" s="397"/>
    </row>
    <row r="7" customFormat="false" ht="19.5" hidden="false" customHeight="true" outlineLevel="0" collapsed="false">
      <c r="A7" s="328" t="s">
        <v>1007</v>
      </c>
      <c r="B7" s="392" t="s">
        <v>1031</v>
      </c>
      <c r="C7" s="328" t="s">
        <v>236</v>
      </c>
      <c r="D7" s="393" t="s">
        <v>1034</v>
      </c>
      <c r="E7" s="68" t="n">
        <v>2</v>
      </c>
      <c r="F7" s="68" t="n">
        <v>6</v>
      </c>
      <c r="G7" s="68" t="n">
        <v>1000</v>
      </c>
      <c r="H7" s="328" t="n">
        <v>75</v>
      </c>
      <c r="I7" s="392" t="n">
        <f aca="false">1.8 * MIN(6, MAX(E7,F7)) + 0.45 * MIN(6, MIN(E7,F7)) + IF(E7&gt;6, (E7-6)*0.2) + IF(F7&gt;6, (F7-6)*0.2)</f>
        <v>11.7</v>
      </c>
      <c r="J7" s="394"/>
      <c r="K7" s="395"/>
      <c r="L7" s="395"/>
      <c r="M7" s="395"/>
      <c r="N7" s="395"/>
      <c r="O7" s="395"/>
      <c r="P7" s="395"/>
      <c r="Q7" s="395"/>
      <c r="R7" s="395"/>
      <c r="S7" s="395"/>
      <c r="T7" s="395"/>
      <c r="U7" s="395"/>
      <c r="V7" s="395"/>
      <c r="W7" s="68"/>
      <c r="X7" s="396"/>
      <c r="Y7" s="68"/>
      <c r="Z7" s="68"/>
      <c r="AA7" s="397"/>
    </row>
    <row r="8" s="401" customFormat="true" ht="19.5" hidden="false" customHeight="true" outlineLevel="0" collapsed="false">
      <c r="A8" s="328" t="s">
        <v>1007</v>
      </c>
      <c r="B8" s="392" t="s">
        <v>1031</v>
      </c>
      <c r="C8" s="328" t="s">
        <v>236</v>
      </c>
      <c r="D8" s="399" t="s">
        <v>1035</v>
      </c>
      <c r="E8" s="400" t="n">
        <v>6</v>
      </c>
      <c r="F8" s="400" t="n">
        <v>3</v>
      </c>
      <c r="G8" s="400" t="n">
        <v>1250</v>
      </c>
      <c r="H8" s="401" t="n">
        <v>100</v>
      </c>
      <c r="I8" s="392" t="n">
        <f aca="false">1.8 * MIN(6, MAX(E8,F8)) + 0.45 * MIN(6, MIN(E8,F8)) + IF(E8&gt;6, (E8-6)*0.2) + IF(F8&gt;6, (F8-6)*0.2)</f>
        <v>12.15</v>
      </c>
      <c r="J8" s="402"/>
      <c r="K8" s="403"/>
      <c r="L8" s="403"/>
      <c r="M8" s="403"/>
      <c r="N8" s="403"/>
      <c r="O8" s="403"/>
      <c r="P8" s="403"/>
      <c r="Q8" s="403"/>
      <c r="R8" s="403"/>
      <c r="S8" s="403"/>
      <c r="T8" s="403"/>
      <c r="U8" s="403"/>
      <c r="V8" s="403"/>
      <c r="W8" s="400"/>
      <c r="X8" s="404"/>
      <c r="Y8" s="400"/>
      <c r="Z8" s="400"/>
      <c r="AA8" s="405"/>
    </row>
    <row r="9" s="398" customFormat="true" ht="19.5" hidden="false" customHeight="true" outlineLevel="0" collapsed="false">
      <c r="A9" s="398" t="s">
        <v>480</v>
      </c>
      <c r="B9" s="406" t="s">
        <v>1036</v>
      </c>
      <c r="C9" s="398" t="s">
        <v>236</v>
      </c>
      <c r="D9" s="407" t="s">
        <v>1037</v>
      </c>
      <c r="E9" s="408" t="n">
        <v>3</v>
      </c>
      <c r="F9" s="408"/>
      <c r="G9" s="408" t="n">
        <v>325</v>
      </c>
      <c r="H9" s="398" t="n">
        <v>25</v>
      </c>
      <c r="I9" s="406" t="n">
        <v>5</v>
      </c>
      <c r="J9" s="409"/>
      <c r="K9" s="410"/>
      <c r="L9" s="410"/>
      <c r="M9" s="410"/>
      <c r="N9" s="410"/>
      <c r="O9" s="410"/>
      <c r="P9" s="410"/>
      <c r="Q9" s="410"/>
      <c r="R9" s="410"/>
      <c r="S9" s="410"/>
      <c r="T9" s="410"/>
      <c r="U9" s="410"/>
      <c r="V9" s="410"/>
      <c r="W9" s="68"/>
      <c r="X9" s="396"/>
      <c r="Y9" s="410"/>
      <c r="Z9" s="408"/>
      <c r="AA9" s="397"/>
    </row>
    <row r="10" customFormat="false" ht="19.5" hidden="false" customHeight="true" outlineLevel="0" collapsed="false">
      <c r="A10" s="328" t="s">
        <v>480</v>
      </c>
      <c r="B10" s="392" t="s">
        <v>1036</v>
      </c>
      <c r="C10" s="328" t="s">
        <v>236</v>
      </c>
      <c r="D10" s="393" t="s">
        <v>1038</v>
      </c>
      <c r="F10" s="68" t="n">
        <v>3</v>
      </c>
      <c r="G10" s="68" t="n">
        <v>285</v>
      </c>
      <c r="H10" s="328" t="n">
        <v>15</v>
      </c>
      <c r="I10" s="392" t="n">
        <v>5</v>
      </c>
      <c r="J10" s="394"/>
      <c r="K10" s="395"/>
      <c r="L10" s="395"/>
      <c r="M10" s="395"/>
      <c r="N10" s="395"/>
      <c r="O10" s="395"/>
      <c r="P10" s="395"/>
      <c r="Q10" s="395"/>
      <c r="R10" s="395"/>
      <c r="S10" s="395"/>
      <c r="T10" s="395"/>
      <c r="U10" s="395"/>
      <c r="V10" s="395"/>
      <c r="W10" s="68"/>
      <c r="X10" s="396"/>
      <c r="Y10" s="68"/>
      <c r="Z10" s="68"/>
      <c r="AA10" s="397"/>
    </row>
    <row r="11" customFormat="false" ht="19.5" hidden="false" customHeight="true" outlineLevel="0" collapsed="false">
      <c r="A11" s="328" t="s">
        <v>480</v>
      </c>
      <c r="B11" s="392" t="s">
        <v>1036</v>
      </c>
      <c r="C11" s="328" t="s">
        <v>236</v>
      </c>
      <c r="D11" s="393" t="s">
        <v>1039</v>
      </c>
      <c r="E11" s="68" t="n">
        <v>2</v>
      </c>
      <c r="F11" s="68" t="n">
        <v>5</v>
      </c>
      <c r="G11" s="68" t="n">
        <v>1000</v>
      </c>
      <c r="H11" s="328" t="n">
        <v>25</v>
      </c>
      <c r="I11" s="392" t="n">
        <f aca="false">1.8 * MIN(6, MAX(E11,F11)) + 0.45 * MIN(6, MIN(E11,F11)) + IF(E11&gt;6, (E11-6)*0.2) + IF(F11&gt;6, (F11-6)*0.2)</f>
        <v>9.9</v>
      </c>
      <c r="J11" s="394"/>
      <c r="K11" s="395"/>
      <c r="L11" s="395"/>
      <c r="M11" s="395"/>
      <c r="N11" s="395"/>
      <c r="O11" s="395"/>
      <c r="P11" s="395"/>
      <c r="Q11" s="395"/>
      <c r="R11" s="395"/>
      <c r="S11" s="395"/>
      <c r="T11" s="395"/>
      <c r="U11" s="395"/>
      <c r="V11" s="395"/>
      <c r="W11" s="68"/>
      <c r="X11" s="396"/>
      <c r="Y11" s="68"/>
      <c r="Z11" s="68"/>
      <c r="AA11" s="397"/>
    </row>
    <row r="12" customFormat="false" ht="19.5" hidden="false" customHeight="true" outlineLevel="0" collapsed="false">
      <c r="A12" s="328" t="s">
        <v>480</v>
      </c>
      <c r="B12" s="392" t="s">
        <v>1036</v>
      </c>
      <c r="C12" s="328" t="s">
        <v>236</v>
      </c>
      <c r="D12" s="393" t="s">
        <v>1040</v>
      </c>
      <c r="E12" s="68" t="n">
        <v>6</v>
      </c>
      <c r="F12" s="68" t="n">
        <v>3</v>
      </c>
      <c r="G12" s="68" t="n">
        <v>1150</v>
      </c>
      <c r="H12" s="328" t="n">
        <v>40</v>
      </c>
      <c r="I12" s="392" t="n">
        <f aca="false">1.8 * MIN(6, MAX(E12,F12)) + 0.45 * MIN(6, MIN(E12,F12)) + IF(E12&gt;6, (E12-6)*0.2) + IF(F12&gt;6, (F12-6)*0.2)</f>
        <v>12.15</v>
      </c>
      <c r="J12" s="394"/>
      <c r="K12" s="395"/>
      <c r="L12" s="395"/>
      <c r="M12" s="395"/>
      <c r="N12" s="395"/>
      <c r="O12" s="395"/>
      <c r="P12" s="395"/>
      <c r="Q12" s="395"/>
      <c r="R12" s="395"/>
      <c r="S12" s="395"/>
      <c r="T12" s="395"/>
      <c r="U12" s="395"/>
      <c r="V12" s="395"/>
      <c r="W12" s="400"/>
      <c r="X12" s="404"/>
      <c r="Y12" s="68"/>
      <c r="Z12" s="68"/>
      <c r="AA12" s="405"/>
    </row>
    <row r="13" s="398" customFormat="true" ht="19.5" hidden="false" customHeight="true" outlineLevel="0" collapsed="false">
      <c r="A13" s="398" t="s">
        <v>476</v>
      </c>
      <c r="B13" s="406" t="s">
        <v>1031</v>
      </c>
      <c r="C13" s="398" t="s">
        <v>238</v>
      </c>
      <c r="D13" s="407" t="s">
        <v>1041</v>
      </c>
      <c r="E13" s="408" t="n">
        <v>3</v>
      </c>
      <c r="F13" s="408"/>
      <c r="G13" s="408" t="n">
        <v>275</v>
      </c>
      <c r="H13" s="398" t="n">
        <v>25</v>
      </c>
      <c r="I13" s="406" t="n">
        <v>5</v>
      </c>
      <c r="J13" s="409" t="n">
        <v>0.075</v>
      </c>
      <c r="K13" s="410"/>
      <c r="L13" s="410"/>
      <c r="M13" s="410"/>
      <c r="N13" s="410"/>
      <c r="O13" s="410"/>
      <c r="P13" s="410" t="n">
        <v>0.1</v>
      </c>
      <c r="Q13" s="410"/>
      <c r="R13" s="410"/>
      <c r="S13" s="410"/>
      <c r="T13" s="410"/>
      <c r="U13" s="410"/>
      <c r="V13" s="410"/>
      <c r="W13" s="395"/>
      <c r="X13" s="396"/>
      <c r="Y13" s="408"/>
      <c r="Z13" s="408"/>
      <c r="AA13" s="397"/>
    </row>
    <row r="14" customFormat="false" ht="19.5" hidden="false" customHeight="true" outlineLevel="0" collapsed="false">
      <c r="A14" s="328" t="s">
        <v>476</v>
      </c>
      <c r="B14" s="392" t="s">
        <v>1031</v>
      </c>
      <c r="C14" s="328" t="s">
        <v>238</v>
      </c>
      <c r="D14" s="393" t="s">
        <v>1042</v>
      </c>
      <c r="F14" s="68" t="n">
        <v>3</v>
      </c>
      <c r="G14" s="68" t="n">
        <v>350</v>
      </c>
      <c r="H14" s="328" t="n">
        <v>20</v>
      </c>
      <c r="I14" s="392" t="n">
        <v>5</v>
      </c>
      <c r="J14" s="394"/>
      <c r="K14" s="395"/>
      <c r="L14" s="395"/>
      <c r="M14" s="395"/>
      <c r="N14" s="395"/>
      <c r="O14" s="395"/>
      <c r="P14" s="395"/>
      <c r="Q14" s="395"/>
      <c r="R14" s="395"/>
      <c r="S14" s="395"/>
      <c r="T14" s="395"/>
      <c r="U14" s="395"/>
      <c r="V14" s="395"/>
      <c r="W14" s="68"/>
      <c r="X14" s="396"/>
      <c r="Y14" s="68"/>
      <c r="Z14" s="68"/>
      <c r="AA14" s="397"/>
    </row>
    <row r="15" customFormat="false" ht="19.5" hidden="false" customHeight="true" outlineLevel="0" collapsed="false">
      <c r="A15" s="328" t="s">
        <v>476</v>
      </c>
      <c r="B15" s="392" t="s">
        <v>1031</v>
      </c>
      <c r="C15" s="328" t="s">
        <v>238</v>
      </c>
      <c r="D15" s="393" t="s">
        <v>1043</v>
      </c>
      <c r="E15" s="68" t="n">
        <v>4</v>
      </c>
      <c r="F15" s="68" t="n">
        <v>4.5</v>
      </c>
      <c r="G15" s="68" t="n">
        <v>835</v>
      </c>
      <c r="H15" s="328" t="n">
        <v>0</v>
      </c>
      <c r="I15" s="392" t="n">
        <f aca="false">1.8 * MIN(6, MAX(E15,F15)) + 0.45 * MIN(6, MIN(E15,F15)) + IF(E15&gt;6, (E15-6)*0.2) + IF(F15&gt;6, (F15-6)*0.2)</f>
        <v>9.9</v>
      </c>
      <c r="J15" s="394"/>
      <c r="K15" s="395"/>
      <c r="L15" s="395"/>
      <c r="M15" s="395"/>
      <c r="N15" s="395"/>
      <c r="O15" s="395"/>
      <c r="P15" s="395"/>
      <c r="Q15" s="395"/>
      <c r="R15" s="395"/>
      <c r="S15" s="395"/>
      <c r="T15" s="395"/>
      <c r="U15" s="395"/>
      <c r="V15" s="395"/>
      <c r="W15" s="68"/>
      <c r="X15" s="396"/>
      <c r="Y15" s="68"/>
      <c r="Z15" s="68"/>
      <c r="AA15" s="397"/>
    </row>
    <row r="16" s="401" customFormat="true" ht="19.5" hidden="false" customHeight="true" outlineLevel="0" collapsed="false">
      <c r="A16" s="401" t="s">
        <v>476</v>
      </c>
      <c r="B16" s="411" t="s">
        <v>1031</v>
      </c>
      <c r="C16" s="401" t="s">
        <v>238</v>
      </c>
      <c r="D16" s="399" t="s">
        <v>1044</v>
      </c>
      <c r="E16" s="400" t="n">
        <v>7</v>
      </c>
      <c r="F16" s="400" t="n">
        <v>2</v>
      </c>
      <c r="G16" s="400" t="n">
        <v>1215</v>
      </c>
      <c r="H16" s="401" t="n">
        <v>85</v>
      </c>
      <c r="I16" s="392" t="n">
        <f aca="false">1.8 * MIN(6, MAX(E16,F16)) + 0.45 * MIN(6, MIN(E16,F16)) + IF(E16&gt;6, (E16-6)*0.2) + IF(F16&gt;6, (F16-6)*0.2)</f>
        <v>11.9</v>
      </c>
      <c r="J16" s="402"/>
      <c r="K16" s="403"/>
      <c r="L16" s="403"/>
      <c r="M16" s="403"/>
      <c r="N16" s="403"/>
      <c r="O16" s="403"/>
      <c r="P16" s="403"/>
      <c r="Q16" s="403"/>
      <c r="R16" s="403"/>
      <c r="S16" s="403"/>
      <c r="T16" s="403"/>
      <c r="U16" s="403"/>
      <c r="V16" s="403"/>
      <c r="W16" s="400"/>
      <c r="X16" s="404"/>
      <c r="Y16" s="400"/>
      <c r="Z16" s="400"/>
      <c r="AA16" s="405"/>
    </row>
    <row r="17" s="398" customFormat="true" ht="19.5" hidden="false" customHeight="true" outlineLevel="0" collapsed="false">
      <c r="A17" s="398" t="s">
        <v>113</v>
      </c>
      <c r="B17" s="406" t="s">
        <v>1031</v>
      </c>
      <c r="C17" s="398" t="s">
        <v>237</v>
      </c>
      <c r="D17" s="407" t="s">
        <v>1045</v>
      </c>
      <c r="E17" s="408" t="n">
        <v>3</v>
      </c>
      <c r="F17" s="408"/>
      <c r="G17" s="408" t="n">
        <v>275</v>
      </c>
      <c r="H17" s="398" t="n">
        <v>25</v>
      </c>
      <c r="I17" s="406" t="n">
        <v>5</v>
      </c>
      <c r="J17" s="409" t="n">
        <v>-0.05</v>
      </c>
      <c r="K17" s="410"/>
      <c r="L17" s="410"/>
      <c r="M17" s="410"/>
      <c r="N17" s="410" t="n">
        <v>0.1</v>
      </c>
      <c r="O17" s="410"/>
      <c r="P17" s="410"/>
      <c r="Q17" s="410"/>
      <c r="R17" s="410"/>
      <c r="S17" s="410"/>
      <c r="T17" s="409" t="n">
        <v>0.025</v>
      </c>
      <c r="U17" s="410" t="n">
        <v>0.1</v>
      </c>
      <c r="V17" s="410" t="n">
        <v>0.1</v>
      </c>
      <c r="W17" s="68"/>
      <c r="X17" s="396" t="n">
        <v>0.1</v>
      </c>
      <c r="Y17" s="408"/>
      <c r="Z17" s="408"/>
      <c r="AA17" s="397"/>
    </row>
    <row r="18" customFormat="false" ht="19.5" hidden="false" customHeight="true" outlineLevel="0" collapsed="false">
      <c r="A18" s="328" t="s">
        <v>113</v>
      </c>
      <c r="B18" s="392" t="s">
        <v>1031</v>
      </c>
      <c r="C18" s="328" t="s">
        <v>237</v>
      </c>
      <c r="D18" s="393" t="s">
        <v>1046</v>
      </c>
      <c r="F18" s="68" t="n">
        <v>4</v>
      </c>
      <c r="G18" s="68" t="n">
        <v>360</v>
      </c>
      <c r="H18" s="328" t="n">
        <v>10</v>
      </c>
      <c r="I18" s="392" t="n">
        <v>5</v>
      </c>
      <c r="J18" s="394"/>
      <c r="K18" s="395"/>
      <c r="L18" s="395"/>
      <c r="M18" s="395"/>
      <c r="N18" s="395"/>
      <c r="O18" s="395"/>
      <c r="P18" s="395"/>
      <c r="Q18" s="395"/>
      <c r="R18" s="395"/>
      <c r="S18" s="395"/>
      <c r="T18" s="395"/>
      <c r="U18" s="395"/>
      <c r="V18" s="395"/>
      <c r="W18" s="68"/>
      <c r="X18" s="396"/>
      <c r="Y18" s="68"/>
      <c r="Z18" s="68"/>
      <c r="AA18" s="397"/>
    </row>
    <row r="19" customFormat="false" ht="19.5" hidden="false" customHeight="true" outlineLevel="0" collapsed="false">
      <c r="A19" s="328" t="s">
        <v>113</v>
      </c>
      <c r="B19" s="392" t="s">
        <v>1031</v>
      </c>
      <c r="C19" s="328" t="s">
        <v>237</v>
      </c>
      <c r="D19" s="393" t="s">
        <v>114</v>
      </c>
      <c r="E19" s="68" t="n">
        <v>0</v>
      </c>
      <c r="F19" s="68" t="n">
        <v>4</v>
      </c>
      <c r="G19" s="68" t="n">
        <v>1150</v>
      </c>
      <c r="H19" s="328" t="n">
        <v>0</v>
      </c>
      <c r="I19" s="392" t="n">
        <f aca="false">1.8 * MIN(6, MAX(E19,F19)) + 0.45 * MIN(6, MIN(E19,F19)) + IF(E19&gt;6, (E19-6)*0.2) + IF(F19&gt;6, (F19-6)*0.2)</f>
        <v>7.2</v>
      </c>
      <c r="J19" s="394"/>
      <c r="K19" s="395"/>
      <c r="L19" s="395"/>
      <c r="M19" s="395"/>
      <c r="N19" s="395"/>
      <c r="O19" s="395"/>
      <c r="P19" s="395"/>
      <c r="Q19" s="395"/>
      <c r="R19" s="395"/>
      <c r="S19" s="395"/>
      <c r="T19" s="395"/>
      <c r="U19" s="395"/>
      <c r="V19" s="395"/>
      <c r="W19" s="68"/>
      <c r="X19" s="396"/>
      <c r="Y19" s="68"/>
      <c r="Z19" s="68"/>
      <c r="AA19" s="397"/>
    </row>
    <row r="20" s="401" customFormat="true" ht="19.5" hidden="false" customHeight="true" outlineLevel="0" collapsed="false">
      <c r="A20" s="401" t="s">
        <v>113</v>
      </c>
      <c r="B20" s="411" t="s">
        <v>1031</v>
      </c>
      <c r="C20" s="401" t="s">
        <v>237</v>
      </c>
      <c r="D20" s="399" t="s">
        <v>115</v>
      </c>
      <c r="E20" s="400" t="n">
        <v>3</v>
      </c>
      <c r="F20" s="400" t="n">
        <v>1</v>
      </c>
      <c r="G20" s="400" t="n">
        <v>1100</v>
      </c>
      <c r="H20" s="401" t="n">
        <v>0</v>
      </c>
      <c r="I20" s="392" t="n">
        <f aca="false">1.8 * MIN(6, MAX(E20,F20)) + 0.45 * MIN(6, MIN(E20,F20)) + IF(E20&gt;6, (E20-6)*0.2) + IF(F20&gt;6, (F20-6)*0.2)</f>
        <v>5.85</v>
      </c>
      <c r="J20" s="402"/>
      <c r="K20" s="403"/>
      <c r="L20" s="403"/>
      <c r="M20" s="403"/>
      <c r="N20" s="403"/>
      <c r="O20" s="403"/>
      <c r="P20" s="403"/>
      <c r="Q20" s="403"/>
      <c r="R20" s="403"/>
      <c r="S20" s="403"/>
      <c r="T20" s="403"/>
      <c r="U20" s="403"/>
      <c r="V20" s="403"/>
      <c r="W20" s="400"/>
      <c r="X20" s="404"/>
      <c r="Y20" s="400"/>
      <c r="Z20" s="400"/>
      <c r="AA20" s="405"/>
    </row>
    <row r="21" s="398" customFormat="true" ht="19.5" hidden="false" customHeight="true" outlineLevel="0" collapsed="false">
      <c r="A21" s="398" t="s">
        <v>134</v>
      </c>
      <c r="B21" s="406" t="s">
        <v>1031</v>
      </c>
      <c r="C21" s="398" t="s">
        <v>239</v>
      </c>
      <c r="D21" s="407" t="s">
        <v>1047</v>
      </c>
      <c r="E21" s="408" t="n">
        <v>3</v>
      </c>
      <c r="F21" s="408"/>
      <c r="G21" s="408" t="n">
        <v>275</v>
      </c>
      <c r="H21" s="398" t="n">
        <v>15</v>
      </c>
      <c r="I21" s="406" t="n">
        <v>5</v>
      </c>
      <c r="J21" s="409" t="n">
        <v>0.05</v>
      </c>
      <c r="K21" s="410"/>
      <c r="L21" s="410"/>
      <c r="M21" s="410"/>
      <c r="N21" s="410"/>
      <c r="O21" s="410"/>
      <c r="P21" s="410"/>
      <c r="Q21" s="410"/>
      <c r="R21" s="410" t="n">
        <v>-0.3</v>
      </c>
      <c r="S21" s="410" t="n">
        <v>0.1</v>
      </c>
      <c r="T21" s="410"/>
      <c r="U21" s="410" t="n">
        <v>0.3</v>
      </c>
      <c r="V21" s="410"/>
      <c r="W21" s="68"/>
      <c r="X21" s="396"/>
      <c r="Y21" s="408"/>
      <c r="Z21" s="408"/>
      <c r="AA21" s="397"/>
    </row>
    <row r="22" customFormat="false" ht="19.5" hidden="false" customHeight="true" outlineLevel="0" collapsed="false">
      <c r="A22" s="328" t="s">
        <v>134</v>
      </c>
      <c r="B22" s="392" t="s">
        <v>1031</v>
      </c>
      <c r="C22" s="328" t="s">
        <v>239</v>
      </c>
      <c r="D22" s="393" t="s">
        <v>1048</v>
      </c>
      <c r="F22" s="68" t="n">
        <v>3</v>
      </c>
      <c r="G22" s="68" t="n">
        <v>300</v>
      </c>
      <c r="H22" s="328" t="n">
        <v>0</v>
      </c>
      <c r="I22" s="392" t="n">
        <v>5</v>
      </c>
      <c r="J22" s="394"/>
      <c r="K22" s="395"/>
      <c r="L22" s="395"/>
      <c r="M22" s="395"/>
      <c r="N22" s="395"/>
      <c r="O22" s="395"/>
      <c r="P22" s="395"/>
      <c r="Q22" s="395"/>
      <c r="R22" s="395"/>
      <c r="S22" s="395"/>
      <c r="T22" s="395"/>
      <c r="U22" s="395"/>
      <c r="V22" s="395"/>
      <c r="W22" s="68"/>
      <c r="X22" s="396"/>
      <c r="Y22" s="68"/>
      <c r="Z22" s="68"/>
      <c r="AA22" s="397"/>
    </row>
    <row r="23" customFormat="false" ht="19.5" hidden="false" customHeight="true" outlineLevel="0" collapsed="false">
      <c r="A23" s="328" t="s">
        <v>134</v>
      </c>
      <c r="B23" s="392" t="s">
        <v>1031</v>
      </c>
      <c r="C23" s="328" t="s">
        <v>239</v>
      </c>
      <c r="D23" s="393" t="s">
        <v>135</v>
      </c>
      <c r="E23" s="68" t="n">
        <v>2</v>
      </c>
      <c r="F23" s="68" t="n">
        <v>4</v>
      </c>
      <c r="G23" s="68" t="n">
        <v>900</v>
      </c>
      <c r="H23" s="328" t="n">
        <v>30</v>
      </c>
      <c r="I23" s="392" t="n">
        <v>8.1</v>
      </c>
      <c r="J23" s="394"/>
      <c r="K23" s="68"/>
      <c r="L23" s="68"/>
      <c r="M23" s="68"/>
      <c r="N23" s="68"/>
      <c r="O23" s="68"/>
      <c r="P23" s="68"/>
      <c r="Q23" s="395"/>
      <c r="R23" s="395"/>
      <c r="S23" s="395"/>
      <c r="T23" s="395"/>
      <c r="U23" s="395"/>
      <c r="V23" s="395"/>
      <c r="W23" s="68"/>
      <c r="X23" s="396"/>
      <c r="Y23" s="68"/>
      <c r="Z23" s="68"/>
      <c r="AA23" s="397"/>
    </row>
    <row r="24" s="401" customFormat="true" ht="19.5" hidden="false" customHeight="true" outlineLevel="0" collapsed="false">
      <c r="A24" s="401" t="s">
        <v>134</v>
      </c>
      <c r="B24" s="411" t="s">
        <v>1031</v>
      </c>
      <c r="C24" s="401" t="s">
        <v>239</v>
      </c>
      <c r="D24" s="393" t="s">
        <v>1049</v>
      </c>
      <c r="E24" s="68" t="n">
        <v>5</v>
      </c>
      <c r="F24" s="68" t="n">
        <v>3</v>
      </c>
      <c r="G24" s="68" t="n">
        <v>900</v>
      </c>
      <c r="H24" s="328" t="n">
        <v>25</v>
      </c>
      <c r="I24" s="392" t="n">
        <f aca="false">1.8 * MIN(6, MAX(E24,F24)) + 0.45 * MIN(6, MIN(E24,F24)) + IF(E24&gt;6, (E24-6)*0.2) + IF(F24&gt;6, (F24-6)*0.2)</f>
        <v>10.35</v>
      </c>
      <c r="J24" s="402"/>
      <c r="K24" s="403"/>
      <c r="L24" s="403"/>
      <c r="M24" s="403"/>
      <c r="N24" s="403"/>
      <c r="O24" s="403"/>
      <c r="P24" s="403"/>
      <c r="Q24" s="403"/>
      <c r="R24" s="403"/>
      <c r="S24" s="403"/>
      <c r="T24" s="403"/>
      <c r="U24" s="403"/>
      <c r="V24" s="403"/>
      <c r="W24" s="400"/>
      <c r="X24" s="404"/>
      <c r="Y24" s="400"/>
      <c r="Z24" s="400"/>
      <c r="AA24" s="405"/>
    </row>
    <row r="25" s="398" customFormat="true" ht="19.5" hidden="false" customHeight="true" outlineLevel="0" collapsed="false">
      <c r="A25" s="398" t="s">
        <v>118</v>
      </c>
      <c r="B25" s="406" t="s">
        <v>1031</v>
      </c>
      <c r="C25" s="398" t="s">
        <v>238</v>
      </c>
      <c r="D25" s="407" t="s">
        <v>1050</v>
      </c>
      <c r="E25" s="408" t="n">
        <v>4</v>
      </c>
      <c r="F25" s="408"/>
      <c r="G25" s="408" t="n">
        <v>200</v>
      </c>
      <c r="H25" s="398" t="n">
        <v>50</v>
      </c>
      <c r="I25" s="406" t="n">
        <v>5</v>
      </c>
      <c r="J25" s="409" t="n">
        <v>-0.05</v>
      </c>
      <c r="K25" s="410"/>
      <c r="L25" s="410"/>
      <c r="M25" s="410"/>
      <c r="N25" s="410"/>
      <c r="O25" s="410"/>
      <c r="P25" s="410"/>
      <c r="Q25" s="410" t="n">
        <v>0.05</v>
      </c>
      <c r="R25" s="410" t="n">
        <v>-0.2</v>
      </c>
      <c r="S25" s="410"/>
      <c r="T25" s="409" t="n">
        <v>0.075</v>
      </c>
      <c r="U25" s="410"/>
      <c r="V25" s="410"/>
      <c r="W25" s="68"/>
      <c r="X25" s="396"/>
      <c r="Y25" s="408"/>
      <c r="Z25" s="408"/>
      <c r="AA25" s="397"/>
    </row>
    <row r="26" customFormat="false" ht="19.5" hidden="false" customHeight="true" outlineLevel="0" collapsed="false">
      <c r="A26" s="328" t="s">
        <v>118</v>
      </c>
      <c r="B26" s="392" t="s">
        <v>1031</v>
      </c>
      <c r="C26" s="328" t="s">
        <v>238</v>
      </c>
      <c r="D26" s="393" t="s">
        <v>1051</v>
      </c>
      <c r="F26" s="68" t="n">
        <v>3</v>
      </c>
      <c r="G26" s="68" t="n">
        <v>300</v>
      </c>
      <c r="H26" s="328" t="n">
        <v>5</v>
      </c>
      <c r="I26" s="392" t="n">
        <v>5</v>
      </c>
      <c r="J26" s="394"/>
      <c r="K26" s="395"/>
      <c r="L26" s="395"/>
      <c r="M26" s="395"/>
      <c r="N26" s="395"/>
      <c r="O26" s="395"/>
      <c r="P26" s="395"/>
      <c r="Q26" s="395"/>
      <c r="R26" s="395"/>
      <c r="S26" s="395"/>
      <c r="T26" s="395"/>
      <c r="U26" s="395"/>
      <c r="V26" s="395"/>
      <c r="W26" s="68"/>
      <c r="X26" s="396"/>
      <c r="Y26" s="68"/>
      <c r="Z26" s="68"/>
      <c r="AA26" s="397"/>
    </row>
    <row r="27" customFormat="false" ht="19.5" hidden="false" customHeight="true" outlineLevel="0" collapsed="false">
      <c r="A27" s="328" t="s">
        <v>118</v>
      </c>
      <c r="B27" s="392" t="s">
        <v>1031</v>
      </c>
      <c r="C27" s="328" t="s">
        <v>238</v>
      </c>
      <c r="D27" s="393" t="s">
        <v>119</v>
      </c>
      <c r="E27" s="68" t="n">
        <v>2</v>
      </c>
      <c r="F27" s="68" t="n">
        <v>4</v>
      </c>
      <c r="G27" s="68" t="n">
        <v>675</v>
      </c>
      <c r="H27" s="328" t="n">
        <v>330</v>
      </c>
      <c r="I27" s="392" t="n">
        <f aca="false">1.8 * MIN(6, MAX(E27,F27)) + 0.45 * MIN(6, MIN(E27,F27)) + IF(E27&gt;6, (E27-6)*0.2) + IF(F27&gt;6, (F27-6)*0.2)</f>
        <v>8.1</v>
      </c>
      <c r="J27" s="394"/>
      <c r="K27" s="395"/>
      <c r="L27" s="395"/>
      <c r="M27" s="395"/>
      <c r="N27" s="395"/>
      <c r="O27" s="395"/>
      <c r="P27" s="395"/>
      <c r="Q27" s="395"/>
      <c r="R27" s="395"/>
      <c r="S27" s="395"/>
      <c r="T27" s="395"/>
      <c r="U27" s="395"/>
      <c r="V27" s="395"/>
      <c r="W27" s="68"/>
      <c r="X27" s="396"/>
      <c r="Y27" s="68"/>
      <c r="Z27" s="68"/>
      <c r="AA27" s="397"/>
    </row>
    <row r="28" s="401" customFormat="true" ht="19.5" hidden="false" customHeight="true" outlineLevel="0" collapsed="false">
      <c r="A28" s="401" t="s">
        <v>118</v>
      </c>
      <c r="B28" s="411" t="s">
        <v>1031</v>
      </c>
      <c r="C28" s="401" t="s">
        <v>238</v>
      </c>
      <c r="D28" s="399" t="s">
        <v>1052</v>
      </c>
      <c r="E28" s="400" t="n">
        <v>6.5</v>
      </c>
      <c r="F28" s="400" t="n">
        <v>3</v>
      </c>
      <c r="G28" s="400" t="n">
        <v>750</v>
      </c>
      <c r="H28" s="401" t="n">
        <v>550</v>
      </c>
      <c r="I28" s="392" t="n">
        <f aca="false">1.8 * MIN(6, MAX(E28,F28)) + 0.45 * MIN(6, MIN(E28,F28)) + IF(E28&gt;6, (E28-6)*0.2) + IF(F28&gt;6, (F28-6)*0.2)</f>
        <v>12.25</v>
      </c>
      <c r="J28" s="402"/>
      <c r="K28" s="403"/>
      <c r="L28" s="403"/>
      <c r="M28" s="403"/>
      <c r="N28" s="403"/>
      <c r="O28" s="403"/>
      <c r="P28" s="403"/>
      <c r="Q28" s="403"/>
      <c r="R28" s="403"/>
      <c r="S28" s="403"/>
      <c r="T28" s="403"/>
      <c r="U28" s="403"/>
      <c r="V28" s="403"/>
      <c r="W28" s="400"/>
      <c r="X28" s="404"/>
      <c r="Y28" s="400"/>
      <c r="Z28" s="400"/>
      <c r="AA28" s="405"/>
    </row>
    <row r="29" s="398" customFormat="true" ht="19.5" hidden="false" customHeight="true" outlineLevel="0" collapsed="false">
      <c r="A29" s="398" t="s">
        <v>1010</v>
      </c>
      <c r="B29" s="406" t="s">
        <v>1031</v>
      </c>
      <c r="C29" s="398" t="s">
        <v>242</v>
      </c>
      <c r="D29" s="407" t="s">
        <v>1053</v>
      </c>
      <c r="E29" s="408" t="n">
        <v>3</v>
      </c>
      <c r="F29" s="408"/>
      <c r="G29" s="408" t="n">
        <v>285</v>
      </c>
      <c r="H29" s="398" t="n">
        <v>0</v>
      </c>
      <c r="I29" s="406" t="n">
        <v>5</v>
      </c>
      <c r="J29" s="409"/>
      <c r="K29" s="410"/>
      <c r="L29" s="410"/>
      <c r="M29" s="410" t="n">
        <v>0.05</v>
      </c>
      <c r="N29" s="410" t="n">
        <v>-0.15</v>
      </c>
      <c r="O29" s="410"/>
      <c r="P29" s="410"/>
      <c r="Q29" s="410" t="n">
        <v>-0.1</v>
      </c>
      <c r="R29" s="410"/>
      <c r="S29" s="410"/>
      <c r="T29" s="409" t="n">
        <v>0.075</v>
      </c>
      <c r="U29" s="410"/>
      <c r="V29" s="410"/>
      <c r="W29" s="68"/>
      <c r="X29" s="396"/>
      <c r="Y29" s="408"/>
      <c r="Z29" s="408"/>
      <c r="AA29" s="412"/>
    </row>
    <row r="30" customFormat="false" ht="19.5" hidden="false" customHeight="true" outlineLevel="0" collapsed="false">
      <c r="A30" s="328" t="s">
        <v>1010</v>
      </c>
      <c r="B30" s="392" t="s">
        <v>1031</v>
      </c>
      <c r="C30" s="328" t="s">
        <v>242</v>
      </c>
      <c r="D30" s="393" t="s">
        <v>1054</v>
      </c>
      <c r="F30" s="68" t="n">
        <v>3</v>
      </c>
      <c r="G30" s="68" t="n">
        <v>300</v>
      </c>
      <c r="H30" s="328" t="n">
        <v>0</v>
      </c>
      <c r="I30" s="392" t="n">
        <v>5</v>
      </c>
      <c r="J30" s="394"/>
      <c r="K30" s="395"/>
      <c r="L30" s="395"/>
      <c r="M30" s="395"/>
      <c r="N30" s="395"/>
      <c r="O30" s="395"/>
      <c r="P30" s="395"/>
      <c r="Q30" s="395"/>
      <c r="R30" s="395"/>
      <c r="S30" s="395"/>
      <c r="T30" s="395"/>
      <c r="U30" s="395"/>
      <c r="V30" s="395"/>
      <c r="W30" s="68"/>
      <c r="X30" s="396"/>
      <c r="Y30" s="68"/>
      <c r="Z30" s="68"/>
      <c r="AA30" s="397"/>
    </row>
    <row r="31" customFormat="false" ht="19.5" hidden="false" customHeight="true" outlineLevel="0" collapsed="false">
      <c r="A31" s="328" t="s">
        <v>1010</v>
      </c>
      <c r="B31" s="392" t="s">
        <v>1031</v>
      </c>
      <c r="C31" s="328" t="s">
        <v>242</v>
      </c>
      <c r="D31" s="393" t="s">
        <v>1055</v>
      </c>
      <c r="E31" s="68" t="n">
        <v>0</v>
      </c>
      <c r="F31" s="68" t="n">
        <v>7</v>
      </c>
      <c r="G31" s="68" t="n">
        <v>1350</v>
      </c>
      <c r="H31" s="328" t="n">
        <v>0</v>
      </c>
      <c r="I31" s="392" t="n">
        <v>11</v>
      </c>
      <c r="J31" s="394"/>
      <c r="K31" s="68"/>
      <c r="L31" s="68"/>
      <c r="M31" s="68"/>
      <c r="N31" s="68"/>
      <c r="O31" s="68"/>
      <c r="P31" s="68"/>
      <c r="Q31" s="395"/>
      <c r="R31" s="395"/>
      <c r="S31" s="395"/>
      <c r="T31" s="395"/>
      <c r="U31" s="395"/>
      <c r="V31" s="395"/>
      <c r="W31" s="68"/>
      <c r="X31" s="396"/>
      <c r="Y31" s="68"/>
      <c r="Z31" s="68"/>
      <c r="AA31" s="397"/>
    </row>
    <row r="32" s="401" customFormat="true" ht="19.5" hidden="false" customHeight="true" outlineLevel="0" collapsed="false">
      <c r="A32" s="401" t="s">
        <v>1010</v>
      </c>
      <c r="B32" s="411" t="s">
        <v>1031</v>
      </c>
      <c r="C32" s="401" t="s">
        <v>242</v>
      </c>
      <c r="D32" s="393" t="s">
        <v>1056</v>
      </c>
      <c r="E32" s="68" t="n">
        <v>4</v>
      </c>
      <c r="F32" s="68" t="n">
        <v>2</v>
      </c>
      <c r="G32" s="68" t="n">
        <v>600</v>
      </c>
      <c r="H32" s="328" t="n">
        <v>0</v>
      </c>
      <c r="I32" s="392" t="n">
        <f aca="false">1.8 * MIN(6, MAX(E32,F32)) + 0.45 * MIN(6, MIN(E32,F32)) + IF(E32&gt;6, (E32-6)*0.2) + IF(F32&gt;6, (F32-6)*0.2)</f>
        <v>8.1</v>
      </c>
      <c r="J32" s="402"/>
      <c r="K32" s="403"/>
      <c r="L32" s="403"/>
      <c r="M32" s="403"/>
      <c r="N32" s="403"/>
      <c r="O32" s="403"/>
      <c r="P32" s="403"/>
      <c r="Q32" s="403"/>
      <c r="R32" s="403"/>
      <c r="S32" s="403"/>
      <c r="T32" s="403"/>
      <c r="U32" s="403"/>
      <c r="V32" s="403"/>
      <c r="W32" s="400"/>
      <c r="X32" s="404"/>
      <c r="Y32" s="400"/>
      <c r="Z32" s="400"/>
      <c r="AA32" s="405"/>
    </row>
    <row r="33" s="398" customFormat="true" ht="19.5" hidden="false" customHeight="true" outlineLevel="0" collapsed="false">
      <c r="A33" s="398" t="s">
        <v>116</v>
      </c>
      <c r="B33" s="406" t="s">
        <v>1031</v>
      </c>
      <c r="C33" s="398" t="s">
        <v>237</v>
      </c>
      <c r="D33" s="407" t="s">
        <v>1057</v>
      </c>
      <c r="E33" s="408" t="n">
        <v>3</v>
      </c>
      <c r="F33" s="408"/>
      <c r="G33" s="408" t="n">
        <v>275</v>
      </c>
      <c r="H33" s="398" t="n">
        <v>0</v>
      </c>
      <c r="I33" s="406" t="n">
        <v>5</v>
      </c>
      <c r="J33" s="409"/>
      <c r="K33" s="410"/>
      <c r="L33" s="410"/>
      <c r="M33" s="410" t="n">
        <v>0.1</v>
      </c>
      <c r="N33" s="410" t="n">
        <v>0.2</v>
      </c>
      <c r="O33" s="410"/>
      <c r="P33" s="410"/>
      <c r="Q33" s="410"/>
      <c r="R33" s="410"/>
      <c r="S33" s="410"/>
      <c r="T33" s="410"/>
      <c r="U33" s="410"/>
      <c r="V33" s="410"/>
      <c r="W33" s="68"/>
      <c r="X33" s="396"/>
      <c r="Y33" s="408"/>
      <c r="Z33" s="408"/>
      <c r="AA33" s="397"/>
    </row>
    <row r="34" customFormat="false" ht="19.5" hidden="false" customHeight="true" outlineLevel="0" collapsed="false">
      <c r="A34" s="328" t="s">
        <v>116</v>
      </c>
      <c r="B34" s="392" t="s">
        <v>1031</v>
      </c>
      <c r="C34" s="328" t="s">
        <v>237</v>
      </c>
      <c r="D34" s="393" t="s">
        <v>1058</v>
      </c>
      <c r="F34" s="68" t="n">
        <v>3</v>
      </c>
      <c r="G34" s="68" t="n">
        <v>300</v>
      </c>
      <c r="H34" s="328" t="n">
        <v>0</v>
      </c>
      <c r="I34" s="392" t="n">
        <v>5</v>
      </c>
      <c r="J34" s="394"/>
      <c r="K34" s="395"/>
      <c r="L34" s="395"/>
      <c r="M34" s="395"/>
      <c r="N34" s="395"/>
      <c r="O34" s="395"/>
      <c r="P34" s="395"/>
      <c r="Q34" s="395"/>
      <c r="R34" s="395"/>
      <c r="S34" s="395"/>
      <c r="T34" s="395"/>
      <c r="U34" s="395"/>
      <c r="V34" s="395"/>
      <c r="W34" s="68"/>
      <c r="X34" s="396"/>
      <c r="Y34" s="68"/>
      <c r="Z34" s="68"/>
      <c r="AA34" s="397"/>
    </row>
    <row r="35" customFormat="false" ht="19.5" hidden="false" customHeight="true" outlineLevel="0" collapsed="false">
      <c r="A35" s="328" t="s">
        <v>116</v>
      </c>
      <c r="B35" s="392" t="s">
        <v>1031</v>
      </c>
      <c r="C35" s="328" t="s">
        <v>237</v>
      </c>
      <c r="D35" s="393" t="s">
        <v>117</v>
      </c>
      <c r="E35" s="68" t="n">
        <v>0</v>
      </c>
      <c r="F35" s="68" t="n">
        <v>3</v>
      </c>
      <c r="G35" s="68" t="n">
        <v>1050</v>
      </c>
      <c r="H35" s="328" t="n">
        <v>0</v>
      </c>
      <c r="I35" s="392" t="n">
        <f aca="false">1.8 * MIN(6, MAX(E35,F35)) + 0.45 * MIN(6, MIN(E35,F35)) + IF(E35&gt;6, (E35-6)*0.2) + IF(F35&gt;6, (F35-6)*0.2)</f>
        <v>5.4</v>
      </c>
      <c r="J35" s="394"/>
      <c r="K35" s="395"/>
      <c r="L35" s="395"/>
      <c r="M35" s="395"/>
      <c r="N35" s="395"/>
      <c r="O35" s="395"/>
      <c r="P35" s="395"/>
      <c r="Q35" s="395"/>
      <c r="R35" s="395"/>
      <c r="S35" s="395"/>
      <c r="T35" s="395"/>
      <c r="U35" s="395"/>
      <c r="V35" s="395"/>
      <c r="W35" s="68"/>
      <c r="X35" s="396"/>
      <c r="Y35" s="68"/>
      <c r="Z35" s="68"/>
      <c r="AA35" s="397"/>
    </row>
    <row r="36" s="401" customFormat="true" ht="19.5" hidden="false" customHeight="true" outlineLevel="0" collapsed="false">
      <c r="A36" s="401" t="s">
        <v>116</v>
      </c>
      <c r="B36" s="411" t="s">
        <v>1031</v>
      </c>
      <c r="C36" s="401" t="s">
        <v>237</v>
      </c>
      <c r="D36" s="399" t="s">
        <v>1059</v>
      </c>
      <c r="E36" s="400" t="n">
        <v>5.5</v>
      </c>
      <c r="F36" s="400" t="n">
        <v>2</v>
      </c>
      <c r="G36" s="400" t="n">
        <v>900</v>
      </c>
      <c r="H36" s="401" t="n">
        <v>20</v>
      </c>
      <c r="I36" s="392" t="n">
        <f aca="false">1.8 * MIN(6, MAX(E36,F36)) + 0.45 * MIN(6, MIN(E36,F36)) + IF(E36&gt;6, (E36-6)*0.2) + IF(F36&gt;6, (F36-6)*0.2)</f>
        <v>10.8</v>
      </c>
      <c r="J36" s="402"/>
      <c r="K36" s="403"/>
      <c r="L36" s="403"/>
      <c r="M36" s="403"/>
      <c r="N36" s="403"/>
      <c r="O36" s="403"/>
      <c r="P36" s="403"/>
      <c r="Q36" s="403"/>
      <c r="R36" s="403"/>
      <c r="S36" s="403"/>
      <c r="T36" s="403"/>
      <c r="U36" s="403"/>
      <c r="V36" s="403"/>
      <c r="W36" s="400"/>
      <c r="X36" s="404"/>
      <c r="Y36" s="400"/>
      <c r="Z36" s="400"/>
      <c r="AA36" s="405"/>
    </row>
    <row r="37" s="398" customFormat="true" ht="19.5" hidden="false" customHeight="true" outlineLevel="0" collapsed="false">
      <c r="A37" s="398" t="s">
        <v>1012</v>
      </c>
      <c r="B37" s="406" t="s">
        <v>1036</v>
      </c>
      <c r="C37" s="398" t="s">
        <v>239</v>
      </c>
      <c r="D37" s="407" t="s">
        <v>1060</v>
      </c>
      <c r="E37" s="408" t="n">
        <v>3</v>
      </c>
      <c r="F37" s="408"/>
      <c r="G37" s="408" t="n">
        <v>325</v>
      </c>
      <c r="H37" s="398" t="n">
        <v>25</v>
      </c>
      <c r="I37" s="406" t="n">
        <v>5</v>
      </c>
      <c r="J37" s="409" t="n">
        <v>0.2</v>
      </c>
      <c r="K37" s="410"/>
      <c r="L37" s="410"/>
      <c r="M37" s="410"/>
      <c r="N37" s="410"/>
      <c r="O37" s="410"/>
      <c r="P37" s="410"/>
      <c r="Q37" s="410"/>
      <c r="R37" s="410"/>
      <c r="S37" s="410"/>
      <c r="T37" s="410"/>
      <c r="U37" s="410"/>
      <c r="V37" s="410"/>
      <c r="W37" s="395" t="n">
        <v>0.1</v>
      </c>
      <c r="X37" s="396"/>
      <c r="Y37" s="408"/>
      <c r="Z37" s="408"/>
      <c r="AA37" s="397"/>
    </row>
    <row r="38" customFormat="false" ht="19.5" hidden="false" customHeight="true" outlineLevel="0" collapsed="false">
      <c r="A38" s="328" t="s">
        <v>1012</v>
      </c>
      <c r="B38" s="392" t="s">
        <v>1036</v>
      </c>
      <c r="C38" s="328" t="s">
        <v>239</v>
      </c>
      <c r="D38" s="393" t="s">
        <v>1061</v>
      </c>
      <c r="F38" s="68" t="n">
        <v>3</v>
      </c>
      <c r="G38" s="68" t="n">
        <v>380</v>
      </c>
      <c r="H38" s="328" t="n">
        <v>15</v>
      </c>
      <c r="I38" s="392" t="n">
        <v>5</v>
      </c>
      <c r="J38" s="394"/>
      <c r="K38" s="395"/>
      <c r="L38" s="395"/>
      <c r="M38" s="395"/>
      <c r="N38" s="395"/>
      <c r="O38" s="395"/>
      <c r="P38" s="395"/>
      <c r="Q38" s="395"/>
      <c r="R38" s="395"/>
      <c r="S38" s="395"/>
      <c r="T38" s="395"/>
      <c r="U38" s="395"/>
      <c r="V38" s="395"/>
      <c r="W38" s="68"/>
      <c r="X38" s="396"/>
      <c r="Y38" s="68"/>
      <c r="Z38" s="68"/>
      <c r="AA38" s="397"/>
    </row>
    <row r="39" customFormat="false" ht="19.5" hidden="false" customHeight="true" outlineLevel="0" collapsed="false">
      <c r="A39" s="328" t="s">
        <v>1012</v>
      </c>
      <c r="B39" s="392" t="s">
        <v>1036</v>
      </c>
      <c r="C39" s="328" t="s">
        <v>239</v>
      </c>
      <c r="D39" s="393" t="s">
        <v>1062</v>
      </c>
      <c r="E39" s="68" t="n">
        <v>5</v>
      </c>
      <c r="F39" s="68" t="n">
        <v>3</v>
      </c>
      <c r="G39" s="68" t="n">
        <v>1025</v>
      </c>
      <c r="H39" s="328" t="n">
        <v>80</v>
      </c>
      <c r="I39" s="392" t="n">
        <f aca="false">1.8 * MIN(6, MAX(E39,F39)) + 0.45 * MIN(6, MIN(E39,F39)) + IF(E39&gt;6, (E39-6)*0.2) + IF(F39&gt;6, (F39-6)*0.2)</f>
        <v>10.35</v>
      </c>
      <c r="J39" s="394"/>
      <c r="K39" s="395"/>
      <c r="L39" s="395"/>
      <c r="M39" s="395"/>
      <c r="N39" s="395"/>
      <c r="O39" s="395"/>
      <c r="P39" s="395"/>
      <c r="Q39" s="395"/>
      <c r="R39" s="395"/>
      <c r="S39" s="395"/>
      <c r="T39" s="395"/>
      <c r="U39" s="395"/>
      <c r="V39" s="395"/>
      <c r="W39" s="68"/>
      <c r="X39" s="396"/>
      <c r="Y39" s="68"/>
      <c r="Z39" s="68"/>
      <c r="AA39" s="397"/>
    </row>
    <row r="40" s="401" customFormat="true" ht="19.5" hidden="false" customHeight="true" outlineLevel="0" collapsed="false">
      <c r="A40" s="401" t="s">
        <v>1012</v>
      </c>
      <c r="B40" s="411" t="s">
        <v>1036</v>
      </c>
      <c r="C40" s="401" t="s">
        <v>239</v>
      </c>
      <c r="D40" s="399" t="s">
        <v>1063</v>
      </c>
      <c r="E40" s="400" t="n">
        <v>6</v>
      </c>
      <c r="F40" s="400" t="n">
        <v>2</v>
      </c>
      <c r="G40" s="400" t="n">
        <v>1300</v>
      </c>
      <c r="H40" s="401" t="n">
        <v>110</v>
      </c>
      <c r="I40" s="392" t="n">
        <f aca="false">1.8 * MIN(6, MAX(E40,F40)) + 0.45 * MIN(6, MIN(E40,F40)) + IF(E40&gt;6, (E40-6)*0.2) + IF(F40&gt;6, (F40-6)*0.2)</f>
        <v>11.7</v>
      </c>
      <c r="J40" s="402"/>
      <c r="K40" s="403"/>
      <c r="L40" s="403"/>
      <c r="M40" s="403"/>
      <c r="N40" s="403"/>
      <c r="O40" s="403"/>
      <c r="P40" s="403"/>
      <c r="Q40" s="403"/>
      <c r="R40" s="403"/>
      <c r="S40" s="403"/>
      <c r="T40" s="403"/>
      <c r="U40" s="403"/>
      <c r="V40" s="403"/>
      <c r="W40" s="400"/>
      <c r="X40" s="404"/>
      <c r="Y40" s="400"/>
      <c r="Z40" s="400"/>
      <c r="AA40" s="405"/>
    </row>
    <row r="41" s="398" customFormat="true" ht="19.5" hidden="false" customHeight="true" outlineLevel="0" collapsed="false">
      <c r="A41" s="398" t="s">
        <v>1013</v>
      </c>
      <c r="B41" s="406" t="s">
        <v>1036</v>
      </c>
      <c r="C41" s="398" t="s">
        <v>236</v>
      </c>
      <c r="D41" s="407" t="s">
        <v>1064</v>
      </c>
      <c r="E41" s="408" t="n">
        <v>4</v>
      </c>
      <c r="F41" s="408"/>
      <c r="G41" s="408" t="n">
        <v>350</v>
      </c>
      <c r="H41" s="398" t="n">
        <v>25</v>
      </c>
      <c r="I41" s="406" t="n">
        <v>5</v>
      </c>
      <c r="J41" s="409" t="n">
        <v>-0.05</v>
      </c>
      <c r="K41" s="410"/>
      <c r="L41" s="410"/>
      <c r="M41" s="410"/>
      <c r="N41" s="410"/>
      <c r="O41" s="410"/>
      <c r="P41" s="410"/>
      <c r="Q41" s="410"/>
      <c r="R41" s="410" t="n">
        <v>0.05</v>
      </c>
      <c r="S41" s="410"/>
      <c r="T41" s="410" t="n">
        <v>0.05</v>
      </c>
      <c r="U41" s="410" t="n">
        <v>-0.1</v>
      </c>
      <c r="V41" s="410"/>
      <c r="W41" s="68"/>
      <c r="X41" s="396"/>
      <c r="Y41" s="408"/>
      <c r="Z41" s="408"/>
      <c r="AA41" s="397"/>
    </row>
    <row r="42" customFormat="false" ht="19.5" hidden="false" customHeight="true" outlineLevel="0" collapsed="false">
      <c r="A42" s="328" t="s">
        <v>1013</v>
      </c>
      <c r="B42" s="392" t="s">
        <v>1036</v>
      </c>
      <c r="C42" s="328" t="s">
        <v>236</v>
      </c>
      <c r="D42" s="393" t="s">
        <v>1065</v>
      </c>
      <c r="F42" s="68" t="n">
        <v>3</v>
      </c>
      <c r="G42" s="68" t="n">
        <v>300</v>
      </c>
      <c r="H42" s="328" t="n">
        <v>25</v>
      </c>
      <c r="I42" s="392" t="n">
        <v>5</v>
      </c>
      <c r="J42" s="394"/>
      <c r="K42" s="395"/>
      <c r="L42" s="395"/>
      <c r="M42" s="395"/>
      <c r="N42" s="395"/>
      <c r="O42" s="395"/>
      <c r="P42" s="395"/>
      <c r="Q42" s="395"/>
      <c r="R42" s="395"/>
      <c r="S42" s="395"/>
      <c r="T42" s="395"/>
      <c r="U42" s="395"/>
      <c r="V42" s="395"/>
      <c r="W42" s="68"/>
      <c r="X42" s="396"/>
      <c r="Y42" s="68"/>
      <c r="Z42" s="68"/>
      <c r="AA42" s="397"/>
    </row>
    <row r="43" customFormat="false" ht="19.5" hidden="false" customHeight="true" outlineLevel="0" collapsed="false">
      <c r="A43" s="328" t="s">
        <v>1013</v>
      </c>
      <c r="B43" s="392" t="s">
        <v>1036</v>
      </c>
      <c r="C43" s="328" t="s">
        <v>236</v>
      </c>
      <c r="D43" s="393" t="s">
        <v>1066</v>
      </c>
      <c r="E43" s="68" t="n">
        <v>7</v>
      </c>
      <c r="F43" s="68" t="n">
        <v>7</v>
      </c>
      <c r="G43" s="68" t="n">
        <v>1415</v>
      </c>
      <c r="H43" s="328" t="n">
        <v>150</v>
      </c>
      <c r="I43" s="392" t="n">
        <f aca="false">1.8 * MIN(6, MAX(E43,F43)) + 0.45 * MIN(6, MIN(E43,F43)) + IF(E43&gt;6, (E43-6)*0.2) + IF(F43&gt;6, (F43-6)*0.2)</f>
        <v>13.9</v>
      </c>
      <c r="J43" s="394"/>
      <c r="K43" s="395"/>
      <c r="L43" s="395"/>
      <c r="M43" s="395"/>
      <c r="N43" s="395"/>
      <c r="O43" s="395"/>
      <c r="P43" s="395"/>
      <c r="Q43" s="395"/>
      <c r="R43" s="395"/>
      <c r="S43" s="395"/>
      <c r="T43" s="395"/>
      <c r="U43" s="395"/>
      <c r="V43" s="395"/>
      <c r="W43" s="68"/>
      <c r="X43" s="396"/>
      <c r="Y43" s="68"/>
      <c r="Z43" s="68"/>
      <c r="AA43" s="397"/>
    </row>
    <row r="44" s="401" customFormat="true" ht="19.5" hidden="false" customHeight="true" outlineLevel="0" collapsed="false">
      <c r="A44" s="401" t="s">
        <v>1013</v>
      </c>
      <c r="B44" s="411" t="s">
        <v>1036</v>
      </c>
      <c r="C44" s="401" t="s">
        <v>236</v>
      </c>
      <c r="D44" s="399" t="s">
        <v>1067</v>
      </c>
      <c r="E44" s="400" t="n">
        <v>7</v>
      </c>
      <c r="F44" s="400" t="n">
        <v>7</v>
      </c>
      <c r="G44" s="400" t="n">
        <v>1415</v>
      </c>
      <c r="H44" s="401" t="n">
        <v>150</v>
      </c>
      <c r="I44" s="392" t="n">
        <f aca="false">1.8 * MIN(6, MAX(E44,F44)) + 0.45 * MIN(6, MIN(E44,F44)) + IF(E44&gt;6, (E44-6)*0.2) + IF(F44&gt;6, (F44-6)*0.2)</f>
        <v>13.9</v>
      </c>
      <c r="J44" s="402"/>
      <c r="K44" s="403"/>
      <c r="L44" s="403"/>
      <c r="M44" s="403"/>
      <c r="N44" s="403"/>
      <c r="O44" s="403"/>
      <c r="P44" s="403"/>
      <c r="Q44" s="403"/>
      <c r="R44" s="403"/>
      <c r="S44" s="403"/>
      <c r="T44" s="403"/>
      <c r="U44" s="403"/>
      <c r="V44" s="403"/>
      <c r="W44" s="400"/>
      <c r="X44" s="404"/>
      <c r="Y44" s="400"/>
      <c r="Z44" s="400"/>
      <c r="AA44" s="405"/>
    </row>
    <row r="45" s="398" customFormat="true" ht="19.5" hidden="false" customHeight="true" outlineLevel="0" collapsed="false">
      <c r="A45" s="398" t="s">
        <v>120</v>
      </c>
      <c r="B45" s="406" t="s">
        <v>1036</v>
      </c>
      <c r="C45" s="398" t="s">
        <v>241</v>
      </c>
      <c r="D45" s="407" t="s">
        <v>1068</v>
      </c>
      <c r="E45" s="408" t="n">
        <v>4</v>
      </c>
      <c r="F45" s="408"/>
      <c r="G45" s="408" t="n">
        <v>460</v>
      </c>
      <c r="H45" s="398" t="n">
        <v>25</v>
      </c>
      <c r="I45" s="406" t="n">
        <v>5</v>
      </c>
      <c r="J45" s="409" t="n">
        <v>-0.05</v>
      </c>
      <c r="K45" s="410"/>
      <c r="L45" s="410"/>
      <c r="M45" s="410"/>
      <c r="N45" s="410"/>
      <c r="O45" s="410"/>
      <c r="P45" s="410"/>
      <c r="Q45" s="410" t="n">
        <v>0.05</v>
      </c>
      <c r="R45" s="410"/>
      <c r="S45" s="410"/>
      <c r="T45" s="410"/>
      <c r="U45" s="410"/>
      <c r="V45" s="410"/>
      <c r="W45" s="68"/>
      <c r="X45" s="396"/>
      <c r="Y45" s="408"/>
      <c r="Z45" s="408"/>
      <c r="AA45" s="397"/>
    </row>
    <row r="46" customFormat="false" ht="19.5" hidden="false" customHeight="true" outlineLevel="0" collapsed="false">
      <c r="A46" s="328" t="s">
        <v>120</v>
      </c>
      <c r="B46" s="392" t="s">
        <v>1036</v>
      </c>
      <c r="C46" s="328" t="s">
        <v>241</v>
      </c>
      <c r="D46" s="393" t="s">
        <v>1069</v>
      </c>
      <c r="F46" s="68" t="n">
        <v>3</v>
      </c>
      <c r="G46" s="68" t="n">
        <v>300</v>
      </c>
      <c r="H46" s="328" t="n">
        <v>15</v>
      </c>
      <c r="I46" s="392" t="n">
        <v>5</v>
      </c>
      <c r="J46" s="394"/>
      <c r="K46" s="395"/>
      <c r="L46" s="395"/>
      <c r="M46" s="395"/>
      <c r="N46" s="395"/>
      <c r="O46" s="395"/>
      <c r="P46" s="395"/>
      <c r="Q46" s="395"/>
      <c r="R46" s="395"/>
      <c r="S46" s="395"/>
      <c r="T46" s="395"/>
      <c r="U46" s="395"/>
      <c r="V46" s="395"/>
      <c r="W46" s="68"/>
      <c r="X46" s="396"/>
      <c r="Y46" s="68"/>
      <c r="Z46" s="68"/>
      <c r="AA46" s="397"/>
    </row>
    <row r="47" customFormat="false" ht="19.5" hidden="false" customHeight="true" outlineLevel="0" collapsed="false">
      <c r="A47" s="328" t="s">
        <v>120</v>
      </c>
      <c r="B47" s="392" t="s">
        <v>1036</v>
      </c>
      <c r="C47" s="328" t="s">
        <v>241</v>
      </c>
      <c r="D47" s="393" t="s">
        <v>121</v>
      </c>
      <c r="E47" s="68" t="n">
        <v>0</v>
      </c>
      <c r="F47" s="68" t="n">
        <v>6</v>
      </c>
      <c r="G47" s="68" t="n">
        <v>1150</v>
      </c>
      <c r="H47" s="328" t="n">
        <v>60</v>
      </c>
      <c r="I47" s="392" t="n">
        <f aca="false">1.8 * MIN(6, MAX(E47,F47)) + 0.45 * MIN(6, MIN(E47,F47)) + IF(E47&gt;6, (E47-6)*0.2) + IF(F47&gt;6, (F47-6)*0.2)</f>
        <v>10.8</v>
      </c>
      <c r="J47" s="394"/>
      <c r="K47" s="395"/>
      <c r="L47" s="395"/>
      <c r="M47" s="395"/>
      <c r="N47" s="395"/>
      <c r="O47" s="395"/>
      <c r="P47" s="395"/>
      <c r="Q47" s="395"/>
      <c r="R47" s="395"/>
      <c r="S47" s="395"/>
      <c r="T47" s="395"/>
      <c r="U47" s="395"/>
      <c r="V47" s="395"/>
      <c r="W47" s="68"/>
      <c r="X47" s="396"/>
      <c r="Y47" s="68"/>
      <c r="Z47" s="68"/>
      <c r="AA47" s="397"/>
    </row>
    <row r="48" s="401" customFormat="true" ht="19.5" hidden="false" customHeight="true" outlineLevel="0" collapsed="false">
      <c r="A48" s="401" t="s">
        <v>120</v>
      </c>
      <c r="B48" s="411" t="s">
        <v>1036</v>
      </c>
      <c r="C48" s="401" t="s">
        <v>241</v>
      </c>
      <c r="D48" s="399" t="s">
        <v>445</v>
      </c>
      <c r="E48" s="400" t="n">
        <v>6.5</v>
      </c>
      <c r="F48" s="400" t="n">
        <v>2.5</v>
      </c>
      <c r="G48" s="400" t="n">
        <v>1200</v>
      </c>
      <c r="H48" s="401" t="n">
        <v>50</v>
      </c>
      <c r="I48" s="392" t="n">
        <f aca="false">1.8 * MIN(6, MAX(E48,F48)) + 0.45 * MIN(6, MIN(E48,F48)) + IF(E48&gt;6, (E48-6)*0.2) + IF(F48&gt;6, (F48-6)*0.2)</f>
        <v>12.025</v>
      </c>
      <c r="J48" s="402"/>
      <c r="K48" s="403"/>
      <c r="L48" s="403"/>
      <c r="M48" s="403"/>
      <c r="N48" s="403"/>
      <c r="O48" s="403"/>
      <c r="P48" s="403"/>
      <c r="Q48" s="403"/>
      <c r="R48" s="403"/>
      <c r="S48" s="403"/>
      <c r="T48" s="403"/>
      <c r="U48" s="403"/>
      <c r="V48" s="403"/>
      <c r="W48" s="400"/>
      <c r="X48" s="404"/>
      <c r="Y48" s="400"/>
      <c r="Z48" s="400"/>
      <c r="AA48" s="405"/>
    </row>
    <row r="49" s="398" customFormat="true" ht="19.5" hidden="false" customHeight="true" outlineLevel="0" collapsed="false">
      <c r="A49" s="398" t="s">
        <v>1014</v>
      </c>
      <c r="B49" s="406" t="s">
        <v>1036</v>
      </c>
      <c r="C49" s="398" t="s">
        <v>240</v>
      </c>
      <c r="D49" s="407" t="s">
        <v>1070</v>
      </c>
      <c r="E49" s="408" t="n">
        <v>3</v>
      </c>
      <c r="F49" s="408" t="n">
        <v>0</v>
      </c>
      <c r="G49" s="408" t="n">
        <v>275</v>
      </c>
      <c r="H49" s="398" t="n">
        <v>15</v>
      </c>
      <c r="I49" s="406" t="n">
        <v>5</v>
      </c>
      <c r="J49" s="409" t="n">
        <v>0.075</v>
      </c>
      <c r="K49" s="410"/>
      <c r="L49" s="410"/>
      <c r="M49" s="410"/>
      <c r="N49" s="410"/>
      <c r="O49" s="410" t="n">
        <v>0.2</v>
      </c>
      <c r="P49" s="410"/>
      <c r="Q49" s="410"/>
      <c r="R49" s="410" t="n">
        <v>-0.75</v>
      </c>
      <c r="S49" s="410"/>
      <c r="T49" s="410"/>
      <c r="U49" s="410"/>
      <c r="V49" s="410"/>
      <c r="W49" s="68"/>
      <c r="X49" s="396"/>
      <c r="Y49" s="408"/>
      <c r="Z49" s="408"/>
      <c r="AA49" s="397"/>
    </row>
    <row r="50" customFormat="false" ht="19.5" hidden="false" customHeight="true" outlineLevel="0" collapsed="false">
      <c r="A50" s="328" t="s">
        <v>1014</v>
      </c>
      <c r="B50" s="392" t="s">
        <v>1036</v>
      </c>
      <c r="C50" s="328" t="s">
        <v>240</v>
      </c>
      <c r="D50" s="393" t="s">
        <v>1071</v>
      </c>
      <c r="E50" s="68" t="n">
        <v>0</v>
      </c>
      <c r="F50" s="68" t="n">
        <v>3</v>
      </c>
      <c r="G50" s="68" t="n">
        <v>275</v>
      </c>
      <c r="H50" s="328" t="n">
        <v>0</v>
      </c>
      <c r="I50" s="392" t="n">
        <v>5</v>
      </c>
      <c r="J50" s="394"/>
      <c r="K50" s="395"/>
      <c r="L50" s="395"/>
      <c r="M50" s="395"/>
      <c r="N50" s="395"/>
      <c r="O50" s="395"/>
      <c r="P50" s="395"/>
      <c r="Q50" s="395"/>
      <c r="R50" s="395"/>
      <c r="S50" s="395"/>
      <c r="T50" s="395"/>
      <c r="U50" s="395"/>
      <c r="V50" s="395"/>
      <c r="W50" s="68"/>
      <c r="X50" s="396"/>
      <c r="Y50" s="68"/>
      <c r="Z50" s="68"/>
      <c r="AA50" s="397"/>
    </row>
    <row r="51" customFormat="false" ht="19.5" hidden="false" customHeight="true" outlineLevel="0" collapsed="false">
      <c r="A51" s="328" t="s">
        <v>1014</v>
      </c>
      <c r="B51" s="392" t="s">
        <v>1036</v>
      </c>
      <c r="C51" s="328" t="s">
        <v>240</v>
      </c>
      <c r="D51" s="393" t="s">
        <v>1072</v>
      </c>
      <c r="E51" s="68" t="n">
        <v>2</v>
      </c>
      <c r="F51" s="68" t="n">
        <v>5</v>
      </c>
      <c r="G51" s="68" t="n">
        <v>1000</v>
      </c>
      <c r="H51" s="328" t="n">
        <v>0</v>
      </c>
      <c r="I51" s="392" t="n">
        <f aca="false">1.8 * MIN(6, MAX(E51,F51)) + 0.45 * MIN(6, MIN(E51,F51)) + IF(E51&gt;6, (E51-6)*0.2) + IF(F51&gt;6, (F51-6)*0.2)</f>
        <v>9.9</v>
      </c>
      <c r="J51" s="394"/>
      <c r="K51" s="395"/>
      <c r="L51" s="395"/>
      <c r="M51" s="395"/>
      <c r="N51" s="395"/>
      <c r="O51" s="395"/>
      <c r="P51" s="395"/>
      <c r="Q51" s="395"/>
      <c r="R51" s="395"/>
      <c r="S51" s="395"/>
      <c r="T51" s="395"/>
      <c r="U51" s="395"/>
      <c r="V51" s="395"/>
      <c r="W51" s="68"/>
      <c r="X51" s="396"/>
      <c r="Y51" s="68"/>
      <c r="Z51" s="68"/>
      <c r="AA51" s="397"/>
    </row>
    <row r="52" s="401" customFormat="true" ht="19.5" hidden="false" customHeight="true" outlineLevel="0" collapsed="false">
      <c r="A52" s="401" t="s">
        <v>1014</v>
      </c>
      <c r="B52" s="411" t="s">
        <v>1036</v>
      </c>
      <c r="C52" s="401" t="s">
        <v>240</v>
      </c>
      <c r="D52" s="399" t="s">
        <v>1073</v>
      </c>
      <c r="E52" s="400" t="n">
        <v>4</v>
      </c>
      <c r="F52" s="400" t="n">
        <v>3</v>
      </c>
      <c r="G52" s="400" t="n">
        <v>1000</v>
      </c>
      <c r="H52" s="401" t="n">
        <v>0</v>
      </c>
      <c r="I52" s="392" t="n">
        <f aca="false">1.8 * MIN(6, MAX(E52,F52)) + 0.45 * MIN(6, MIN(E52,F52)) + IF(E52&gt;6, (E52-6)*0.2) + IF(F52&gt;6, (F52-6)*0.2)</f>
        <v>8.55</v>
      </c>
      <c r="J52" s="402"/>
      <c r="K52" s="403"/>
      <c r="L52" s="403"/>
      <c r="M52" s="403"/>
      <c r="N52" s="403"/>
      <c r="O52" s="403"/>
      <c r="P52" s="403"/>
      <c r="Q52" s="403"/>
      <c r="R52" s="403"/>
      <c r="S52" s="403"/>
      <c r="T52" s="403"/>
      <c r="U52" s="403"/>
      <c r="V52" s="403"/>
      <c r="W52" s="400"/>
      <c r="X52" s="404"/>
      <c r="Y52" s="400"/>
      <c r="Z52" s="400"/>
      <c r="AA52" s="405"/>
    </row>
    <row r="53" s="398" customFormat="true" ht="19.5" hidden="false" customHeight="true" outlineLevel="0" collapsed="false">
      <c r="A53" s="398" t="s">
        <v>1015</v>
      </c>
      <c r="B53" s="406" t="s">
        <v>1031</v>
      </c>
      <c r="C53" s="398" t="s">
        <v>240</v>
      </c>
      <c r="D53" s="407" t="s">
        <v>1074</v>
      </c>
      <c r="E53" s="408" t="n">
        <v>3</v>
      </c>
      <c r="F53" s="408"/>
      <c r="G53" s="408" t="n">
        <v>300</v>
      </c>
      <c r="H53" s="398" t="n">
        <v>10</v>
      </c>
      <c r="I53" s="406" t="n">
        <v>5</v>
      </c>
      <c r="J53" s="409"/>
      <c r="K53" s="410"/>
      <c r="L53" s="410"/>
      <c r="M53" s="410"/>
      <c r="N53" s="410"/>
      <c r="O53" s="410" t="n">
        <v>0.15</v>
      </c>
      <c r="P53" s="410"/>
      <c r="Q53" s="410"/>
      <c r="R53" s="410" t="n">
        <v>-0.9</v>
      </c>
      <c r="S53" s="410"/>
      <c r="T53" s="410"/>
      <c r="U53" s="410"/>
      <c r="V53" s="410"/>
      <c r="W53" s="68"/>
      <c r="X53" s="396"/>
      <c r="Y53" s="408"/>
      <c r="Z53" s="408"/>
      <c r="AA53" s="397"/>
    </row>
    <row r="54" customFormat="false" ht="19.5" hidden="false" customHeight="true" outlineLevel="0" collapsed="false">
      <c r="A54" s="328" t="s">
        <v>1015</v>
      </c>
      <c r="B54" s="392" t="s">
        <v>1031</v>
      </c>
      <c r="C54" s="328" t="s">
        <v>240</v>
      </c>
      <c r="D54" s="393" t="s">
        <v>1075</v>
      </c>
      <c r="F54" s="68" t="n">
        <v>3</v>
      </c>
      <c r="G54" s="68" t="n">
        <v>300</v>
      </c>
      <c r="H54" s="328" t="n">
        <v>10</v>
      </c>
      <c r="I54" s="392" t="n">
        <v>5</v>
      </c>
      <c r="J54" s="394"/>
      <c r="K54" s="395"/>
      <c r="L54" s="395"/>
      <c r="M54" s="395"/>
      <c r="N54" s="395"/>
      <c r="O54" s="395"/>
      <c r="P54" s="395"/>
      <c r="Q54" s="395"/>
      <c r="R54" s="395"/>
      <c r="S54" s="395"/>
      <c r="T54" s="395"/>
      <c r="U54" s="395"/>
      <c r="V54" s="395"/>
      <c r="W54" s="68"/>
      <c r="X54" s="396"/>
      <c r="Y54" s="68"/>
      <c r="Z54" s="68"/>
      <c r="AA54" s="397"/>
    </row>
    <row r="55" customFormat="false" ht="19.5" hidden="false" customHeight="true" outlineLevel="0" collapsed="false">
      <c r="A55" s="328" t="s">
        <v>1015</v>
      </c>
      <c r="B55" s="392" t="s">
        <v>1031</v>
      </c>
      <c r="C55" s="328" t="s">
        <v>240</v>
      </c>
      <c r="D55" s="393" t="s">
        <v>1076</v>
      </c>
      <c r="E55" s="68" t="n">
        <v>3</v>
      </c>
      <c r="F55" s="68" t="n">
        <v>5</v>
      </c>
      <c r="G55" s="68" t="n">
        <v>1025</v>
      </c>
      <c r="H55" s="328" t="n">
        <v>30</v>
      </c>
      <c r="I55" s="392" t="n">
        <f aca="false">1.8 * MIN(6, MAX(E55,F55)) + 0.45 * MIN(6, MIN(E55,F55)) + IF(E55&gt;6, (E55-6)*0.2) + IF(F55&gt;6, (F55-6)*0.2)</f>
        <v>10.35</v>
      </c>
      <c r="J55" s="394"/>
      <c r="K55" s="395"/>
      <c r="L55" s="395"/>
      <c r="M55" s="395"/>
      <c r="N55" s="395"/>
      <c r="O55" s="395"/>
      <c r="P55" s="395"/>
      <c r="Q55" s="395"/>
      <c r="R55" s="395"/>
      <c r="S55" s="395"/>
      <c r="T55" s="395"/>
      <c r="U55" s="395"/>
      <c r="V55" s="395"/>
      <c r="W55" s="68"/>
      <c r="X55" s="396"/>
      <c r="Y55" s="68"/>
      <c r="Z55" s="68"/>
      <c r="AA55" s="397"/>
    </row>
    <row r="56" s="401" customFormat="true" ht="19.5" hidden="false" customHeight="true" outlineLevel="0" collapsed="false">
      <c r="A56" s="401" t="s">
        <v>1015</v>
      </c>
      <c r="B56" s="411" t="s">
        <v>1031</v>
      </c>
      <c r="C56" s="401" t="s">
        <v>240</v>
      </c>
      <c r="D56" s="399" t="s">
        <v>1077</v>
      </c>
      <c r="E56" s="400" t="n">
        <v>6</v>
      </c>
      <c r="F56" s="400" t="n">
        <v>0</v>
      </c>
      <c r="G56" s="400" t="n">
        <v>1175</v>
      </c>
      <c r="H56" s="401" t="n">
        <v>40</v>
      </c>
      <c r="I56" s="392" t="n">
        <f aca="false">1.8 * MIN(6, MAX(E56,F56)) + 0.45 * MIN(6, MIN(E56,F56)) + IF(E56&gt;6, (E56-6)*0.2) + IF(F56&gt;6, (F56-6)*0.2)</f>
        <v>10.8</v>
      </c>
      <c r="J56" s="402"/>
      <c r="K56" s="403"/>
      <c r="L56" s="403"/>
      <c r="M56" s="403"/>
      <c r="N56" s="403"/>
      <c r="O56" s="403"/>
      <c r="P56" s="403"/>
      <c r="Q56" s="403"/>
      <c r="R56" s="403"/>
      <c r="S56" s="403"/>
      <c r="T56" s="403"/>
      <c r="U56" s="403"/>
      <c r="V56" s="403"/>
      <c r="W56" s="400"/>
      <c r="X56" s="404"/>
      <c r="Y56" s="400"/>
      <c r="Z56" s="400"/>
      <c r="AA56" s="405"/>
    </row>
    <row r="57" s="398" customFormat="true" ht="19.5" hidden="false" customHeight="true" outlineLevel="0" collapsed="false">
      <c r="A57" s="398" t="s">
        <v>1016</v>
      </c>
      <c r="B57" s="406" t="s">
        <v>1036</v>
      </c>
      <c r="C57" s="398" t="s">
        <v>241</v>
      </c>
      <c r="D57" s="407" t="s">
        <v>1078</v>
      </c>
      <c r="E57" s="408" t="n">
        <v>3</v>
      </c>
      <c r="F57" s="408"/>
      <c r="G57" s="408" t="n">
        <v>325</v>
      </c>
      <c r="H57" s="398" t="n">
        <v>25</v>
      </c>
      <c r="I57" s="406" t="n">
        <v>5</v>
      </c>
      <c r="J57" s="409" t="n">
        <v>0.1</v>
      </c>
      <c r="K57" s="410"/>
      <c r="L57" s="410"/>
      <c r="M57" s="410"/>
      <c r="N57" s="410"/>
      <c r="O57" s="410"/>
      <c r="P57" s="410"/>
      <c r="Q57" s="410"/>
      <c r="R57" s="410"/>
      <c r="S57" s="409" t="n">
        <v>0.05</v>
      </c>
      <c r="T57" s="410"/>
      <c r="U57" s="410"/>
      <c r="V57" s="410"/>
      <c r="W57" s="68"/>
      <c r="X57" s="396"/>
      <c r="Y57" s="408"/>
      <c r="Z57" s="408"/>
      <c r="AA57" s="397"/>
    </row>
    <row r="58" customFormat="false" ht="19.5" hidden="false" customHeight="true" outlineLevel="0" collapsed="false">
      <c r="A58" s="328" t="s">
        <v>1016</v>
      </c>
      <c r="B58" s="392" t="s">
        <v>1036</v>
      </c>
      <c r="C58" s="328" t="s">
        <v>241</v>
      </c>
      <c r="D58" s="393" t="s">
        <v>1079</v>
      </c>
      <c r="F58" s="68" t="n">
        <v>3</v>
      </c>
      <c r="G58" s="68" t="n">
        <v>250</v>
      </c>
      <c r="H58" s="328" t="n">
        <v>0</v>
      </c>
      <c r="I58" s="392" t="n">
        <v>5</v>
      </c>
      <c r="J58" s="394"/>
      <c r="K58" s="395"/>
      <c r="L58" s="395"/>
      <c r="M58" s="395"/>
      <c r="N58" s="395"/>
      <c r="O58" s="395"/>
      <c r="P58" s="395"/>
      <c r="Q58" s="395"/>
      <c r="R58" s="395"/>
      <c r="S58" s="395"/>
      <c r="T58" s="395"/>
      <c r="U58" s="395"/>
      <c r="V58" s="395"/>
      <c r="W58" s="68"/>
      <c r="X58" s="396"/>
      <c r="Y58" s="68"/>
      <c r="Z58" s="68"/>
      <c r="AA58" s="397"/>
    </row>
    <row r="59" customFormat="false" ht="19.5" hidden="false" customHeight="true" outlineLevel="0" collapsed="false">
      <c r="A59" s="328" t="s">
        <v>1016</v>
      </c>
      <c r="B59" s="392" t="s">
        <v>1036</v>
      </c>
      <c r="C59" s="328" t="s">
        <v>241</v>
      </c>
      <c r="D59" s="393" t="s">
        <v>1080</v>
      </c>
      <c r="E59" s="68" t="n">
        <v>3</v>
      </c>
      <c r="F59" s="68" t="n">
        <v>4</v>
      </c>
      <c r="G59" s="68" t="n">
        <v>850</v>
      </c>
      <c r="H59" s="328" t="n">
        <v>55</v>
      </c>
      <c r="I59" s="392" t="n">
        <f aca="false">1.8 * MIN(6, MAX(E59,F59)) + 0.45 * MIN(6, MIN(E59,F59)) + IF(E59&gt;6, (E59-6)*0.2) + IF(F59&gt;6, (F59-6)*0.2)</f>
        <v>8.55</v>
      </c>
      <c r="J59" s="394"/>
      <c r="K59" s="395"/>
      <c r="L59" s="395"/>
      <c r="M59" s="395"/>
      <c r="N59" s="395"/>
      <c r="O59" s="395"/>
      <c r="P59" s="395"/>
      <c r="Q59" s="395"/>
      <c r="R59" s="395"/>
      <c r="S59" s="395"/>
      <c r="T59" s="395"/>
      <c r="U59" s="395"/>
      <c r="V59" s="395"/>
      <c r="W59" s="68"/>
      <c r="X59" s="396"/>
      <c r="Y59" s="68"/>
      <c r="Z59" s="68"/>
      <c r="AA59" s="397"/>
    </row>
    <row r="60" s="401" customFormat="true" ht="19.5" hidden="false" customHeight="true" outlineLevel="0" collapsed="false">
      <c r="A60" s="401" t="s">
        <v>1016</v>
      </c>
      <c r="B60" s="411" t="s">
        <v>1036</v>
      </c>
      <c r="C60" s="401" t="s">
        <v>241</v>
      </c>
      <c r="D60" s="399" t="s">
        <v>1081</v>
      </c>
      <c r="E60" s="400" t="n">
        <v>6</v>
      </c>
      <c r="F60" s="400" t="n">
        <v>0</v>
      </c>
      <c r="G60" s="400" t="n">
        <v>1115</v>
      </c>
      <c r="H60" s="401" t="n">
        <v>110</v>
      </c>
      <c r="I60" s="392" t="n">
        <f aca="false">1.8 * MIN(6, MAX(E60,F60)) + 0.45 * MIN(6, MIN(E60,F60)) + IF(E60&gt;6, (E60-6)*0.2) + IF(F60&gt;6, (F60-6)*0.2)</f>
        <v>10.8</v>
      </c>
      <c r="J60" s="402"/>
      <c r="K60" s="403"/>
      <c r="L60" s="403"/>
      <c r="M60" s="403"/>
      <c r="N60" s="403"/>
      <c r="O60" s="403"/>
      <c r="P60" s="403"/>
      <c r="Q60" s="403"/>
      <c r="R60" s="403"/>
      <c r="S60" s="403"/>
      <c r="T60" s="403"/>
      <c r="U60" s="403"/>
      <c r="V60" s="403"/>
      <c r="W60" s="400"/>
      <c r="X60" s="404"/>
      <c r="Y60" s="400"/>
      <c r="Z60" s="400"/>
      <c r="AA60" s="405"/>
    </row>
    <row r="61" s="398" customFormat="true" ht="19.5" hidden="false" customHeight="true" outlineLevel="0" collapsed="false">
      <c r="A61" s="398" t="s">
        <v>131</v>
      </c>
      <c r="B61" s="406" t="s">
        <v>1031</v>
      </c>
      <c r="C61" s="398" t="s">
        <v>239</v>
      </c>
      <c r="D61" s="407" t="s">
        <v>1082</v>
      </c>
      <c r="E61" s="408" t="n">
        <v>2.5</v>
      </c>
      <c r="F61" s="408"/>
      <c r="G61" s="408" t="n">
        <v>295</v>
      </c>
      <c r="H61" s="398" t="n">
        <v>25</v>
      </c>
      <c r="I61" s="406" t="n">
        <v>5</v>
      </c>
      <c r="J61" s="409" t="n">
        <v>0.3</v>
      </c>
      <c r="K61" s="410" t="n">
        <v>0.15</v>
      </c>
      <c r="L61" s="410"/>
      <c r="M61" s="410"/>
      <c r="N61" s="410"/>
      <c r="O61" s="410"/>
      <c r="P61" s="410"/>
      <c r="Q61" s="410"/>
      <c r="R61" s="410" t="n">
        <v>-0.25</v>
      </c>
      <c r="S61" s="410"/>
      <c r="T61" s="410"/>
      <c r="U61" s="410"/>
      <c r="V61" s="410"/>
      <c r="W61" s="68"/>
      <c r="X61" s="396"/>
      <c r="Y61" s="408"/>
      <c r="Z61" s="408"/>
      <c r="AA61" s="397"/>
    </row>
    <row r="62" customFormat="false" ht="19.5" hidden="false" customHeight="true" outlineLevel="0" collapsed="false">
      <c r="A62" s="328" t="s">
        <v>131</v>
      </c>
      <c r="B62" s="392" t="s">
        <v>1031</v>
      </c>
      <c r="C62" s="328" t="s">
        <v>239</v>
      </c>
      <c r="D62" s="393" t="s">
        <v>1083</v>
      </c>
      <c r="F62" s="68" t="n">
        <v>2.5</v>
      </c>
      <c r="G62" s="68" t="n">
        <v>325</v>
      </c>
      <c r="H62" s="328" t="n">
        <v>25</v>
      </c>
      <c r="I62" s="392" t="n">
        <v>5</v>
      </c>
      <c r="J62" s="394"/>
      <c r="K62" s="395"/>
      <c r="L62" s="395"/>
      <c r="M62" s="395"/>
      <c r="N62" s="395"/>
      <c r="O62" s="395"/>
      <c r="P62" s="395"/>
      <c r="Q62" s="395"/>
      <c r="R62" s="395"/>
      <c r="S62" s="395"/>
      <c r="T62" s="395"/>
      <c r="U62" s="395"/>
      <c r="V62" s="395"/>
      <c r="W62" s="68"/>
      <c r="X62" s="396"/>
      <c r="Y62" s="68"/>
      <c r="Z62" s="68"/>
      <c r="AA62" s="397"/>
    </row>
    <row r="63" customFormat="false" ht="19.5" hidden="false" customHeight="true" outlineLevel="0" collapsed="false">
      <c r="A63" s="328" t="s">
        <v>131</v>
      </c>
      <c r="B63" s="392" t="s">
        <v>1031</v>
      </c>
      <c r="C63" s="328" t="s">
        <v>239</v>
      </c>
      <c r="D63" s="393" t="s">
        <v>1084</v>
      </c>
      <c r="E63" s="68" t="n">
        <v>3</v>
      </c>
      <c r="F63" s="68" t="n">
        <v>3</v>
      </c>
      <c r="G63" s="68" t="n">
        <v>1375</v>
      </c>
      <c r="H63" s="328" t="n">
        <v>0</v>
      </c>
      <c r="I63" s="392" t="n">
        <f aca="false">1.8 * MIN(6, MAX(E63,F63)) + 0.45 * MIN(6, MIN(E63,F63)) + IF(E63&gt;6, (E63-6)*0.2) + IF(F63&gt;6, (F63-6)*0.2)</f>
        <v>6.75</v>
      </c>
      <c r="J63" s="394"/>
      <c r="K63" s="395"/>
      <c r="L63" s="395"/>
      <c r="M63" s="395"/>
      <c r="N63" s="395"/>
      <c r="O63" s="395"/>
      <c r="P63" s="395"/>
      <c r="Q63" s="395"/>
      <c r="R63" s="395"/>
      <c r="S63" s="395"/>
      <c r="T63" s="395"/>
      <c r="U63" s="395"/>
      <c r="V63" s="395"/>
      <c r="W63" s="68"/>
      <c r="X63" s="396"/>
      <c r="Y63" s="68"/>
      <c r="Z63" s="68"/>
      <c r="AA63" s="397"/>
    </row>
    <row r="64" s="401" customFormat="true" ht="19.5" hidden="false" customHeight="true" outlineLevel="0" collapsed="false">
      <c r="A64" s="401" t="s">
        <v>131</v>
      </c>
      <c r="B64" s="411" t="s">
        <v>1031</v>
      </c>
      <c r="C64" s="401" t="s">
        <v>239</v>
      </c>
      <c r="D64" s="399" t="s">
        <v>1085</v>
      </c>
      <c r="E64" s="400" t="n">
        <v>3</v>
      </c>
      <c r="F64" s="400" t="n">
        <v>2</v>
      </c>
      <c r="G64" s="400" t="n">
        <v>990</v>
      </c>
      <c r="H64" s="401" t="n">
        <v>50</v>
      </c>
      <c r="I64" s="392" t="n">
        <f aca="false">1.8 * MIN(6, MAX(E64,F64)) + 0.45 * MIN(6, MIN(E64,F64)) + IF(E64&gt;6, (E64-6)*0.2) + IF(F64&gt;6, (F64-6)*0.2)</f>
        <v>6.3</v>
      </c>
      <c r="J64" s="402"/>
      <c r="K64" s="403"/>
      <c r="L64" s="403"/>
      <c r="M64" s="403"/>
      <c r="N64" s="403"/>
      <c r="O64" s="403"/>
      <c r="P64" s="403"/>
      <c r="Q64" s="403"/>
      <c r="R64" s="403"/>
      <c r="S64" s="403"/>
      <c r="T64" s="403"/>
      <c r="U64" s="403"/>
      <c r="V64" s="403"/>
      <c r="W64" s="400"/>
      <c r="X64" s="404"/>
      <c r="Y64" s="400"/>
      <c r="Z64" s="400"/>
      <c r="AA64" s="405"/>
    </row>
    <row r="65" s="398" customFormat="true" ht="19.5" hidden="false" customHeight="true" outlineLevel="0" collapsed="false">
      <c r="A65" s="398" t="s">
        <v>136</v>
      </c>
      <c r="B65" s="406" t="s">
        <v>1036</v>
      </c>
      <c r="C65" s="398" t="s">
        <v>242</v>
      </c>
      <c r="D65" s="407" t="s">
        <v>1086</v>
      </c>
      <c r="E65" s="408" t="n">
        <v>3</v>
      </c>
      <c r="F65" s="408"/>
      <c r="G65" s="408" t="n">
        <v>275</v>
      </c>
      <c r="H65" s="398" t="n">
        <v>0</v>
      </c>
      <c r="I65" s="406" t="n">
        <v>5</v>
      </c>
      <c r="J65" s="409" t="n">
        <v>0.05</v>
      </c>
      <c r="K65" s="410"/>
      <c r="L65" s="410"/>
      <c r="M65" s="410"/>
      <c r="N65" s="410"/>
      <c r="O65" s="410"/>
      <c r="P65" s="410"/>
      <c r="Q65" s="410"/>
      <c r="R65" s="410" t="n">
        <v>-0.15</v>
      </c>
      <c r="S65" s="410"/>
      <c r="T65" s="410"/>
      <c r="U65" s="410" t="n">
        <v>0.1</v>
      </c>
      <c r="V65" s="410"/>
      <c r="W65" s="68"/>
      <c r="X65" s="396"/>
      <c r="Y65" s="408"/>
      <c r="Z65" s="408"/>
      <c r="AA65" s="397"/>
    </row>
    <row r="66" customFormat="false" ht="19.5" hidden="false" customHeight="true" outlineLevel="0" collapsed="false">
      <c r="A66" s="328" t="s">
        <v>136</v>
      </c>
      <c r="B66" s="392" t="s">
        <v>1036</v>
      </c>
      <c r="C66" s="328" t="s">
        <v>242</v>
      </c>
      <c r="D66" s="393" t="s">
        <v>1087</v>
      </c>
      <c r="F66" s="68" t="n">
        <v>3</v>
      </c>
      <c r="G66" s="68" t="n">
        <v>275</v>
      </c>
      <c r="H66" s="328" t="n">
        <v>0</v>
      </c>
      <c r="I66" s="392" t="n">
        <v>5</v>
      </c>
      <c r="J66" s="394"/>
      <c r="K66" s="395"/>
      <c r="L66" s="395"/>
      <c r="M66" s="395"/>
      <c r="N66" s="395"/>
      <c r="O66" s="395"/>
      <c r="P66" s="395"/>
      <c r="Q66" s="395"/>
      <c r="R66" s="395"/>
      <c r="S66" s="395"/>
      <c r="T66" s="395"/>
      <c r="U66" s="395"/>
      <c r="V66" s="395"/>
      <c r="W66" s="68"/>
      <c r="X66" s="396"/>
      <c r="Y66" s="68"/>
      <c r="Z66" s="68"/>
      <c r="AA66" s="397"/>
    </row>
    <row r="67" customFormat="false" ht="19.5" hidden="false" customHeight="true" outlineLevel="0" collapsed="false">
      <c r="A67" s="328" t="s">
        <v>136</v>
      </c>
      <c r="B67" s="392" t="s">
        <v>1036</v>
      </c>
      <c r="C67" s="328" t="s">
        <v>242</v>
      </c>
      <c r="D67" s="393" t="s">
        <v>137</v>
      </c>
      <c r="E67" s="68" t="n">
        <v>4</v>
      </c>
      <c r="F67" s="68" t="n">
        <v>4</v>
      </c>
      <c r="G67" s="68" t="n">
        <v>900</v>
      </c>
      <c r="H67" s="328" t="n">
        <v>0</v>
      </c>
      <c r="I67" s="392" t="n">
        <f aca="false">1.8 * MIN(6, MAX(E67,F67)) + 0.45 * MIN(6, MIN(E67,F67)) + IF(E67&gt;6, (E67-6)*0.2) + IF(F67&gt;6, (F67-6)*0.2)</f>
        <v>9</v>
      </c>
      <c r="J67" s="394"/>
      <c r="K67" s="395"/>
      <c r="L67" s="395"/>
      <c r="M67" s="395"/>
      <c r="N67" s="395"/>
      <c r="O67" s="395"/>
      <c r="P67" s="395"/>
      <c r="Q67" s="395"/>
      <c r="R67" s="395"/>
      <c r="S67" s="395"/>
      <c r="T67" s="395"/>
      <c r="U67" s="395"/>
      <c r="V67" s="395"/>
      <c r="W67" s="68"/>
      <c r="X67" s="396"/>
      <c r="Y67" s="68"/>
      <c r="Z67" s="68"/>
      <c r="AA67" s="397"/>
    </row>
    <row r="68" s="401" customFormat="true" ht="19.5" hidden="false" customHeight="true" outlineLevel="0" collapsed="false">
      <c r="A68" s="401" t="s">
        <v>136</v>
      </c>
      <c r="B68" s="411" t="s">
        <v>1036</v>
      </c>
      <c r="C68" s="401" t="s">
        <v>242</v>
      </c>
      <c r="D68" s="399" t="s">
        <v>1088</v>
      </c>
      <c r="E68" s="400" t="n">
        <v>6</v>
      </c>
      <c r="F68" s="400" t="n">
        <v>2</v>
      </c>
      <c r="G68" s="400" t="n">
        <v>1090</v>
      </c>
      <c r="H68" s="401" t="n">
        <v>0</v>
      </c>
      <c r="I68" s="411" t="n">
        <f aca="false">1.8 * MIN(6, MAX(E68,F68)) + 0.45 * MIN(6, MIN(E68,F68)) + IF(E68&gt;6, (E68-6)*0.2) + IF(F68&gt;6, (F68-6)*0.2)</f>
        <v>11.7</v>
      </c>
      <c r="J68" s="402"/>
      <c r="K68" s="403"/>
      <c r="L68" s="403"/>
      <c r="M68" s="403"/>
      <c r="N68" s="403"/>
      <c r="O68" s="403"/>
      <c r="P68" s="403"/>
      <c r="Q68" s="403"/>
      <c r="R68" s="403"/>
      <c r="S68" s="403"/>
      <c r="T68" s="403"/>
      <c r="U68" s="403"/>
      <c r="V68" s="403"/>
      <c r="W68" s="400"/>
      <c r="X68" s="404"/>
      <c r="Y68" s="400"/>
      <c r="Z68" s="400"/>
      <c r="AA68" s="405"/>
    </row>
    <row r="69" s="398" customFormat="true" ht="19.5" hidden="false" customHeight="true" outlineLevel="0" collapsed="false">
      <c r="A69" s="398" t="s">
        <v>122</v>
      </c>
      <c r="B69" s="406" t="s">
        <v>1036</v>
      </c>
      <c r="C69" s="398" t="s">
        <v>238</v>
      </c>
      <c r="D69" s="407" t="s">
        <v>1089</v>
      </c>
      <c r="E69" s="408" t="n">
        <v>3</v>
      </c>
      <c r="F69" s="408"/>
      <c r="G69" s="408" t="n">
        <v>300</v>
      </c>
      <c r="H69" s="398" t="n">
        <v>0</v>
      </c>
      <c r="I69" s="406" t="n">
        <v>5</v>
      </c>
      <c r="J69" s="409"/>
      <c r="K69" s="410"/>
      <c r="L69" s="410"/>
      <c r="M69" s="410"/>
      <c r="N69" s="410" t="n">
        <v>-0.1</v>
      </c>
      <c r="O69" s="410"/>
      <c r="P69" s="410"/>
      <c r="Q69" s="410"/>
      <c r="R69" s="410" t="n">
        <v>-0.5</v>
      </c>
      <c r="S69" s="410" t="n">
        <v>0.05</v>
      </c>
      <c r="T69" s="410"/>
      <c r="U69" s="410"/>
      <c r="V69" s="410"/>
      <c r="W69" s="68"/>
      <c r="X69" s="396"/>
      <c r="Y69" s="408"/>
      <c r="Z69" s="408"/>
      <c r="AA69" s="397"/>
    </row>
    <row r="70" customFormat="false" ht="19.5" hidden="false" customHeight="true" outlineLevel="0" collapsed="false">
      <c r="A70" s="328" t="s">
        <v>122</v>
      </c>
      <c r="B70" s="392" t="s">
        <v>1036</v>
      </c>
      <c r="C70" s="328" t="s">
        <v>238</v>
      </c>
      <c r="D70" s="393" t="s">
        <v>1090</v>
      </c>
      <c r="F70" s="68" t="n">
        <v>3</v>
      </c>
      <c r="G70" s="68" t="n">
        <v>350</v>
      </c>
      <c r="H70" s="328" t="n">
        <v>25</v>
      </c>
      <c r="I70" s="392" t="n">
        <v>5</v>
      </c>
      <c r="J70" s="394"/>
      <c r="K70" s="395"/>
      <c r="L70" s="395"/>
      <c r="M70" s="395"/>
      <c r="N70" s="395"/>
      <c r="O70" s="395"/>
      <c r="P70" s="395"/>
      <c r="Q70" s="395"/>
      <c r="R70" s="395"/>
      <c r="S70" s="395"/>
      <c r="T70" s="395"/>
      <c r="U70" s="395"/>
      <c r="V70" s="395"/>
      <c r="W70" s="68"/>
      <c r="X70" s="396"/>
      <c r="Y70" s="68"/>
      <c r="Z70" s="68"/>
      <c r="AA70" s="397"/>
    </row>
    <row r="71" customFormat="false" ht="19.5" hidden="false" customHeight="true" outlineLevel="0" collapsed="false">
      <c r="A71" s="328" t="s">
        <v>122</v>
      </c>
      <c r="B71" s="392" t="s">
        <v>1036</v>
      </c>
      <c r="C71" s="328" t="s">
        <v>238</v>
      </c>
      <c r="D71" s="393" t="s">
        <v>1091</v>
      </c>
      <c r="E71" s="68" t="n">
        <v>3</v>
      </c>
      <c r="F71" s="68" t="n">
        <v>3</v>
      </c>
      <c r="G71" s="68" t="n">
        <v>965</v>
      </c>
      <c r="H71" s="328" t="n">
        <v>100</v>
      </c>
      <c r="I71" s="392" t="n">
        <f aca="false">1.8 * MIN(6, MAX(E71,F71)) + 0.45 * MIN(6, MIN(E71,F71)) + IF(E71&gt;6, (E71-6)*0.2) + IF(F71&gt;6, (F71-6)*0.2)</f>
        <v>6.75</v>
      </c>
      <c r="J71" s="394"/>
      <c r="K71" s="395"/>
      <c r="L71" s="395"/>
      <c r="M71" s="395"/>
      <c r="N71" s="395"/>
      <c r="O71" s="395"/>
      <c r="P71" s="395"/>
      <c r="Q71" s="395"/>
      <c r="R71" s="395"/>
      <c r="S71" s="395"/>
      <c r="T71" s="395"/>
      <c r="U71" s="395"/>
      <c r="V71" s="395"/>
      <c r="W71" s="68"/>
      <c r="X71" s="396"/>
      <c r="Y71" s="68"/>
      <c r="Z71" s="68"/>
      <c r="AA71" s="397"/>
    </row>
    <row r="72" s="401" customFormat="true" ht="19.5" hidden="false" customHeight="true" outlineLevel="0" collapsed="false">
      <c r="A72" s="401" t="s">
        <v>122</v>
      </c>
      <c r="B72" s="411" t="s">
        <v>1036</v>
      </c>
      <c r="C72" s="401" t="s">
        <v>238</v>
      </c>
      <c r="D72" s="399" t="s">
        <v>124</v>
      </c>
      <c r="E72" s="400" t="n">
        <v>4</v>
      </c>
      <c r="F72" s="400" t="n">
        <v>2</v>
      </c>
      <c r="G72" s="400" t="n">
        <v>1100</v>
      </c>
      <c r="H72" s="401" t="n">
        <v>0</v>
      </c>
      <c r="I72" s="411" t="n">
        <f aca="false">1.8 * MIN(6, MAX(E72,F72)) + 0.45 * MIN(6, MIN(E72,F72)) + IF(E72&gt;6, (E72-6)*0.2) + IF(F72&gt;6, (F72-6)*0.2)</f>
        <v>8.1</v>
      </c>
      <c r="J72" s="402"/>
      <c r="K72" s="403"/>
      <c r="L72" s="403"/>
      <c r="M72" s="403"/>
      <c r="N72" s="403"/>
      <c r="O72" s="403"/>
      <c r="P72" s="403"/>
      <c r="Q72" s="403"/>
      <c r="R72" s="403"/>
      <c r="S72" s="403"/>
      <c r="T72" s="403"/>
      <c r="U72" s="403"/>
      <c r="V72" s="403"/>
      <c r="W72" s="400"/>
      <c r="X72" s="404"/>
      <c r="Y72" s="400"/>
      <c r="Z72" s="400"/>
      <c r="AA72" s="405"/>
    </row>
    <row r="73" customFormat="false" ht="19.5" hidden="false" customHeight="true" outlineLevel="0" collapsed="false">
      <c r="A73" s="398" t="s">
        <v>9</v>
      </c>
      <c r="B73" s="406" t="s">
        <v>1031</v>
      </c>
      <c r="C73" s="398" t="s">
        <v>241</v>
      </c>
      <c r="D73" s="407" t="s">
        <v>1092</v>
      </c>
      <c r="E73" s="408" t="n">
        <v>3</v>
      </c>
      <c r="F73" s="408"/>
      <c r="G73" s="408" t="n">
        <v>300</v>
      </c>
      <c r="H73" s="398" t="n">
        <v>0</v>
      </c>
      <c r="I73" s="406" t="n">
        <v>5</v>
      </c>
      <c r="J73" s="409" t="n">
        <v>0.05</v>
      </c>
      <c r="K73" s="410"/>
      <c r="L73" s="410"/>
      <c r="M73" s="410"/>
      <c r="N73" s="410" t="n">
        <v>-0.1</v>
      </c>
      <c r="O73" s="410"/>
      <c r="P73" s="410"/>
      <c r="Q73" s="410" t="n">
        <v>0.15</v>
      </c>
      <c r="R73" s="410"/>
      <c r="S73" s="410"/>
      <c r="T73" s="410"/>
      <c r="U73" s="410"/>
      <c r="V73" s="410"/>
      <c r="W73" s="68"/>
      <c r="X73" s="396"/>
      <c r="Y73" s="413" t="n">
        <v>-0.1</v>
      </c>
      <c r="Z73" s="68"/>
      <c r="AA73" s="414"/>
    </row>
    <row r="74" customFormat="false" ht="19.5" hidden="false" customHeight="true" outlineLevel="0" collapsed="false">
      <c r="A74" s="328" t="s">
        <v>9</v>
      </c>
      <c r="B74" s="392" t="s">
        <v>1031</v>
      </c>
      <c r="C74" s="328" t="s">
        <v>241</v>
      </c>
      <c r="D74" s="393" t="s">
        <v>1093</v>
      </c>
      <c r="F74" s="68" t="n">
        <v>3</v>
      </c>
      <c r="G74" s="68" t="n">
        <v>300</v>
      </c>
      <c r="H74" s="328" t="n">
        <v>0</v>
      </c>
      <c r="I74" s="392" t="n">
        <v>5</v>
      </c>
      <c r="J74" s="394"/>
      <c r="K74" s="395"/>
      <c r="L74" s="395"/>
      <c r="M74" s="395"/>
      <c r="N74" s="395"/>
      <c r="O74" s="395"/>
      <c r="P74" s="395"/>
      <c r="Q74" s="395"/>
      <c r="R74" s="395"/>
      <c r="S74" s="395"/>
      <c r="T74" s="395"/>
      <c r="U74" s="395"/>
      <c r="V74" s="395"/>
      <c r="W74" s="68"/>
      <c r="X74" s="396"/>
      <c r="Y74" s="68"/>
      <c r="Z74" s="68"/>
      <c r="AA74" s="397"/>
    </row>
    <row r="75" customFormat="false" ht="19.5" hidden="false" customHeight="true" outlineLevel="0" collapsed="false">
      <c r="A75" s="328" t="s">
        <v>9</v>
      </c>
      <c r="B75" s="392" t="s">
        <v>1031</v>
      </c>
      <c r="C75" s="328" t="s">
        <v>241</v>
      </c>
      <c r="D75" s="393" t="s">
        <v>1094</v>
      </c>
      <c r="E75" s="68" t="n">
        <v>0</v>
      </c>
      <c r="F75" s="68" t="n">
        <v>4.5</v>
      </c>
      <c r="G75" s="68" t="n">
        <v>925</v>
      </c>
      <c r="H75" s="328" t="n">
        <v>0</v>
      </c>
      <c r="I75" s="392" t="n">
        <f aca="false">1.8 * MIN(6, MAX(E75,F75)) + 0.45 * MIN(6, MIN(E75,F75)) + IF(E75&gt;6, (E75-6)*0.2) + IF(F75&gt;6, (F75-6)*0.2)</f>
        <v>8.1</v>
      </c>
      <c r="J75" s="394"/>
      <c r="K75" s="395"/>
      <c r="L75" s="395"/>
      <c r="M75" s="395"/>
      <c r="N75" s="395"/>
      <c r="O75" s="395"/>
      <c r="P75" s="395"/>
      <c r="Q75" s="395"/>
      <c r="R75" s="395"/>
      <c r="S75" s="395"/>
      <c r="T75" s="395"/>
      <c r="U75" s="395"/>
      <c r="V75" s="395"/>
      <c r="W75" s="68"/>
      <c r="X75" s="396"/>
      <c r="Y75" s="68"/>
      <c r="Z75" s="68"/>
      <c r="AA75" s="397"/>
    </row>
    <row r="76" customFormat="false" ht="19.5" hidden="false" customHeight="true" outlineLevel="0" collapsed="false">
      <c r="A76" s="401" t="s">
        <v>9</v>
      </c>
      <c r="B76" s="411" t="s">
        <v>1031</v>
      </c>
      <c r="C76" s="401" t="s">
        <v>241</v>
      </c>
      <c r="D76" s="399" t="s">
        <v>1095</v>
      </c>
      <c r="E76" s="400" t="n">
        <v>5</v>
      </c>
      <c r="F76" s="400" t="n">
        <v>3</v>
      </c>
      <c r="G76" s="400" t="n">
        <v>950</v>
      </c>
      <c r="H76" s="401" t="n">
        <v>0</v>
      </c>
      <c r="I76" s="411" t="n">
        <f aca="false">1.8 * MIN(6, MAX(E76,F76)) + 0.45 * MIN(6, MIN(E76,F76)) + IF(E76&gt;6, (E76-6)*0.2) + IF(F76&gt;6, (F76-6)*0.2)</f>
        <v>10.35</v>
      </c>
      <c r="J76" s="402"/>
      <c r="K76" s="403"/>
      <c r="L76" s="403"/>
      <c r="M76" s="403"/>
      <c r="N76" s="403"/>
      <c r="O76" s="403"/>
      <c r="P76" s="403"/>
      <c r="Q76" s="403"/>
      <c r="R76" s="403"/>
      <c r="S76" s="403"/>
      <c r="T76" s="403"/>
      <c r="U76" s="403"/>
      <c r="V76" s="403"/>
      <c r="W76" s="400"/>
      <c r="X76" s="404"/>
      <c r="Y76" s="400"/>
      <c r="Z76" s="68"/>
      <c r="AA76" s="405"/>
    </row>
    <row r="77" customFormat="false" ht="19.5" hidden="false" customHeight="true" outlineLevel="0" collapsed="false">
      <c r="A77" s="398" t="s">
        <v>125</v>
      </c>
      <c r="B77" s="406" t="s">
        <v>1036</v>
      </c>
      <c r="C77" s="415" t="s">
        <v>237</v>
      </c>
      <c r="D77" s="398" t="s">
        <v>1096</v>
      </c>
      <c r="E77" s="408" t="n">
        <v>4</v>
      </c>
      <c r="F77" s="408"/>
      <c r="G77" s="408" t="n">
        <v>385</v>
      </c>
      <c r="H77" s="398" t="n">
        <v>30</v>
      </c>
      <c r="I77" s="406" t="n">
        <v>5</v>
      </c>
      <c r="J77" s="409"/>
      <c r="K77" s="410"/>
      <c r="L77" s="410"/>
      <c r="M77" s="410"/>
      <c r="N77" s="410" t="n">
        <v>0.5</v>
      </c>
      <c r="O77" s="410"/>
      <c r="P77" s="410"/>
      <c r="Q77" s="410"/>
      <c r="R77" s="410"/>
      <c r="S77" s="410"/>
      <c r="T77" s="410"/>
      <c r="U77" s="410"/>
      <c r="V77" s="410"/>
      <c r="W77" s="68"/>
      <c r="X77" s="396"/>
      <c r="Y77" s="68"/>
      <c r="Z77" s="408"/>
      <c r="AA77" s="397"/>
    </row>
    <row r="78" customFormat="false" ht="19.5" hidden="false" customHeight="true" outlineLevel="0" collapsed="false">
      <c r="A78" s="328" t="s">
        <v>125</v>
      </c>
      <c r="B78" s="392" t="s">
        <v>1036</v>
      </c>
      <c r="C78" s="416" t="s">
        <v>237</v>
      </c>
      <c r="D78" s="328" t="s">
        <v>206</v>
      </c>
      <c r="F78" s="68" t="n">
        <v>3</v>
      </c>
      <c r="G78" s="68" t="n">
        <v>300</v>
      </c>
      <c r="H78" s="328" t="n">
        <v>0</v>
      </c>
      <c r="I78" s="392" t="n">
        <v>5</v>
      </c>
      <c r="J78" s="394"/>
      <c r="K78" s="395"/>
      <c r="L78" s="395"/>
      <c r="M78" s="395"/>
      <c r="N78" s="395"/>
      <c r="O78" s="395"/>
      <c r="P78" s="395"/>
      <c r="Q78" s="395"/>
      <c r="R78" s="395"/>
      <c r="S78" s="395"/>
      <c r="T78" s="395"/>
      <c r="U78" s="395"/>
      <c r="V78" s="395"/>
      <c r="W78" s="68"/>
      <c r="X78" s="396"/>
      <c r="Y78" s="68"/>
      <c r="Z78" s="68"/>
      <c r="AA78" s="397"/>
    </row>
    <row r="79" customFormat="false" ht="19.5" hidden="false" customHeight="true" outlineLevel="0" collapsed="false">
      <c r="A79" s="328" t="s">
        <v>125</v>
      </c>
      <c r="B79" s="392" t="s">
        <v>1036</v>
      </c>
      <c r="C79" s="416" t="s">
        <v>237</v>
      </c>
      <c r="D79" s="328" t="s">
        <v>1097</v>
      </c>
      <c r="E79" s="68" t="n">
        <v>0</v>
      </c>
      <c r="F79" s="68" t="n">
        <v>5</v>
      </c>
      <c r="G79" s="68" t="n">
        <v>965</v>
      </c>
      <c r="H79" s="328" t="n">
        <v>0</v>
      </c>
      <c r="I79" s="392" t="n">
        <f aca="false">1.8 * MIN(6, MAX(E79,F79)) + 0.45 * MIN(6, MIN(E79,F79)) + IF(E79&gt;6, (E79-6)*0.2) + IF(F79&gt;6, (F79-6)*0.2)</f>
        <v>9</v>
      </c>
      <c r="J79" s="394"/>
      <c r="K79" s="395"/>
      <c r="L79" s="395"/>
      <c r="M79" s="395"/>
      <c r="N79" s="395"/>
      <c r="O79" s="395"/>
      <c r="P79" s="395"/>
      <c r="Q79" s="395"/>
      <c r="R79" s="395"/>
      <c r="S79" s="395"/>
      <c r="T79" s="395"/>
      <c r="U79" s="395"/>
      <c r="V79" s="395"/>
      <c r="W79" s="68"/>
      <c r="X79" s="396"/>
      <c r="Y79" s="68"/>
      <c r="Z79" s="68"/>
      <c r="AA79" s="397"/>
    </row>
    <row r="80" customFormat="false" ht="19.5" hidden="false" customHeight="true" outlineLevel="0" collapsed="false">
      <c r="A80" s="401" t="s">
        <v>125</v>
      </c>
      <c r="B80" s="411" t="s">
        <v>1036</v>
      </c>
      <c r="C80" s="417" t="s">
        <v>237</v>
      </c>
      <c r="D80" s="401" t="s">
        <v>127</v>
      </c>
      <c r="E80" s="400" t="n">
        <v>4</v>
      </c>
      <c r="F80" s="400" t="n">
        <v>3</v>
      </c>
      <c r="G80" s="400" t="n">
        <v>1150</v>
      </c>
      <c r="H80" s="401" t="n">
        <v>120</v>
      </c>
      <c r="I80" s="411" t="n">
        <f aca="false">1.8 * MIN(6, MAX(E80,F80)) + 0.45 * MIN(6, MIN(E80,F80)) + IF(E80&gt;6, (E80-6)*0.2) + IF(F80&gt;6, (F80-6)*0.2)</f>
        <v>8.55</v>
      </c>
      <c r="J80" s="402"/>
      <c r="K80" s="403"/>
      <c r="L80" s="403"/>
      <c r="M80" s="403"/>
      <c r="N80" s="403"/>
      <c r="O80" s="403"/>
      <c r="P80" s="403"/>
      <c r="Q80" s="403"/>
      <c r="R80" s="403"/>
      <c r="S80" s="403"/>
      <c r="T80" s="403"/>
      <c r="U80" s="403"/>
      <c r="V80" s="403"/>
      <c r="W80" s="400"/>
      <c r="X80" s="404"/>
      <c r="Y80" s="400"/>
      <c r="Z80" s="400"/>
      <c r="AA80" s="405"/>
    </row>
    <row r="81" customFormat="false" ht="19.5" hidden="false" customHeight="true" outlineLevel="0" collapsed="false">
      <c r="A81" s="398" t="s">
        <v>128</v>
      </c>
      <c r="B81" s="406" t="s">
        <v>1036</v>
      </c>
      <c r="C81" s="415" t="s">
        <v>240</v>
      </c>
      <c r="D81" s="398" t="s">
        <v>1098</v>
      </c>
      <c r="E81" s="408" t="n">
        <v>3</v>
      </c>
      <c r="F81" s="408"/>
      <c r="G81" s="408" t="n">
        <v>300</v>
      </c>
      <c r="H81" s="398" t="n">
        <v>0</v>
      </c>
      <c r="I81" s="406" t="n">
        <v>5</v>
      </c>
      <c r="J81" s="409"/>
      <c r="K81" s="410"/>
      <c r="L81" s="410"/>
      <c r="M81" s="410"/>
      <c r="N81" s="410"/>
      <c r="O81" s="410" t="n">
        <v>0.1</v>
      </c>
      <c r="P81" s="410"/>
      <c r="Q81" s="410"/>
      <c r="R81" s="410" t="n">
        <v>-0.2</v>
      </c>
      <c r="S81" s="410"/>
      <c r="T81" s="410"/>
      <c r="U81" s="410"/>
      <c r="V81" s="410"/>
      <c r="W81" s="68"/>
      <c r="X81" s="396"/>
      <c r="Y81" s="68"/>
      <c r="Z81" s="395" t="n">
        <v>0.15</v>
      </c>
      <c r="AA81" s="414"/>
    </row>
    <row r="82" customFormat="false" ht="19.5" hidden="false" customHeight="true" outlineLevel="0" collapsed="false">
      <c r="A82" s="328" t="s">
        <v>128</v>
      </c>
      <c r="B82" s="392" t="s">
        <v>1036</v>
      </c>
      <c r="C82" s="416" t="s">
        <v>240</v>
      </c>
      <c r="D82" s="328" t="s">
        <v>1099</v>
      </c>
      <c r="F82" s="68" t="n">
        <v>3</v>
      </c>
      <c r="G82" s="68" t="n">
        <v>325</v>
      </c>
      <c r="H82" s="328" t="n">
        <v>8</v>
      </c>
      <c r="I82" s="392" t="n">
        <v>5</v>
      </c>
      <c r="J82" s="394"/>
      <c r="K82" s="395"/>
      <c r="L82" s="395"/>
      <c r="M82" s="395"/>
      <c r="N82" s="395"/>
      <c r="O82" s="395"/>
      <c r="P82" s="395"/>
      <c r="Q82" s="395"/>
      <c r="R82" s="395"/>
      <c r="S82" s="395"/>
      <c r="T82" s="395"/>
      <c r="U82" s="395"/>
      <c r="V82" s="395"/>
      <c r="W82" s="68"/>
      <c r="X82" s="396"/>
      <c r="Y82" s="68"/>
      <c r="Z82" s="68"/>
      <c r="AA82" s="397"/>
    </row>
    <row r="83" customFormat="false" ht="19.5" hidden="false" customHeight="true" outlineLevel="0" collapsed="false">
      <c r="A83" s="328" t="s">
        <v>128</v>
      </c>
      <c r="B83" s="392" t="s">
        <v>1036</v>
      </c>
      <c r="C83" s="416" t="s">
        <v>240</v>
      </c>
      <c r="D83" s="328" t="s">
        <v>129</v>
      </c>
      <c r="E83" s="68" t="n">
        <v>0</v>
      </c>
      <c r="F83" s="68" t="n">
        <v>2</v>
      </c>
      <c r="G83" s="68" t="n">
        <v>975</v>
      </c>
      <c r="H83" s="328" t="n">
        <v>25</v>
      </c>
      <c r="I83" s="392" t="n">
        <f aca="false">1.8 * MIN(6, MAX(E83,F83)) + 0.45 * MIN(6, MIN(E83,F83)) + IF(E83&gt;6, (E83-6)*0.2) + IF(F83&gt;6, (F83-6)*0.2)</f>
        <v>3.6</v>
      </c>
      <c r="J83" s="394"/>
      <c r="K83" s="395"/>
      <c r="L83" s="395"/>
      <c r="M83" s="395"/>
      <c r="N83" s="395"/>
      <c r="O83" s="395"/>
      <c r="P83" s="395"/>
      <c r="Q83" s="395"/>
      <c r="R83" s="395"/>
      <c r="S83" s="395"/>
      <c r="T83" s="395"/>
      <c r="U83" s="395"/>
      <c r="V83" s="395"/>
      <c r="W83" s="68"/>
      <c r="X83" s="396"/>
      <c r="Y83" s="68"/>
      <c r="Z83" s="68"/>
      <c r="AA83" s="397"/>
    </row>
    <row r="84" customFormat="false" ht="19.5" hidden="false" customHeight="true" outlineLevel="0" collapsed="false">
      <c r="A84" s="401" t="s">
        <v>128</v>
      </c>
      <c r="B84" s="411" t="s">
        <v>1036</v>
      </c>
      <c r="C84" s="417" t="s">
        <v>240</v>
      </c>
      <c r="D84" s="401" t="s">
        <v>1100</v>
      </c>
      <c r="E84" s="400" t="n">
        <v>5</v>
      </c>
      <c r="F84" s="400" t="n">
        <v>2</v>
      </c>
      <c r="G84" s="400" t="n">
        <v>970</v>
      </c>
      <c r="H84" s="401" t="n">
        <v>0</v>
      </c>
      <c r="I84" s="411" t="n">
        <f aca="false">1.8 * MIN(6, MAX(E84,F84)) + 0.45 * MIN(6, MIN(E84,F84)) + IF(E84&gt;6, (E84-6)*0.2) + IF(F84&gt;6, (F84-6)*0.2)</f>
        <v>9.9</v>
      </c>
      <c r="J84" s="402"/>
      <c r="K84" s="403"/>
      <c r="L84" s="403"/>
      <c r="M84" s="403"/>
      <c r="N84" s="403"/>
      <c r="O84" s="403"/>
      <c r="P84" s="403"/>
      <c r="Q84" s="403"/>
      <c r="R84" s="403"/>
      <c r="S84" s="403"/>
      <c r="T84" s="403"/>
      <c r="U84" s="403"/>
      <c r="V84" s="403"/>
      <c r="W84" s="400"/>
      <c r="X84" s="404"/>
      <c r="Y84" s="400"/>
      <c r="Z84" s="400"/>
      <c r="AA84" s="405"/>
    </row>
    <row r="85" customFormat="false" ht="19.5" hidden="false" customHeight="true" outlineLevel="0" collapsed="false">
      <c r="A85" s="328" t="s">
        <v>1017</v>
      </c>
      <c r="B85" s="392"/>
      <c r="C85" s="416" t="s">
        <v>240</v>
      </c>
      <c r="D85" s="328" t="s">
        <v>1101</v>
      </c>
      <c r="E85" s="68" t="n">
        <v>3</v>
      </c>
      <c r="F85" s="68" t="n">
        <v>0</v>
      </c>
      <c r="G85" s="68" t="n">
        <v>200</v>
      </c>
      <c r="H85" s="328" t="n">
        <v>25</v>
      </c>
      <c r="I85" s="392" t="n">
        <v>5</v>
      </c>
      <c r="J85" s="394" t="n">
        <v>0.05</v>
      </c>
      <c r="K85" s="395"/>
      <c r="L85" s="395"/>
      <c r="M85" s="395"/>
      <c r="N85" s="395"/>
      <c r="O85" s="395" t="n">
        <v>0.2</v>
      </c>
      <c r="P85" s="395"/>
      <c r="Q85" s="395"/>
      <c r="R85" s="395" t="n">
        <v>-0.5</v>
      </c>
      <c r="S85" s="395"/>
      <c r="T85" s="395"/>
      <c r="U85" s="395"/>
      <c r="V85" s="395"/>
      <c r="W85" s="68"/>
      <c r="X85" s="396"/>
      <c r="Y85" s="68"/>
      <c r="Z85" s="397"/>
      <c r="AA85" s="397"/>
    </row>
    <row r="86" customFormat="false" ht="19.5" hidden="false" customHeight="true" outlineLevel="0" collapsed="false">
      <c r="A86" s="328" t="s">
        <v>1017</v>
      </c>
      <c r="B86" s="392"/>
      <c r="C86" s="416" t="s">
        <v>240</v>
      </c>
      <c r="D86" s="328" t="s">
        <v>1102</v>
      </c>
      <c r="E86" s="68" t="n">
        <v>0</v>
      </c>
      <c r="F86" s="68" t="n">
        <v>4</v>
      </c>
      <c r="G86" s="68" t="n">
        <v>800</v>
      </c>
      <c r="H86" s="328" t="n">
        <v>0</v>
      </c>
      <c r="I86" s="392" t="n">
        <v>5</v>
      </c>
      <c r="J86" s="394"/>
      <c r="K86" s="395"/>
      <c r="L86" s="395"/>
      <c r="M86" s="395"/>
      <c r="N86" s="395"/>
      <c r="O86" s="395"/>
      <c r="P86" s="395"/>
      <c r="Q86" s="395"/>
      <c r="R86" s="395"/>
      <c r="S86" s="395"/>
      <c r="T86" s="395"/>
      <c r="U86" s="395"/>
      <c r="V86" s="395"/>
      <c r="W86" s="68"/>
      <c r="X86" s="396"/>
      <c r="Y86" s="68"/>
      <c r="Z86" s="397"/>
      <c r="AA86" s="397"/>
    </row>
    <row r="87" customFormat="false" ht="19.5" hidden="false" customHeight="true" outlineLevel="0" collapsed="false">
      <c r="A87" s="328" t="s">
        <v>1017</v>
      </c>
      <c r="B87" s="392"/>
      <c r="C87" s="416" t="s">
        <v>240</v>
      </c>
      <c r="D87" s="328" t="s">
        <v>1103</v>
      </c>
      <c r="E87" s="68" t="n">
        <v>0</v>
      </c>
      <c r="F87" s="68" t="n">
        <v>6</v>
      </c>
      <c r="G87" s="68" t="n">
        <v>1100</v>
      </c>
      <c r="H87" s="328" t="n">
        <v>30</v>
      </c>
      <c r="I87" s="392" t="n">
        <f aca="false">1.8 * MIN(6, MAX(E87,F87)) + 0.45 * MIN(6, MIN(E87,F87)) + IF(E87&gt;6, (E87-6)*0.2) + IF(F87&gt;6, (F87-6)*0.2)</f>
        <v>10.8</v>
      </c>
      <c r="J87" s="394"/>
      <c r="K87" s="395"/>
      <c r="L87" s="395"/>
      <c r="M87" s="395"/>
      <c r="N87" s="395"/>
      <c r="O87" s="395"/>
      <c r="P87" s="395"/>
      <c r="Q87" s="395"/>
      <c r="R87" s="395"/>
      <c r="S87" s="395"/>
      <c r="T87" s="395"/>
      <c r="U87" s="395"/>
      <c r="V87" s="395"/>
      <c r="W87" s="68"/>
      <c r="X87" s="396"/>
      <c r="Y87" s="68"/>
      <c r="Z87" s="397"/>
      <c r="AA87" s="397"/>
    </row>
    <row r="88" customFormat="false" ht="19.5" hidden="false" customHeight="true" outlineLevel="0" collapsed="false">
      <c r="A88" s="328" t="s">
        <v>1017</v>
      </c>
      <c r="B88" s="392"/>
      <c r="C88" s="416" t="s">
        <v>240</v>
      </c>
      <c r="D88" s="328" t="s">
        <v>1104</v>
      </c>
      <c r="E88" s="68" t="n">
        <v>4</v>
      </c>
      <c r="F88" s="68" t="n">
        <v>3</v>
      </c>
      <c r="G88" s="68" t="n">
        <v>700</v>
      </c>
      <c r="H88" s="328" t="n">
        <v>0</v>
      </c>
      <c r="I88" s="392" t="n">
        <f aca="false">1.8 * MIN(6, MAX(E88,F88)) + 0.45 * MIN(6, MIN(E88,F88)) + IF(E88&gt;6, (E88-6)*0.2) + IF(F88&gt;6, (F88-6)*0.2)</f>
        <v>8.55</v>
      </c>
      <c r="J88" s="394"/>
      <c r="K88" s="395"/>
      <c r="L88" s="395"/>
      <c r="M88" s="395"/>
      <c r="N88" s="395"/>
      <c r="O88" s="395"/>
      <c r="P88" s="395"/>
      <c r="Q88" s="395"/>
      <c r="R88" s="395"/>
      <c r="S88" s="395"/>
      <c r="T88" s="395"/>
      <c r="U88" s="395"/>
      <c r="V88" s="395"/>
      <c r="W88" s="68"/>
      <c r="X88" s="396"/>
      <c r="Y88" s="68"/>
      <c r="Z88" s="397"/>
      <c r="AA88" s="397"/>
    </row>
    <row r="89" customFormat="false" ht="19.5" hidden="false" customHeight="true" outlineLevel="0" collapsed="false">
      <c r="A89" s="384" t="s">
        <v>1105</v>
      </c>
      <c r="B89" s="392" t="s">
        <v>1105</v>
      </c>
      <c r="C89" s="416" t="s">
        <v>1105</v>
      </c>
      <c r="D89" s="34" t="s">
        <v>40</v>
      </c>
      <c r="G89" s="68" t="n">
        <v>500</v>
      </c>
      <c r="I89" s="392"/>
      <c r="J89" s="394"/>
      <c r="K89" s="395"/>
      <c r="L89" s="395"/>
      <c r="M89" s="395"/>
      <c r="N89" s="395"/>
      <c r="O89" s="395"/>
      <c r="P89" s="395"/>
      <c r="Q89" s="395"/>
      <c r="R89" s="395"/>
      <c r="S89" s="395"/>
      <c r="T89" s="395"/>
      <c r="U89" s="395"/>
      <c r="V89" s="395"/>
      <c r="W89" s="68"/>
      <c r="X89" s="396"/>
      <c r="Y89" s="68"/>
      <c r="Z89" s="68"/>
      <c r="AA89" s="397"/>
    </row>
    <row r="90" customFormat="false" ht="19.5" hidden="false" customHeight="true" outlineLevel="0" collapsed="false">
      <c r="A90" s="384" t="s">
        <v>1105</v>
      </c>
      <c r="B90" s="392" t="s">
        <v>1105</v>
      </c>
      <c r="C90" s="416" t="s">
        <v>1105</v>
      </c>
      <c r="D90" s="34" t="s">
        <v>42</v>
      </c>
      <c r="G90" s="68" t="n">
        <v>1000</v>
      </c>
      <c r="H90" s="68" t="s">
        <v>1106</v>
      </c>
      <c r="I90" s="392"/>
      <c r="J90" s="394"/>
      <c r="K90" s="395"/>
      <c r="L90" s="395"/>
      <c r="M90" s="395"/>
      <c r="N90" s="395"/>
      <c r="O90" s="395"/>
      <c r="P90" s="395"/>
      <c r="Q90" s="395"/>
      <c r="R90" s="395"/>
      <c r="S90" s="395"/>
      <c r="T90" s="395"/>
      <c r="U90" s="395"/>
      <c r="V90" s="395"/>
      <c r="W90" s="68"/>
      <c r="X90" s="396"/>
      <c r="Y90" s="68"/>
      <c r="Z90" s="397"/>
      <c r="AA90" s="397"/>
    </row>
    <row r="91" customFormat="false" ht="19.5" hidden="false" customHeight="true" outlineLevel="0" collapsed="false">
      <c r="A91" s="384" t="s">
        <v>1105</v>
      </c>
      <c r="B91" s="392" t="s">
        <v>1105</v>
      </c>
      <c r="C91" s="416" t="s">
        <v>1105</v>
      </c>
      <c r="D91" s="34" t="s">
        <v>44</v>
      </c>
      <c r="G91" s="68" t="n">
        <v>500</v>
      </c>
      <c r="I91" s="392"/>
      <c r="J91" s="394"/>
      <c r="K91" s="395"/>
      <c r="L91" s="395"/>
      <c r="M91" s="395"/>
      <c r="N91" s="395"/>
      <c r="O91" s="395"/>
      <c r="P91" s="395"/>
      <c r="Q91" s="395"/>
      <c r="R91" s="395"/>
      <c r="S91" s="395"/>
      <c r="T91" s="395"/>
      <c r="U91" s="395"/>
      <c r="V91" s="395"/>
      <c r="W91" s="68"/>
      <c r="X91" s="396"/>
      <c r="Y91" s="68"/>
      <c r="Z91" s="68"/>
      <c r="AA91" s="397"/>
    </row>
    <row r="92" customFormat="false" ht="19.5" hidden="false" customHeight="true" outlineLevel="0" collapsed="false">
      <c r="A92" s="384" t="s">
        <v>1105</v>
      </c>
      <c r="B92" s="392" t="s">
        <v>1105</v>
      </c>
      <c r="C92" s="416" t="s">
        <v>1105</v>
      </c>
      <c r="D92" s="34" t="s">
        <v>46</v>
      </c>
      <c r="G92" s="68" t="n">
        <v>1000</v>
      </c>
      <c r="H92" s="68" t="s">
        <v>1107</v>
      </c>
      <c r="I92" s="392"/>
      <c r="J92" s="394"/>
      <c r="K92" s="395"/>
      <c r="L92" s="395"/>
      <c r="M92" s="395"/>
      <c r="N92" s="395"/>
      <c r="O92" s="395"/>
      <c r="P92" s="395"/>
      <c r="Q92" s="395"/>
      <c r="R92" s="395"/>
      <c r="S92" s="395"/>
      <c r="T92" s="395"/>
      <c r="U92" s="395"/>
      <c r="V92" s="395"/>
      <c r="W92" s="68"/>
      <c r="X92" s="396"/>
      <c r="Y92" s="68"/>
      <c r="Z92" s="68"/>
      <c r="AA92" s="397"/>
    </row>
    <row r="93" customFormat="false" ht="19.5" hidden="false" customHeight="true" outlineLevel="0" collapsed="false">
      <c r="J93" s="418"/>
      <c r="K93" s="418"/>
      <c r="L93" s="418"/>
      <c r="M93" s="418"/>
      <c r="N93" s="418"/>
      <c r="O93" s="418"/>
      <c r="P93" s="418"/>
      <c r="Q93" s="418"/>
      <c r="R93" s="418"/>
      <c r="S93" s="418"/>
      <c r="T93" s="418"/>
      <c r="U93" s="418"/>
      <c r="V93" s="418"/>
    </row>
    <row r="94" customFormat="false" ht="19.5" hidden="false" customHeight="true" outlineLevel="0" collapsed="false">
      <c r="A94" s="384" t="s">
        <v>1007</v>
      </c>
      <c r="B94" s="328" t="n">
        <v>5</v>
      </c>
      <c r="D94" s="419" t="s">
        <v>1108</v>
      </c>
      <c r="J94" s="418"/>
      <c r="K94" s="418"/>
      <c r="L94" s="418"/>
      <c r="M94" s="418"/>
      <c r="N94" s="418"/>
      <c r="O94" s="418"/>
      <c r="P94" s="418"/>
      <c r="Q94" s="418"/>
      <c r="R94" s="418"/>
      <c r="S94" s="418"/>
      <c r="T94" s="418"/>
      <c r="U94" s="418"/>
      <c r="V94" s="418"/>
    </row>
    <row r="95" customFormat="false" ht="19.5" hidden="false" customHeight="true" outlineLevel="0" collapsed="false">
      <c r="A95" s="384" t="s">
        <v>480</v>
      </c>
      <c r="B95" s="328" t="n">
        <v>9</v>
      </c>
      <c r="D95" s="328" t="n">
        <v>1</v>
      </c>
      <c r="J95" s="418"/>
      <c r="K95" s="418"/>
      <c r="L95" s="418"/>
      <c r="M95" s="418"/>
      <c r="N95" s="418"/>
      <c r="O95" s="418"/>
      <c r="P95" s="418"/>
      <c r="Q95" s="418"/>
      <c r="R95" s="418"/>
      <c r="S95" s="418"/>
      <c r="T95" s="418"/>
      <c r="U95" s="418"/>
      <c r="V95" s="418"/>
    </row>
    <row r="96" customFormat="false" ht="19.5" hidden="false" customHeight="true" outlineLevel="0" collapsed="false">
      <c r="A96" s="384" t="s">
        <v>476</v>
      </c>
      <c r="B96" s="328" t="n">
        <v>13</v>
      </c>
      <c r="D96" s="328" t="n">
        <v>2</v>
      </c>
      <c r="J96" s="418"/>
      <c r="K96" s="418"/>
      <c r="L96" s="418"/>
      <c r="M96" s="418"/>
      <c r="N96" s="418"/>
      <c r="O96" s="418"/>
      <c r="P96" s="418"/>
      <c r="Q96" s="418"/>
      <c r="R96" s="418"/>
      <c r="S96" s="418"/>
      <c r="T96" s="418"/>
      <c r="U96" s="418"/>
      <c r="V96" s="418"/>
    </row>
    <row r="97" customFormat="false" ht="19.5" hidden="false" customHeight="true" outlineLevel="0" collapsed="false">
      <c r="A97" s="384" t="s">
        <v>113</v>
      </c>
      <c r="B97" s="328" t="n">
        <v>17</v>
      </c>
      <c r="D97" s="328" t="n">
        <v>3</v>
      </c>
      <c r="J97" s="418"/>
      <c r="K97" s="418"/>
      <c r="L97" s="418"/>
      <c r="M97" s="418"/>
      <c r="N97" s="418"/>
      <c r="O97" s="418"/>
      <c r="P97" s="418"/>
      <c r="Q97" s="418"/>
      <c r="R97" s="418"/>
      <c r="S97" s="418"/>
      <c r="T97" s="418"/>
      <c r="U97" s="418"/>
      <c r="V97" s="418"/>
    </row>
    <row r="98" customFormat="false" ht="19.5" hidden="false" customHeight="true" outlineLevel="0" collapsed="false">
      <c r="A98" s="384" t="s">
        <v>134</v>
      </c>
      <c r="B98" s="328" t="n">
        <v>21</v>
      </c>
      <c r="D98" s="328" t="n">
        <v>4</v>
      </c>
      <c r="J98" s="418"/>
      <c r="K98" s="418"/>
      <c r="L98" s="418"/>
      <c r="M98" s="418"/>
      <c r="N98" s="418"/>
      <c r="O98" s="418"/>
      <c r="P98" s="418"/>
      <c r="Q98" s="418"/>
      <c r="R98" s="418"/>
      <c r="S98" s="418"/>
      <c r="T98" s="418"/>
      <c r="U98" s="418"/>
      <c r="V98" s="418"/>
    </row>
    <row r="99" customFormat="false" ht="19.5" hidden="false" customHeight="true" outlineLevel="0" collapsed="false">
      <c r="A99" s="384" t="s">
        <v>118</v>
      </c>
      <c r="B99" s="328" t="n">
        <v>25</v>
      </c>
      <c r="D99" s="328" t="n">
        <v>5</v>
      </c>
      <c r="J99" s="418"/>
      <c r="K99" s="418"/>
      <c r="L99" s="418"/>
      <c r="M99" s="418"/>
      <c r="N99" s="418"/>
      <c r="O99" s="418"/>
      <c r="P99" s="418"/>
      <c r="Q99" s="418"/>
      <c r="R99" s="418"/>
      <c r="S99" s="418"/>
      <c r="T99" s="418"/>
      <c r="U99" s="418"/>
      <c r="V99" s="418"/>
    </row>
    <row r="100" customFormat="false" ht="19.5" hidden="false" customHeight="true" outlineLevel="0" collapsed="false">
      <c r="A100" s="384" t="s">
        <v>1010</v>
      </c>
      <c r="B100" s="328" t="n">
        <v>29</v>
      </c>
      <c r="D100" s="328" t="n">
        <v>6</v>
      </c>
      <c r="J100" s="418"/>
      <c r="K100" s="418"/>
      <c r="L100" s="418"/>
      <c r="M100" s="418"/>
      <c r="N100" s="418"/>
      <c r="O100" s="418"/>
      <c r="P100" s="418"/>
      <c r="Q100" s="418"/>
      <c r="R100" s="418"/>
      <c r="S100" s="418"/>
      <c r="T100" s="418"/>
      <c r="U100" s="418"/>
      <c r="V100" s="418"/>
    </row>
    <row r="101" customFormat="false" ht="19.5" hidden="false" customHeight="true" outlineLevel="0" collapsed="false">
      <c r="A101" s="384" t="s">
        <v>116</v>
      </c>
      <c r="B101" s="328" t="n">
        <v>33</v>
      </c>
      <c r="J101" s="418"/>
      <c r="K101" s="418"/>
      <c r="L101" s="418"/>
      <c r="M101" s="418"/>
      <c r="N101" s="418"/>
      <c r="O101" s="418"/>
      <c r="P101" s="418"/>
      <c r="Q101" s="418"/>
      <c r="R101" s="418"/>
      <c r="S101" s="418"/>
      <c r="T101" s="418"/>
      <c r="U101" s="418"/>
      <c r="V101" s="418"/>
    </row>
    <row r="102" customFormat="false" ht="19.5" hidden="false" customHeight="true" outlineLevel="0" collapsed="false">
      <c r="A102" s="384" t="s">
        <v>1012</v>
      </c>
      <c r="B102" s="328" t="n">
        <v>37</v>
      </c>
      <c r="J102" s="418"/>
      <c r="K102" s="418"/>
      <c r="L102" s="418"/>
      <c r="M102" s="418"/>
      <c r="N102" s="418"/>
      <c r="O102" s="418"/>
      <c r="P102" s="418"/>
      <c r="Q102" s="418"/>
      <c r="R102" s="418"/>
      <c r="S102" s="418"/>
      <c r="T102" s="418"/>
      <c r="U102" s="418"/>
      <c r="V102" s="418"/>
    </row>
    <row r="103" customFormat="false" ht="19.5" hidden="false" customHeight="true" outlineLevel="0" collapsed="false">
      <c r="A103" s="384" t="s">
        <v>1013</v>
      </c>
      <c r="B103" s="328" t="n">
        <v>41</v>
      </c>
      <c r="J103" s="418"/>
      <c r="K103" s="418"/>
      <c r="L103" s="418"/>
      <c r="M103" s="418"/>
      <c r="N103" s="418"/>
      <c r="O103" s="418"/>
      <c r="P103" s="418"/>
      <c r="Q103" s="418"/>
      <c r="R103" s="418"/>
      <c r="S103" s="418"/>
      <c r="T103" s="418"/>
      <c r="U103" s="418"/>
      <c r="V103" s="418"/>
    </row>
    <row r="104" customFormat="false" ht="19.5" hidden="false" customHeight="true" outlineLevel="0" collapsed="false">
      <c r="A104" s="384" t="s">
        <v>120</v>
      </c>
      <c r="B104" s="328" t="n">
        <v>45</v>
      </c>
      <c r="J104" s="418"/>
      <c r="K104" s="418"/>
      <c r="L104" s="418"/>
      <c r="M104" s="418"/>
      <c r="N104" s="418"/>
      <c r="O104" s="418"/>
      <c r="P104" s="418"/>
      <c r="Q104" s="418"/>
      <c r="R104" s="418"/>
      <c r="S104" s="418"/>
      <c r="T104" s="418"/>
      <c r="U104" s="418"/>
      <c r="V104" s="418"/>
    </row>
    <row r="105" customFormat="false" ht="19.5" hidden="false" customHeight="true" outlineLevel="0" collapsed="false">
      <c r="A105" s="384" t="s">
        <v>1014</v>
      </c>
      <c r="B105" s="328" t="n">
        <v>49</v>
      </c>
      <c r="J105" s="418"/>
      <c r="K105" s="418"/>
      <c r="L105" s="418"/>
      <c r="M105" s="418"/>
      <c r="N105" s="418"/>
      <c r="O105" s="418"/>
      <c r="P105" s="418"/>
      <c r="Q105" s="418"/>
      <c r="R105" s="418"/>
      <c r="S105" s="418"/>
      <c r="T105" s="418"/>
      <c r="U105" s="418"/>
      <c r="V105" s="418"/>
    </row>
    <row r="106" customFormat="false" ht="19.5" hidden="false" customHeight="true" outlineLevel="0" collapsed="false">
      <c r="A106" s="384" t="s">
        <v>1015</v>
      </c>
      <c r="B106" s="328" t="n">
        <v>53</v>
      </c>
      <c r="J106" s="418"/>
      <c r="K106" s="418"/>
      <c r="L106" s="418"/>
      <c r="M106" s="418"/>
      <c r="N106" s="418"/>
      <c r="O106" s="418"/>
      <c r="P106" s="418"/>
      <c r="Q106" s="418"/>
      <c r="R106" s="418"/>
      <c r="S106" s="418"/>
      <c r="T106" s="418"/>
      <c r="U106" s="418"/>
      <c r="V106" s="418"/>
    </row>
    <row r="107" customFormat="false" ht="19.5" hidden="false" customHeight="true" outlineLevel="0" collapsed="false">
      <c r="A107" s="384" t="s">
        <v>1016</v>
      </c>
      <c r="B107" s="328" t="n">
        <v>57</v>
      </c>
      <c r="J107" s="418"/>
      <c r="K107" s="418"/>
      <c r="L107" s="418"/>
      <c r="M107" s="418"/>
      <c r="N107" s="418"/>
      <c r="O107" s="418"/>
      <c r="P107" s="418"/>
      <c r="Q107" s="418"/>
      <c r="R107" s="418"/>
      <c r="S107" s="418"/>
      <c r="T107" s="418"/>
      <c r="U107" s="418"/>
      <c r="V107" s="418"/>
    </row>
    <row r="108" customFormat="false" ht="19.5" hidden="false" customHeight="true" outlineLevel="0" collapsed="false">
      <c r="A108" s="384" t="s">
        <v>131</v>
      </c>
      <c r="B108" s="328" t="n">
        <v>61</v>
      </c>
      <c r="J108" s="418"/>
      <c r="K108" s="418"/>
      <c r="L108" s="418"/>
      <c r="M108" s="418"/>
      <c r="N108" s="418"/>
      <c r="O108" s="418"/>
      <c r="P108" s="418"/>
      <c r="Q108" s="418"/>
      <c r="R108" s="418"/>
      <c r="S108" s="418"/>
      <c r="T108" s="418"/>
      <c r="U108" s="418"/>
      <c r="V108" s="418"/>
    </row>
    <row r="109" customFormat="false" ht="19.5" hidden="false" customHeight="true" outlineLevel="0" collapsed="false">
      <c r="A109" s="384" t="s">
        <v>136</v>
      </c>
      <c r="B109" s="328" t="n">
        <v>65</v>
      </c>
      <c r="J109" s="418"/>
      <c r="K109" s="418"/>
      <c r="L109" s="418"/>
      <c r="M109" s="418"/>
      <c r="N109" s="418"/>
      <c r="O109" s="418"/>
      <c r="P109" s="418"/>
      <c r="Q109" s="418"/>
      <c r="R109" s="418"/>
      <c r="S109" s="418"/>
      <c r="T109" s="418"/>
      <c r="U109" s="418"/>
      <c r="V109" s="418"/>
    </row>
    <row r="110" customFormat="false" ht="19.5" hidden="false" customHeight="true" outlineLevel="0" collapsed="false">
      <c r="A110" s="384" t="s">
        <v>122</v>
      </c>
      <c r="B110" s="328" t="n">
        <v>69</v>
      </c>
      <c r="J110" s="418"/>
      <c r="K110" s="418"/>
      <c r="L110" s="418"/>
      <c r="M110" s="418"/>
      <c r="N110" s="418"/>
      <c r="O110" s="418"/>
      <c r="P110" s="418"/>
      <c r="Q110" s="418"/>
      <c r="R110" s="418"/>
      <c r="S110" s="418"/>
      <c r="T110" s="418"/>
      <c r="U110" s="418"/>
      <c r="V110" s="418"/>
    </row>
    <row r="111" customFormat="false" ht="19.5" hidden="false" customHeight="true" outlineLevel="0" collapsed="false">
      <c r="A111" s="384" t="s">
        <v>9</v>
      </c>
      <c r="B111" s="328" t="n">
        <v>73</v>
      </c>
      <c r="J111" s="418"/>
      <c r="K111" s="418"/>
      <c r="L111" s="418"/>
      <c r="M111" s="418"/>
      <c r="N111" s="418"/>
      <c r="O111" s="418"/>
      <c r="P111" s="418"/>
      <c r="Q111" s="418"/>
      <c r="R111" s="418"/>
      <c r="S111" s="418"/>
      <c r="T111" s="418"/>
      <c r="U111" s="418"/>
      <c r="V111" s="418"/>
    </row>
    <row r="112" customFormat="false" ht="19.5" hidden="false" customHeight="true" outlineLevel="0" collapsed="false">
      <c r="A112" s="384" t="s">
        <v>125</v>
      </c>
      <c r="B112" s="328" t="n">
        <v>77</v>
      </c>
      <c r="J112" s="418"/>
      <c r="K112" s="418"/>
      <c r="L112" s="418"/>
      <c r="M112" s="418"/>
      <c r="N112" s="418"/>
      <c r="O112" s="418"/>
      <c r="P112" s="418"/>
      <c r="Q112" s="418"/>
      <c r="R112" s="418"/>
      <c r="S112" s="418"/>
      <c r="T112" s="418"/>
      <c r="U112" s="418"/>
      <c r="V112" s="418"/>
    </row>
    <row r="113" customFormat="false" ht="19.5" hidden="false" customHeight="true" outlineLevel="0" collapsed="false">
      <c r="A113" s="384" t="s">
        <v>128</v>
      </c>
      <c r="B113" s="328" t="n">
        <v>81</v>
      </c>
      <c r="J113" s="418"/>
      <c r="K113" s="418"/>
      <c r="L113" s="418"/>
      <c r="M113" s="418"/>
      <c r="N113" s="418"/>
      <c r="O113" s="418"/>
      <c r="P113" s="418"/>
      <c r="Q113" s="418"/>
      <c r="R113" s="418"/>
      <c r="S113" s="418"/>
      <c r="T113" s="418"/>
      <c r="U113" s="418"/>
      <c r="V113" s="418"/>
    </row>
    <row r="114" customFormat="false" ht="19.5" hidden="false" customHeight="true" outlineLevel="0" collapsed="false">
      <c r="A114" s="384" t="s">
        <v>1017</v>
      </c>
      <c r="B114" s="328" t="n">
        <v>85</v>
      </c>
      <c r="J114" s="418"/>
      <c r="K114" s="418"/>
      <c r="L114" s="418"/>
      <c r="M114" s="418"/>
      <c r="N114" s="418"/>
      <c r="O114" s="418"/>
      <c r="P114" s="418"/>
      <c r="Q114" s="418"/>
      <c r="R114" s="418"/>
      <c r="S114" s="418"/>
      <c r="T114" s="418"/>
      <c r="U114" s="418"/>
      <c r="V114" s="418"/>
    </row>
    <row r="115" customFormat="false" ht="19.5" hidden="false" customHeight="true" outlineLevel="0" collapsed="false">
      <c r="J115" s="418"/>
      <c r="K115" s="418"/>
      <c r="L115" s="418"/>
      <c r="M115" s="418"/>
      <c r="N115" s="418"/>
      <c r="O115" s="418"/>
      <c r="P115" s="418"/>
      <c r="Q115" s="418"/>
      <c r="R115" s="418"/>
      <c r="S115" s="418"/>
      <c r="T115" s="418"/>
      <c r="U115" s="418"/>
      <c r="V115" s="418"/>
    </row>
    <row r="116" customFormat="false" ht="19.5" hidden="false" customHeight="true" outlineLevel="0" collapsed="false">
      <c r="J116" s="418"/>
      <c r="K116" s="418"/>
      <c r="L116" s="418"/>
      <c r="M116" s="418"/>
      <c r="N116" s="418"/>
      <c r="O116" s="418"/>
      <c r="P116" s="418"/>
      <c r="Q116" s="418"/>
      <c r="R116" s="418"/>
      <c r="S116" s="418"/>
      <c r="T116" s="418"/>
      <c r="U116" s="418"/>
      <c r="V116" s="418"/>
    </row>
    <row r="117" customFormat="false" ht="19.5" hidden="false" customHeight="true" outlineLevel="0" collapsed="false">
      <c r="J117" s="418"/>
      <c r="K117" s="418"/>
      <c r="L117" s="418"/>
      <c r="M117" s="418"/>
      <c r="N117" s="418"/>
      <c r="O117" s="418"/>
      <c r="P117" s="418"/>
      <c r="Q117" s="418"/>
      <c r="R117" s="418"/>
      <c r="S117" s="418"/>
      <c r="T117" s="418"/>
      <c r="U117" s="418"/>
      <c r="V117" s="418"/>
    </row>
    <row r="118" customFormat="false" ht="19.5" hidden="false" customHeight="true" outlineLevel="0" collapsed="false">
      <c r="J118" s="418"/>
      <c r="K118" s="418"/>
      <c r="L118" s="418"/>
      <c r="M118" s="418"/>
      <c r="N118" s="418"/>
      <c r="O118" s="418"/>
      <c r="P118" s="418"/>
      <c r="Q118" s="418"/>
      <c r="R118" s="418"/>
      <c r="S118" s="418"/>
      <c r="T118" s="418"/>
      <c r="U118" s="418"/>
      <c r="V118" s="418"/>
    </row>
    <row r="119" customFormat="false" ht="19.5" hidden="false" customHeight="true" outlineLevel="0" collapsed="false">
      <c r="J119" s="418"/>
      <c r="K119" s="418"/>
      <c r="L119" s="418"/>
      <c r="M119" s="418"/>
      <c r="N119" s="418"/>
      <c r="O119" s="418"/>
      <c r="P119" s="418"/>
      <c r="Q119" s="418"/>
      <c r="R119" s="418"/>
      <c r="S119" s="418"/>
      <c r="T119" s="418"/>
      <c r="U119" s="418"/>
      <c r="V119" s="418"/>
    </row>
    <row r="120" customFormat="false" ht="19.5" hidden="false" customHeight="true" outlineLevel="0" collapsed="false">
      <c r="J120" s="418"/>
      <c r="K120" s="418"/>
      <c r="L120" s="418"/>
      <c r="M120" s="418"/>
      <c r="N120" s="418"/>
      <c r="O120" s="418"/>
      <c r="P120" s="418"/>
      <c r="Q120" s="418"/>
      <c r="R120" s="418"/>
      <c r="S120" s="418"/>
      <c r="T120" s="418"/>
      <c r="U120" s="418"/>
      <c r="V120" s="418"/>
    </row>
    <row r="121" customFormat="false" ht="19.5" hidden="false" customHeight="true" outlineLevel="0" collapsed="false">
      <c r="J121" s="418"/>
      <c r="K121" s="418"/>
      <c r="L121" s="418"/>
      <c r="M121" s="418"/>
      <c r="N121" s="418"/>
      <c r="O121" s="418"/>
      <c r="P121" s="418"/>
      <c r="Q121" s="418"/>
      <c r="R121" s="418"/>
      <c r="S121" s="418"/>
      <c r="T121" s="418"/>
      <c r="U121" s="418"/>
      <c r="V121" s="418"/>
    </row>
    <row r="122" customFormat="false" ht="19.5" hidden="false" customHeight="true" outlineLevel="0" collapsed="false">
      <c r="J122" s="418"/>
      <c r="K122" s="418"/>
      <c r="L122" s="418"/>
      <c r="M122" s="418"/>
      <c r="N122" s="418"/>
      <c r="O122" s="418"/>
      <c r="P122" s="418"/>
      <c r="Q122" s="418"/>
      <c r="R122" s="418"/>
      <c r="S122" s="418"/>
      <c r="T122" s="418"/>
      <c r="U122" s="418"/>
      <c r="V122" s="418"/>
    </row>
    <row r="123" customFormat="false" ht="19.5" hidden="false" customHeight="true" outlineLevel="0" collapsed="false">
      <c r="J123" s="418"/>
      <c r="K123" s="418"/>
      <c r="L123" s="418"/>
      <c r="M123" s="418"/>
      <c r="N123" s="418"/>
      <c r="O123" s="418"/>
      <c r="P123" s="418"/>
      <c r="Q123" s="418"/>
      <c r="R123" s="418"/>
      <c r="S123" s="418"/>
      <c r="T123" s="418"/>
      <c r="U123" s="418"/>
      <c r="V123" s="418"/>
    </row>
    <row r="124" customFormat="false" ht="19.5" hidden="false" customHeight="true" outlineLevel="0" collapsed="false">
      <c r="J124" s="418"/>
      <c r="K124" s="418"/>
      <c r="L124" s="418"/>
      <c r="M124" s="418"/>
      <c r="N124" s="418"/>
      <c r="O124" s="418"/>
      <c r="P124" s="418"/>
      <c r="Q124" s="418"/>
      <c r="R124" s="418"/>
      <c r="S124" s="418"/>
      <c r="T124" s="418"/>
      <c r="U124" s="418"/>
      <c r="V124" s="418"/>
    </row>
    <row r="125" customFormat="false" ht="19.5" hidden="false" customHeight="true" outlineLevel="0" collapsed="false">
      <c r="J125" s="418"/>
      <c r="K125" s="418"/>
      <c r="L125" s="418"/>
      <c r="M125" s="418"/>
      <c r="N125" s="418"/>
      <c r="O125" s="418"/>
      <c r="P125" s="418"/>
      <c r="Q125" s="418"/>
      <c r="R125" s="418"/>
      <c r="S125" s="418"/>
      <c r="T125" s="418"/>
      <c r="U125" s="418"/>
      <c r="V125" s="418"/>
    </row>
    <row r="126" customFormat="false" ht="19.5" hidden="false" customHeight="true" outlineLevel="0" collapsed="false">
      <c r="J126" s="418"/>
      <c r="K126" s="418"/>
      <c r="L126" s="418"/>
      <c r="M126" s="418"/>
      <c r="N126" s="418"/>
      <c r="O126" s="418"/>
      <c r="P126" s="418"/>
      <c r="Q126" s="418"/>
      <c r="R126" s="418"/>
      <c r="S126" s="418"/>
      <c r="T126" s="418"/>
      <c r="U126" s="418"/>
      <c r="V126" s="418"/>
    </row>
    <row r="127" customFormat="false" ht="19.5" hidden="false" customHeight="true" outlineLevel="0" collapsed="false">
      <c r="J127" s="418"/>
      <c r="K127" s="418"/>
      <c r="L127" s="418"/>
      <c r="M127" s="418"/>
      <c r="N127" s="418"/>
      <c r="O127" s="418"/>
      <c r="P127" s="418"/>
      <c r="Q127" s="418"/>
      <c r="R127" s="418"/>
      <c r="S127" s="418"/>
      <c r="T127" s="418"/>
      <c r="U127" s="418"/>
      <c r="V127" s="418"/>
    </row>
    <row r="128" customFormat="false" ht="19.5" hidden="false" customHeight="true" outlineLevel="0" collapsed="false">
      <c r="J128" s="418"/>
      <c r="K128" s="418"/>
      <c r="L128" s="418"/>
      <c r="M128" s="418"/>
      <c r="N128" s="418"/>
      <c r="O128" s="418"/>
      <c r="P128" s="418"/>
      <c r="Q128" s="418"/>
      <c r="R128" s="418"/>
      <c r="S128" s="418"/>
      <c r="T128" s="418"/>
      <c r="U128" s="418"/>
      <c r="V128" s="418"/>
    </row>
    <row r="129" customFormat="false" ht="19.5" hidden="false" customHeight="true" outlineLevel="0" collapsed="false">
      <c r="J129" s="418"/>
      <c r="K129" s="418"/>
      <c r="L129" s="418"/>
      <c r="M129" s="418"/>
      <c r="N129" s="418"/>
      <c r="O129" s="418"/>
      <c r="P129" s="418"/>
      <c r="Q129" s="418"/>
      <c r="R129" s="418"/>
      <c r="S129" s="418"/>
      <c r="T129" s="418"/>
      <c r="U129" s="418"/>
      <c r="V129" s="418"/>
    </row>
    <row r="130" customFormat="false" ht="19.5" hidden="false" customHeight="true" outlineLevel="0" collapsed="false">
      <c r="J130" s="418"/>
      <c r="K130" s="418"/>
      <c r="L130" s="418"/>
      <c r="M130" s="418"/>
      <c r="N130" s="418"/>
      <c r="O130" s="418"/>
      <c r="P130" s="418"/>
      <c r="Q130" s="418"/>
      <c r="R130" s="418"/>
      <c r="S130" s="418"/>
      <c r="T130" s="418"/>
      <c r="U130" s="418"/>
      <c r="V130" s="418"/>
    </row>
    <row r="131" customFormat="false" ht="19.5" hidden="false" customHeight="true" outlineLevel="0" collapsed="false">
      <c r="J131" s="418"/>
      <c r="K131" s="418"/>
      <c r="L131" s="418"/>
      <c r="M131" s="418"/>
      <c r="N131" s="418"/>
      <c r="O131" s="418"/>
      <c r="P131" s="418"/>
      <c r="Q131" s="418"/>
      <c r="R131" s="418"/>
      <c r="S131" s="418"/>
      <c r="T131" s="418"/>
      <c r="U131" s="418"/>
      <c r="V131" s="418"/>
    </row>
    <row r="132" customFormat="false" ht="19.5" hidden="false" customHeight="true" outlineLevel="0" collapsed="false">
      <c r="J132" s="418"/>
      <c r="K132" s="418"/>
      <c r="L132" s="418"/>
      <c r="M132" s="418"/>
      <c r="N132" s="418"/>
      <c r="O132" s="418"/>
      <c r="P132" s="418"/>
      <c r="Q132" s="418"/>
      <c r="R132" s="418"/>
      <c r="S132" s="418"/>
      <c r="T132" s="418"/>
      <c r="U132" s="418"/>
      <c r="V132" s="418"/>
    </row>
    <row r="133" customFormat="false" ht="19.5" hidden="false" customHeight="true" outlineLevel="0" collapsed="false">
      <c r="J133" s="418"/>
      <c r="K133" s="418"/>
      <c r="L133" s="418"/>
      <c r="M133" s="418"/>
      <c r="N133" s="418"/>
      <c r="O133" s="418"/>
      <c r="P133" s="418"/>
      <c r="Q133" s="418"/>
      <c r="R133" s="418"/>
      <c r="S133" s="418"/>
      <c r="T133" s="418"/>
      <c r="U133" s="418"/>
      <c r="V133" s="418"/>
    </row>
    <row r="134" customFormat="false" ht="19.5" hidden="false" customHeight="true" outlineLevel="0" collapsed="false">
      <c r="J134" s="418"/>
      <c r="K134" s="418"/>
      <c r="L134" s="418"/>
      <c r="M134" s="418"/>
      <c r="N134" s="418"/>
      <c r="O134" s="418"/>
      <c r="P134" s="418"/>
      <c r="Q134" s="418"/>
      <c r="R134" s="418"/>
      <c r="S134" s="418"/>
      <c r="T134" s="418"/>
      <c r="U134" s="418"/>
      <c r="V134" s="418"/>
    </row>
    <row r="135" customFormat="false" ht="19.5" hidden="false" customHeight="true" outlineLevel="0" collapsed="false">
      <c r="J135" s="418"/>
      <c r="K135" s="418"/>
      <c r="L135" s="418"/>
      <c r="M135" s="418"/>
      <c r="N135" s="418"/>
      <c r="O135" s="418"/>
      <c r="P135" s="418"/>
      <c r="Q135" s="418"/>
      <c r="R135" s="418"/>
      <c r="S135" s="418"/>
      <c r="T135" s="418"/>
      <c r="U135" s="418"/>
      <c r="V135" s="418"/>
    </row>
    <row r="136" customFormat="false" ht="19.5" hidden="false" customHeight="true" outlineLevel="0" collapsed="false">
      <c r="J136" s="418"/>
      <c r="K136" s="418"/>
      <c r="L136" s="418"/>
      <c r="M136" s="418"/>
      <c r="N136" s="418"/>
      <c r="O136" s="418"/>
      <c r="P136" s="418"/>
      <c r="Q136" s="418"/>
      <c r="R136" s="418"/>
      <c r="S136" s="418"/>
      <c r="T136" s="418"/>
      <c r="U136" s="418"/>
      <c r="V136" s="418"/>
    </row>
    <row r="137" customFormat="false" ht="19.5" hidden="false" customHeight="true" outlineLevel="0" collapsed="false">
      <c r="J137" s="418"/>
      <c r="K137" s="418"/>
      <c r="L137" s="418"/>
      <c r="M137" s="418"/>
      <c r="N137" s="418"/>
      <c r="O137" s="418"/>
      <c r="P137" s="418"/>
      <c r="Q137" s="418"/>
      <c r="R137" s="418"/>
      <c r="S137" s="418"/>
      <c r="T137" s="418"/>
      <c r="U137" s="418"/>
      <c r="V137" s="418"/>
    </row>
    <row r="138" customFormat="false" ht="19.5" hidden="false" customHeight="true" outlineLevel="0" collapsed="false">
      <c r="J138" s="418"/>
      <c r="K138" s="418"/>
      <c r="L138" s="418"/>
      <c r="M138" s="418"/>
      <c r="N138" s="418"/>
      <c r="O138" s="418"/>
      <c r="P138" s="418"/>
      <c r="Q138" s="418"/>
      <c r="R138" s="418"/>
      <c r="S138" s="418"/>
      <c r="T138" s="418"/>
      <c r="U138" s="418"/>
      <c r="V138" s="41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358" width="11.57"/>
    <col collapsed="false" customWidth="true" hidden="false" outlineLevel="0" max="3" min="3" style="358" width="11.14"/>
    <col collapsed="false" customWidth="true" hidden="false" outlineLevel="0" max="4" min="4" style="358" width="9.42"/>
    <col collapsed="false" customWidth="true" hidden="false" outlineLevel="0" max="5" min="5" style="358" width="13.71"/>
    <col collapsed="false" customWidth="true" hidden="false" outlineLevel="0" max="6" min="6" style="358" width="11.29"/>
    <col collapsed="false" customWidth="true" hidden="false" outlineLevel="0" max="7" min="7" style="358" width="10.85"/>
    <col collapsed="false" customWidth="true" hidden="false" outlineLevel="0" max="9" min="8" style="358" width="9.42"/>
    <col collapsed="false" customWidth="true" hidden="false" outlineLevel="0" max="10" min="10" style="358" width="12.86"/>
    <col collapsed="false" customWidth="true" hidden="false" outlineLevel="0" max="11" min="11" style="358" width="9.29"/>
    <col collapsed="false" customWidth="true" hidden="false" outlineLevel="0" max="12" min="12" style="358" width="12.71"/>
    <col collapsed="false" customWidth="true" hidden="false" outlineLevel="0" max="13" min="13" style="358" width="8.42"/>
    <col collapsed="false" customWidth="true" hidden="false" outlineLevel="0" max="14" min="14" style="358" width="7.29"/>
  </cols>
  <sheetData>
    <row r="2" customFormat="false" ht="12.75" hidden="false" customHeight="false" outlineLevel="0" collapsed="false">
      <c r="B2" s="420" t="s">
        <v>1109</v>
      </c>
      <c r="C2" s="421" t="s">
        <v>1110</v>
      </c>
      <c r="D2" s="421" t="s">
        <v>1111</v>
      </c>
      <c r="E2" s="421" t="s">
        <v>1112</v>
      </c>
      <c r="F2" s="421" t="s">
        <v>1113</v>
      </c>
      <c r="G2" s="421"/>
      <c r="H2" s="421"/>
      <c r="I2" s="421" t="s">
        <v>1114</v>
      </c>
      <c r="J2" s="421" t="s">
        <v>1115</v>
      </c>
      <c r="K2" s="422"/>
    </row>
    <row r="3" customFormat="false" ht="12.75" hidden="false" customHeight="false" outlineLevel="0" collapsed="false">
      <c r="B3" s="423" t="s">
        <v>1116</v>
      </c>
      <c r="C3" s="424" t="n">
        <v>3845</v>
      </c>
      <c r="D3" s="425" t="n">
        <v>3220</v>
      </c>
      <c r="E3" s="358" t="n">
        <f aca="false">MAX(10,ROUND($F3*$D3,0))</f>
        <v>322</v>
      </c>
      <c r="F3" s="426" t="n">
        <f aca="false">MIN(0.15, 0.25 * ( 0.7 - EXP( -1.3 * $D3 / $C3 ) ))*1.1</f>
        <v>0.099918948647991</v>
      </c>
      <c r="G3" s="381"/>
      <c r="I3" s="427" t="n">
        <v>500</v>
      </c>
      <c r="J3" s="428" t="n">
        <f aca="false">25*$I3</f>
        <v>12500</v>
      </c>
      <c r="K3" s="429"/>
    </row>
    <row r="4" customFormat="false" ht="12.75" hidden="false" customHeight="false" outlineLevel="0" collapsed="false">
      <c r="B4" s="423" t="s">
        <v>1117</v>
      </c>
      <c r="C4" s="358" t="n">
        <f aca="false">C3</f>
        <v>3845</v>
      </c>
      <c r="D4" s="430" t="n">
        <f aca="false">D3+100</f>
        <v>3320</v>
      </c>
      <c r="E4" s="358" t="n">
        <f aca="false">MAX(10,ROUND($F4*$D4,0))</f>
        <v>342</v>
      </c>
      <c r="F4" s="426" t="n">
        <f aca="false">MIN(0.15, 0.25 * ( 0.7 - EXP( -1.3 * $D4 / $C4 ) ))*1.1</f>
        <v>0.102996802702077</v>
      </c>
      <c r="G4" s="381"/>
      <c r="I4" s="431" t="n">
        <f aca="false">I3+25</f>
        <v>525</v>
      </c>
      <c r="J4" s="431" t="n">
        <f aca="false">25*$I4</f>
        <v>13125</v>
      </c>
      <c r="K4" s="429"/>
    </row>
    <row r="5" customFormat="false" ht="12.75" hidden="false" customHeight="false" outlineLevel="0" collapsed="false">
      <c r="B5" s="432" t="s">
        <v>1118</v>
      </c>
      <c r="C5" s="358" t="n">
        <f aca="false">C4</f>
        <v>3845</v>
      </c>
      <c r="D5" s="430" t="n">
        <f aca="false">D4+100</f>
        <v>3420</v>
      </c>
      <c r="E5" s="358" t="n">
        <f aca="false">MAX(10,ROUND($F5*$D5,0))</f>
        <v>362</v>
      </c>
      <c r="F5" s="426" t="n">
        <f aca="false">MIN(0.15, 0.25 * ( 0.7 - EXP( -1.3 * $D5 / $C5 ) ))*1.1</f>
        <v>0.105972333597807</v>
      </c>
      <c r="G5" s="381"/>
      <c r="I5" s="358" t="n">
        <f aca="false">I4+25</f>
        <v>550</v>
      </c>
      <c r="J5" s="358" t="n">
        <f aca="false">25*$I5</f>
        <v>13750</v>
      </c>
      <c r="K5" s="429"/>
    </row>
    <row r="6" customFormat="false" ht="12.75" hidden="false" customHeight="false" outlineLevel="0" collapsed="false">
      <c r="B6" s="423"/>
      <c r="C6" s="358" t="n">
        <f aca="false">C5</f>
        <v>3845</v>
      </c>
      <c r="D6" s="430" t="n">
        <f aca="false">D5+100</f>
        <v>3520</v>
      </c>
      <c r="E6" s="358" t="n">
        <f aca="false">MAX(10,ROUND($F6*$D6,0))</f>
        <v>383</v>
      </c>
      <c r="F6" s="426" t="n">
        <f aca="false">MIN(0.15, 0.25 * ( 0.7 - EXP( -1.3 * $D6 / $C6 ) ))*1.1</f>
        <v>0.108848943065267</v>
      </c>
      <c r="G6" s="381"/>
      <c r="I6" s="358" t="n">
        <f aca="false">I5+25</f>
        <v>575</v>
      </c>
      <c r="J6" s="358" t="n">
        <f aca="false">25*$I6</f>
        <v>14375</v>
      </c>
      <c r="K6" s="429"/>
    </row>
    <row r="7" customFormat="false" ht="12.75" hidden="false" customHeight="false" outlineLevel="0" collapsed="false">
      <c r="B7" s="423"/>
      <c r="C7" s="358" t="n">
        <f aca="false">C6</f>
        <v>3845</v>
      </c>
      <c r="D7" s="430" t="n">
        <f aca="false">D6+100</f>
        <v>3620</v>
      </c>
      <c r="E7" s="358" t="n">
        <f aca="false">MAX(10,ROUND($F7*$D7,0))</f>
        <v>404</v>
      </c>
      <c r="F7" s="426" t="n">
        <f aca="false">MIN(0.15, 0.25 * ( 0.7 - EXP( -1.3 * $D7 / $C7 ) ))*1.1</f>
        <v>0.111629919744136</v>
      </c>
      <c r="G7" s="381"/>
      <c r="I7" s="358" t="n">
        <f aca="false">I6+25</f>
        <v>600</v>
      </c>
      <c r="J7" s="358" t="n">
        <f aca="false">25*$I7</f>
        <v>15000</v>
      </c>
      <c r="K7" s="429"/>
    </row>
    <row r="8" customFormat="false" ht="12.75" hidden="false" customHeight="false" outlineLevel="0" collapsed="false">
      <c r="B8" s="433" t="s">
        <v>1119</v>
      </c>
      <c r="C8" s="358" t="n">
        <f aca="false">C7</f>
        <v>3845</v>
      </c>
      <c r="D8" s="430" t="n">
        <f aca="false">D7+100</f>
        <v>3720</v>
      </c>
      <c r="E8" s="358" t="n">
        <f aca="false">MAX(10,ROUND($F8*$D8,0))</f>
        <v>425</v>
      </c>
      <c r="F8" s="426" t="n">
        <f aca="false">MIN(0.15, 0.25 * ( 0.7 - EXP( -1.3 * $D8 / $C8 ) ))*1.1</f>
        <v>0.114318442943374</v>
      </c>
      <c r="G8" s="381"/>
      <c r="I8" s="358" t="n">
        <f aca="false">I7+25</f>
        <v>625</v>
      </c>
      <c r="J8" s="358" t="n">
        <f aca="false">25*$I8</f>
        <v>15625</v>
      </c>
      <c r="K8" s="429"/>
    </row>
    <row r="9" customFormat="false" ht="12.75" hidden="false" customHeight="false" outlineLevel="0" collapsed="false">
      <c r="B9" s="434" t="str">
        <f aca="false">CONCATENATE( CONCATENATE(TEXT(C3*0.75,0)," - "), TEXT(C3*1.33,0))</f>
        <v>2884 - 5114</v>
      </c>
      <c r="C9" s="358" t="n">
        <f aca="false">C8</f>
        <v>3845</v>
      </c>
      <c r="D9" s="430" t="n">
        <f aca="false">D8+100</f>
        <v>3820</v>
      </c>
      <c r="E9" s="358" t="n">
        <f aca="false">MAX(10,ROUND($F9*$D9,0))</f>
        <v>447</v>
      </c>
      <c r="F9" s="426" t="n">
        <f aca="false">MIN(0.15, 0.25 * ( 0.7 - EXP( -1.3 * $D9 / $C9 ) ))*1.1</f>
        <v>0.116917586275918</v>
      </c>
      <c r="G9" s="381"/>
      <c r="I9" s="358" t="n">
        <f aca="false">I8+25</f>
        <v>650</v>
      </c>
      <c r="J9" s="358" t="n">
        <f aca="false">25*$I9</f>
        <v>16250</v>
      </c>
      <c r="K9" s="429"/>
    </row>
    <row r="10" customFormat="false" ht="12.75" hidden="false" customHeight="false" outlineLevel="0" collapsed="false">
      <c r="B10" s="434"/>
      <c r="C10" s="358" t="n">
        <f aca="false">C9</f>
        <v>3845</v>
      </c>
      <c r="D10" s="430" t="n">
        <f aca="false">D9+100</f>
        <v>3920</v>
      </c>
      <c r="E10" s="358" t="n">
        <f aca="false">MAX(10,ROUND($F10*$D10,0))</f>
        <v>468</v>
      </c>
      <c r="F10" s="426" t="n">
        <f aca="false">MIN(0.15, 0.25 * ( 0.7 - EXP( -1.3 * $D10 / $C10 ) ))*1.1</f>
        <v>0.119430321172541</v>
      </c>
      <c r="G10" s="381"/>
      <c r="I10" s="358" t="n">
        <f aca="false">I9+25</f>
        <v>675</v>
      </c>
      <c r="J10" s="358" t="n">
        <f aca="false">25*$I10</f>
        <v>16875</v>
      </c>
      <c r="K10" s="429"/>
    </row>
    <row r="11" customFormat="false" ht="12.75" hidden="false" customHeight="false" outlineLevel="0" collapsed="false">
      <c r="B11" s="423"/>
      <c r="C11" s="358" t="n">
        <f aca="false">C10</f>
        <v>3845</v>
      </c>
      <c r="D11" s="430" t="n">
        <f aca="false">D10+100</f>
        <v>4020</v>
      </c>
      <c r="E11" s="358" t="n">
        <f aca="false">MAX(10,ROUND($F11*$D11,0))</f>
        <v>490</v>
      </c>
      <c r="F11" s="426" t="n">
        <f aca="false">MIN(0.15, 0.25 * ( 0.7 - EXP( -1.3 * $D11 / $C11 ) ))*1.1</f>
        <v>0.121859520278898</v>
      </c>
      <c r="G11" s="381"/>
      <c r="I11" s="358" t="n">
        <f aca="false">I10+25</f>
        <v>700</v>
      </c>
      <c r="J11" s="358" t="n">
        <f aca="false">25*$I11</f>
        <v>17500</v>
      </c>
      <c r="K11" s="429"/>
    </row>
    <row r="12" customFormat="false" ht="12.75" hidden="false" customHeight="false" outlineLevel="0" collapsed="false">
      <c r="B12" s="433" t="s">
        <v>1120</v>
      </c>
      <c r="C12" s="358" t="n">
        <f aca="false">C11</f>
        <v>3845</v>
      </c>
      <c r="D12" s="430" t="n">
        <f aca="false">D11+100</f>
        <v>4120</v>
      </c>
      <c r="E12" s="358" t="n">
        <f aca="false">MAX(10,ROUND($F12*$D12,0))</f>
        <v>512</v>
      </c>
      <c r="F12" s="426" t="n">
        <f aca="false">MIN(0.15, 0.25 * ( 0.7 - EXP( -1.3 * $D12 / $C12 ) ))*1.1</f>
        <v>0.12420796073963</v>
      </c>
      <c r="G12" s="381"/>
      <c r="I12" s="358" t="n">
        <f aca="false">I11+25</f>
        <v>725</v>
      </c>
      <c r="J12" s="358" t="n">
        <f aca="false">25*$I12</f>
        <v>18125</v>
      </c>
      <c r="K12" s="429"/>
    </row>
    <row r="13" customFormat="false" ht="12.75" hidden="false" customHeight="false" outlineLevel="0" collapsed="false">
      <c r="B13" s="434" t="str">
        <f aca="false">CONCATENATE(CONCATENATE(TEXT(C3*0.6,0)," - "),TEXT(C3*1.66,0))</f>
        <v>2307 - 6383</v>
      </c>
      <c r="C13" s="358" t="n">
        <f aca="false">C12</f>
        <v>3845</v>
      </c>
      <c r="D13" s="430" t="n">
        <f aca="false">D12+100</f>
        <v>4220</v>
      </c>
      <c r="E13" s="358" t="n">
        <f aca="false">MAX(10,ROUND($F13*$D13,0))</f>
        <v>534</v>
      </c>
      <c r="F13" s="426" t="n">
        <f aca="false">MIN(0.15, 0.25 * ( 0.7 - EXP( -1.3 * $D13 / $C13 ) ))*1.1</f>
        <v>0.126478327373296</v>
      </c>
      <c r="G13" s="381"/>
      <c r="I13" s="358" t="n">
        <f aca="false">I12+25</f>
        <v>750</v>
      </c>
      <c r="J13" s="358" t="n">
        <f aca="false">25*$I13</f>
        <v>18750</v>
      </c>
      <c r="K13" s="429"/>
    </row>
    <row r="14" customFormat="false" ht="12.75" hidden="false" customHeight="false" outlineLevel="0" collapsed="false">
      <c r="B14" s="434"/>
      <c r="C14" s="358" t="n">
        <f aca="false">C13</f>
        <v>3845</v>
      </c>
      <c r="D14" s="430" t="n">
        <f aca="false">D13+100</f>
        <v>4320</v>
      </c>
      <c r="E14" s="358" t="n">
        <f aca="false">MAX(10,ROUND($F14*$D14,0))</f>
        <v>556</v>
      </c>
      <c r="F14" s="426" t="n">
        <f aca="false">MIN(0.15, 0.25 * ( 0.7 - EXP( -1.3 * $D14 / $C14 ) ))*1.1</f>
        <v>0.128673215741748</v>
      </c>
      <c r="G14" s="381"/>
      <c r="I14" s="358" t="n">
        <f aca="false">I13+25</f>
        <v>775</v>
      </c>
      <c r="J14" s="358" t="n">
        <f aca="false">25*$I14</f>
        <v>19375</v>
      </c>
      <c r="K14" s="429"/>
    </row>
    <row r="15" customFormat="false" ht="12.75" hidden="false" customHeight="false" outlineLevel="0" collapsed="false">
      <c r="B15" s="423"/>
      <c r="C15" s="358" t="n">
        <f aca="false">C14</f>
        <v>3845</v>
      </c>
      <c r="D15" s="430" t="n">
        <f aca="false">D14+100</f>
        <v>4420</v>
      </c>
      <c r="E15" s="358" t="n">
        <f aca="false">MAX(10,ROUND($F15*$D15,0))</f>
        <v>578</v>
      </c>
      <c r="F15" s="426" t="n">
        <f aca="false">MIN(0.15, 0.25 * ( 0.7 - EXP( -1.3 * $D15 / $C15 ) ))*1.1</f>
        <v>0.13079513511747</v>
      </c>
      <c r="G15" s="381"/>
      <c r="I15" s="358" t="n">
        <f aca="false">I14+25</f>
        <v>800</v>
      </c>
      <c r="J15" s="358" t="n">
        <f aca="false">25*$I15</f>
        <v>20000</v>
      </c>
      <c r="K15" s="429"/>
    </row>
    <row r="16" customFormat="false" ht="12.75" hidden="false" customHeight="false" outlineLevel="0" collapsed="false">
      <c r="B16" s="423"/>
      <c r="C16" s="358" t="n">
        <f aca="false">C15</f>
        <v>3845</v>
      </c>
      <c r="D16" s="430" t="n">
        <f aca="false">D15+100</f>
        <v>4520</v>
      </c>
      <c r="E16" s="358" t="n">
        <f aca="false">MAX(10,ROUND($F16*$D16,0))</f>
        <v>600</v>
      </c>
      <c r="F16" s="426" t="n">
        <f aca="false">MIN(0.15, 0.25 * ( 0.7 - EXP( -1.3 * $D16 / $C16 ) ))*1.1</f>
        <v>0.132846511352262</v>
      </c>
      <c r="G16" s="381"/>
      <c r="I16" s="358" t="n">
        <f aca="false">I15+25</f>
        <v>825</v>
      </c>
      <c r="J16" s="358" t="n">
        <f aca="false">25*$I16</f>
        <v>20625</v>
      </c>
      <c r="K16" s="429"/>
    </row>
    <row r="17" customFormat="false" ht="12.75" hidden="false" customHeight="false" outlineLevel="0" collapsed="false">
      <c r="B17" s="423"/>
      <c r="C17" s="358" t="n">
        <f aca="false">C16</f>
        <v>3845</v>
      </c>
      <c r="D17" s="430" t="n">
        <f aca="false">D16+100</f>
        <v>4620</v>
      </c>
      <c r="E17" s="358" t="n">
        <f aca="false">MAX(10,ROUND($F17*$D17,0))</f>
        <v>623</v>
      </c>
      <c r="F17" s="426" t="n">
        <f aca="false">MIN(0.15, 0.25 * ( 0.7 - EXP( -1.3 * $D17 / $C17 ) ))*1.1</f>
        <v>0.134829689650558</v>
      </c>
      <c r="G17" s="381"/>
      <c r="I17" s="358" t="n">
        <f aca="false">I16+25</f>
        <v>850</v>
      </c>
      <c r="J17" s="358" t="n">
        <f aca="false">25*$I17</f>
        <v>21250</v>
      </c>
      <c r="K17" s="429"/>
    </row>
    <row r="18" customFormat="false" ht="12.75" hidden="false" customHeight="false" outlineLevel="0" collapsed="false">
      <c r="B18" s="435"/>
      <c r="C18" s="436"/>
      <c r="D18" s="436"/>
      <c r="E18" s="436"/>
      <c r="F18" s="436"/>
      <c r="G18" s="436"/>
      <c r="H18" s="437" t="s">
        <v>1121</v>
      </c>
      <c r="I18" s="437"/>
      <c r="J18" s="437"/>
      <c r="K18" s="437"/>
    </row>
    <row r="20" customFormat="false" ht="12.75" hidden="false" customHeight="false" outlineLevel="0" collapsed="false">
      <c r="H20" s="438"/>
      <c r="I20" s="438"/>
      <c r="L20" s="358" t="s">
        <v>1122</v>
      </c>
    </row>
    <row r="21" customFormat="false" ht="12.75" hidden="false" customHeight="false" outlineLevel="0" collapsed="false">
      <c r="E21" s="358" t="s">
        <v>259</v>
      </c>
      <c r="F21" s="439" t="n">
        <v>0.125</v>
      </c>
      <c r="H21" s="438"/>
      <c r="I21" s="438"/>
      <c r="J21" s="358" t="s">
        <v>1123</v>
      </c>
      <c r="K21" s="358" t="s">
        <v>1124</v>
      </c>
      <c r="L21" s="440" t="n">
        <v>0.3</v>
      </c>
      <c r="M21" s="358" t="s">
        <v>1125</v>
      </c>
    </row>
    <row r="22" customFormat="false" ht="12.75" hidden="false" customHeight="false" outlineLevel="0" collapsed="false">
      <c r="A22" s="441" t="s">
        <v>120</v>
      </c>
      <c r="B22" s="421" t="s">
        <v>1036</v>
      </c>
      <c r="C22" s="442"/>
      <c r="D22" s="421" t="s">
        <v>1068</v>
      </c>
      <c r="E22" s="421" t="n">
        <v>4</v>
      </c>
      <c r="G22" s="421" t="n">
        <v>325</v>
      </c>
      <c r="H22" s="421" t="n">
        <v>25</v>
      </c>
      <c r="I22" s="422" t="n">
        <v>5</v>
      </c>
      <c r="J22" s="438"/>
      <c r="K22" s="438" t="n">
        <f aca="false">(K29-K28-K27)*C22</f>
        <v>0</v>
      </c>
      <c r="M22" s="438" t="n">
        <f aca="false">J22*F22*(1+L21)</f>
        <v>0</v>
      </c>
    </row>
    <row r="23" customFormat="false" ht="12.75" hidden="false" customHeight="false" outlineLevel="0" collapsed="false">
      <c r="A23" s="443"/>
      <c r="C23" s="444" t="n">
        <f aca="false">1-C24</f>
        <v>0.5</v>
      </c>
      <c r="D23" s="358" t="s">
        <v>1069</v>
      </c>
      <c r="F23" s="358" t="n">
        <v>3</v>
      </c>
      <c r="G23" s="358" t="n">
        <v>300</v>
      </c>
      <c r="H23" s="358" t="n">
        <v>15</v>
      </c>
      <c r="I23" s="429" t="n">
        <v>5</v>
      </c>
      <c r="J23" s="438" t="n">
        <f aca="false">K23/I23</f>
        <v>6412.7</v>
      </c>
      <c r="K23" s="438" t="n">
        <f aca="false">(K29-K28-K27)*C23</f>
        <v>32063.5</v>
      </c>
      <c r="M23" s="438" t="n">
        <f aca="false">J23*F23*(1+L21)</f>
        <v>25009.53</v>
      </c>
    </row>
    <row r="24" customFormat="false" ht="12.75" hidden="false" customHeight="false" outlineLevel="0" collapsed="false">
      <c r="A24" s="443"/>
      <c r="C24" s="444" t="n">
        <v>0.5</v>
      </c>
      <c r="D24" s="358" t="s">
        <v>121</v>
      </c>
      <c r="E24" s="358" t="n">
        <f aca="false">1+F21*10</f>
        <v>2.25</v>
      </c>
      <c r="F24" s="358" t="n">
        <f aca="false">4+F21*10</f>
        <v>5.25</v>
      </c>
      <c r="G24" s="358" t="n">
        <v>1000</v>
      </c>
      <c r="H24" s="358" t="n">
        <v>55</v>
      </c>
      <c r="I24" s="429" t="n">
        <f aca="false">1.8 * MIN(6, MAX(E24,F24)) + 0.45 * MIN(6, MIN(E24,F24)) + IF(E24&gt;6, (E24-6)*0.2) + IF(F24&gt;6, (F24-6)*0.2)</f>
        <v>10.4625</v>
      </c>
      <c r="J24" s="438" t="n">
        <f aca="false">K24/I24</f>
        <v>3064.61170848268</v>
      </c>
      <c r="K24" s="438" t="n">
        <f aca="false">(K29-K28-K27)*C24</f>
        <v>32063.5</v>
      </c>
      <c r="M24" s="438" t="n">
        <f aca="false">J24*F24*(1+L21)</f>
        <v>20915.9749103943</v>
      </c>
    </row>
    <row r="25" customFormat="false" ht="12.75" hidden="false" customHeight="false" outlineLevel="0" collapsed="false">
      <c r="A25" s="445"/>
      <c r="B25" s="436"/>
      <c r="C25" s="446"/>
      <c r="D25" s="436" t="s">
        <v>1126</v>
      </c>
      <c r="E25" s="436" t="n">
        <v>6</v>
      </c>
      <c r="F25" s="436" t="n">
        <v>0</v>
      </c>
      <c r="G25" s="436" t="n">
        <v>1200</v>
      </c>
      <c r="H25" s="436" t="n">
        <v>55</v>
      </c>
      <c r="I25" s="429" t="n">
        <f aca="false">1.8 * MIN(6, MAX(E25,F25)) + 0.45 * MIN(6, MIN(E25,F25)) + IF(E25&gt;6, (E25-6)*0.2) + IF(F25&gt;6, (F25-6)*0.2)</f>
        <v>10.8</v>
      </c>
      <c r="J25" s="438"/>
      <c r="K25" s="438" t="n">
        <f aca="false">(K29-K28-K27)*C25</f>
        <v>0</v>
      </c>
      <c r="M25" s="438" t="n">
        <f aca="false">J25*F25*(1+L21)</f>
        <v>0</v>
      </c>
    </row>
    <row r="26" customFormat="false" ht="12.75" hidden="false" customHeight="false" outlineLevel="0" collapsed="false">
      <c r="C26" s="379" t="n">
        <f aca="false">SUM(C22:C25)</f>
        <v>1</v>
      </c>
      <c r="D26" s="358" t="s">
        <v>65</v>
      </c>
      <c r="F26" s="358" t="n">
        <v>1</v>
      </c>
      <c r="H26" s="438"/>
      <c r="I26" s="358" t="s">
        <v>65</v>
      </c>
      <c r="J26" s="442" t="n">
        <v>5000</v>
      </c>
      <c r="M26" s="438" t="n">
        <f aca="false">J26*F26*(1+L21)</f>
        <v>6500</v>
      </c>
    </row>
    <row r="27" customFormat="false" ht="12.75" hidden="false" customHeight="false" outlineLevel="0" collapsed="false">
      <c r="H27" s="438"/>
      <c r="I27" s="438" t="s">
        <v>1127</v>
      </c>
      <c r="J27" s="447" t="n">
        <v>1250</v>
      </c>
      <c r="K27" s="438" t="n">
        <f aca="false">J27*25</f>
        <v>31250</v>
      </c>
      <c r="M27" s="76" t="n">
        <f aca="false">SUM(M22:M26)</f>
        <v>52425.5049103943</v>
      </c>
      <c r="N27" s="358" t="s">
        <v>1125</v>
      </c>
    </row>
    <row r="28" customFormat="false" ht="12.75" hidden="false" customHeight="false" outlineLevel="0" collapsed="false">
      <c r="H28" s="438"/>
      <c r="I28" s="438" t="s">
        <v>1128</v>
      </c>
      <c r="J28" s="446" t="n">
        <v>750</v>
      </c>
      <c r="K28" s="438" t="n">
        <f aca="false">5*J28</f>
        <v>3750</v>
      </c>
    </row>
    <row r="29" customFormat="false" ht="12.75" hidden="false" customHeight="false" outlineLevel="0" collapsed="false">
      <c r="H29" s="438"/>
      <c r="I29" s="438"/>
      <c r="K29" s="448" t="n">
        <v>99127</v>
      </c>
    </row>
    <row r="30" customFormat="false" ht="12.75" hidden="false" customHeight="false" outlineLevel="0" collapsed="false">
      <c r="H30" s="438"/>
      <c r="I30" s="438"/>
    </row>
    <row r="31" customFormat="false" ht="12.75" hidden="false" customHeight="false" outlineLevel="0" collapsed="false">
      <c r="H31" s="438"/>
      <c r="I31" s="438"/>
      <c r="L31" s="358" t="s">
        <v>1129</v>
      </c>
    </row>
    <row r="32" customFormat="false" ht="12.75" hidden="false" customHeight="false" outlineLevel="0" collapsed="false">
      <c r="H32" s="438"/>
      <c r="I32" s="438"/>
      <c r="J32" s="358" t="s">
        <v>1123</v>
      </c>
      <c r="K32" s="358" t="s">
        <v>1124</v>
      </c>
      <c r="L32" s="440" t="n">
        <v>0.2</v>
      </c>
      <c r="M32" s="358" t="s">
        <v>1125</v>
      </c>
      <c r="N32" s="358" t="s">
        <v>1130</v>
      </c>
    </row>
    <row r="33" customFormat="false" ht="12.75" hidden="false" customHeight="false" outlineLevel="0" collapsed="false">
      <c r="A33" s="441" t="s">
        <v>1012</v>
      </c>
      <c r="B33" s="422" t="s">
        <v>1036</v>
      </c>
      <c r="C33" s="442"/>
      <c r="D33" s="449" t="s">
        <v>1060</v>
      </c>
      <c r="E33" s="421" t="n">
        <v>3</v>
      </c>
      <c r="F33" s="421"/>
      <c r="G33" s="421" t="n">
        <v>325</v>
      </c>
      <c r="H33" s="421" t="n">
        <v>25</v>
      </c>
      <c r="I33" s="422" t="n">
        <v>5</v>
      </c>
      <c r="J33" s="438"/>
      <c r="K33" s="438" t="n">
        <f aca="false">(K40-K39-K38)*C33</f>
        <v>0</v>
      </c>
      <c r="M33" s="438"/>
      <c r="N33" s="438"/>
    </row>
    <row r="34" customFormat="false" ht="12.75" hidden="false" customHeight="false" outlineLevel="0" collapsed="false">
      <c r="A34" s="443"/>
      <c r="B34" s="429"/>
      <c r="C34" s="444" t="n">
        <f aca="false">1-C36</f>
        <v>0.4</v>
      </c>
      <c r="D34" s="423" t="s">
        <v>1061</v>
      </c>
      <c r="F34" s="358" t="n">
        <v>3</v>
      </c>
      <c r="G34" s="358" t="n">
        <v>375</v>
      </c>
      <c r="H34" s="358" t="n">
        <v>15</v>
      </c>
      <c r="I34" s="429" t="n">
        <v>5</v>
      </c>
      <c r="J34" s="438" t="n">
        <f aca="false">K34/I34</f>
        <v>14126</v>
      </c>
      <c r="K34" s="438" t="n">
        <f aca="false">(K40-K39-K38)*C34</f>
        <v>70630</v>
      </c>
      <c r="M34" s="69" t="n">
        <f aca="false">J34*F34*(1+L32)</f>
        <v>50853.6</v>
      </c>
      <c r="N34" s="438"/>
    </row>
    <row r="35" customFormat="false" ht="12.75" hidden="false" customHeight="false" outlineLevel="0" collapsed="false">
      <c r="A35" s="443"/>
      <c r="B35" s="429"/>
      <c r="C35" s="444"/>
      <c r="D35" s="423" t="s">
        <v>1062</v>
      </c>
      <c r="E35" s="358" t="n">
        <v>5</v>
      </c>
      <c r="F35" s="358" t="n">
        <v>3</v>
      </c>
      <c r="G35" s="358" t="n">
        <v>1025</v>
      </c>
      <c r="H35" s="358" t="n">
        <v>80</v>
      </c>
      <c r="I35" s="429" t="n">
        <f aca="false">1.8 * MIN(6, MAX(E35,F35)) + 0.45 * MIN(6, MIN(E35,F35)) + IF(E35&gt;6, (E35-6)*0.2) + IF(F35&gt;6, (F35-6)*0.2)</f>
        <v>10.35</v>
      </c>
      <c r="J35" s="438" t="n">
        <f aca="false">K35/I35</f>
        <v>0</v>
      </c>
      <c r="K35" s="438" t="n">
        <f aca="false">(K40-K39-K38)*C35</f>
        <v>0</v>
      </c>
      <c r="M35" s="438"/>
      <c r="N35" s="438"/>
    </row>
    <row r="36" customFormat="false" ht="12.75" hidden="false" customHeight="false" outlineLevel="0" collapsed="false">
      <c r="A36" s="445"/>
      <c r="B36" s="450"/>
      <c r="C36" s="451" t="n">
        <v>0.6</v>
      </c>
      <c r="D36" s="435" t="s">
        <v>1063</v>
      </c>
      <c r="E36" s="436" t="n">
        <v>6</v>
      </c>
      <c r="F36" s="436" t="n">
        <v>2</v>
      </c>
      <c r="G36" s="436" t="n">
        <v>1300</v>
      </c>
      <c r="H36" s="436" t="n">
        <v>80</v>
      </c>
      <c r="I36" s="429" t="n">
        <f aca="false">1.8 * MIN(6, MAX(E36,F36)) + 0.45 * MIN(6, MIN(E36,F36)) + IF(E36&gt;6, (E36-6)*0.2) + IF(F36&gt;6, (F36-6)*0.2)</f>
        <v>11.7</v>
      </c>
      <c r="J36" s="438" t="n">
        <f aca="false">K36/I36</f>
        <v>9055.12820512821</v>
      </c>
      <c r="K36" s="438" t="n">
        <f aca="false">(K40-K39-K38)*C36</f>
        <v>105945</v>
      </c>
      <c r="M36" s="438"/>
      <c r="N36" s="69" t="n">
        <f aca="false">J36*E36</f>
        <v>54330.7692307692</v>
      </c>
    </row>
    <row r="37" customFormat="false" ht="12.75" hidden="false" customHeight="false" outlineLevel="0" collapsed="false">
      <c r="F37" s="358" t="n">
        <v>1</v>
      </c>
      <c r="H37" s="438"/>
      <c r="I37" s="358" t="s">
        <v>65</v>
      </c>
      <c r="J37" s="442" t="n">
        <v>1000</v>
      </c>
      <c r="M37" s="69" t="n">
        <f aca="false">J37*F37*(1+L35)</f>
        <v>1000</v>
      </c>
      <c r="N37" s="438"/>
    </row>
    <row r="38" customFormat="false" ht="12.75" hidden="false" customHeight="false" outlineLevel="0" collapsed="false">
      <c r="H38" s="438"/>
      <c r="I38" s="438" t="s">
        <v>1127</v>
      </c>
      <c r="J38" s="447" t="n">
        <v>2337</v>
      </c>
      <c r="K38" s="438" t="n">
        <f aca="false">J38*25</f>
        <v>58425</v>
      </c>
      <c r="M38" s="76"/>
      <c r="N38" s="76"/>
    </row>
    <row r="39" customFormat="false" ht="12.75" hidden="false" customHeight="false" outlineLevel="0" collapsed="false">
      <c r="H39" s="438"/>
      <c r="I39" s="438" t="s">
        <v>1131</v>
      </c>
      <c r="J39" s="446" t="n">
        <v>1000</v>
      </c>
      <c r="K39" s="438" t="n">
        <f aca="false">5*J39</f>
        <v>5000</v>
      </c>
      <c r="M39" s="76" t="n">
        <f aca="false">SUM(M33:M37)</f>
        <v>51853.6</v>
      </c>
      <c r="N39" s="76" t="n">
        <f aca="false">N36</f>
        <v>54330.7692307692</v>
      </c>
    </row>
    <row r="40" customFormat="false" ht="12.75" hidden="false" customHeight="false" outlineLevel="0" collapsed="false">
      <c r="H40" s="438"/>
      <c r="I40" s="438"/>
      <c r="K40" s="448" t="n">
        <v>240000</v>
      </c>
    </row>
    <row r="41" customFormat="false" ht="12.75" hidden="false" customHeight="false" outlineLevel="0" collapsed="false">
      <c r="H41" s="438"/>
      <c r="I41" s="438"/>
    </row>
    <row r="42" customFormat="false" ht="12.75" hidden="false" customHeight="false" outlineLevel="0" collapsed="false">
      <c r="H42" s="438"/>
      <c r="I42" s="438"/>
    </row>
    <row r="43" customFormat="false" ht="12.75" hidden="false" customHeight="false" outlineLevel="0" collapsed="false">
      <c r="H43" s="438"/>
      <c r="I43" s="438"/>
    </row>
    <row r="44" customFormat="false" ht="12.75" hidden="false" customHeight="false" outlineLevel="0" collapsed="false">
      <c r="H44" s="438"/>
      <c r="I44" s="438"/>
    </row>
    <row r="45" customFormat="false" ht="12.75" hidden="false" customHeight="false" outlineLevel="0" collapsed="false">
      <c r="H45" s="438"/>
      <c r="I45" s="438"/>
    </row>
    <row r="46" customFormat="false" ht="12.75" hidden="false" customHeight="false" outlineLevel="0" collapsed="false">
      <c r="H46" s="438"/>
      <c r="I46" s="438"/>
    </row>
    <row r="47" customFormat="false" ht="12.75" hidden="false" customHeight="false" outlineLevel="0" collapsed="false">
      <c r="H47" s="438"/>
      <c r="I47" s="438"/>
    </row>
    <row r="48" customFormat="false" ht="12.75" hidden="false" customHeight="false" outlineLevel="0" collapsed="false">
      <c r="H48" s="438"/>
      <c r="I48" s="438"/>
    </row>
    <row r="49" customFormat="false" ht="12.75" hidden="false" customHeight="false" outlineLevel="0" collapsed="false">
      <c r="H49" s="438"/>
      <c r="I49" s="438"/>
    </row>
    <row r="50" customFormat="false" ht="12.75" hidden="false" customHeight="false" outlineLevel="0" collapsed="false">
      <c r="H50" s="438"/>
      <c r="I50" s="438"/>
    </row>
    <row r="51" customFormat="false" ht="12.75" hidden="false" customHeight="false" outlineLevel="0" collapsed="false">
      <c r="C51" s="421" t="s">
        <v>1110</v>
      </c>
      <c r="D51" s="421" t="s">
        <v>1111</v>
      </c>
      <c r="E51" s="421" t="s">
        <v>1112</v>
      </c>
      <c r="F51" s="421" t="s">
        <v>1113</v>
      </c>
      <c r="H51" s="438"/>
      <c r="I51" s="438"/>
    </row>
    <row r="52" customFormat="false" ht="12.75" hidden="false" customHeight="false" outlineLevel="0" collapsed="false">
      <c r="C52" s="424" t="n">
        <v>3845</v>
      </c>
      <c r="D52" s="425" t="n">
        <v>3220</v>
      </c>
      <c r="E52" s="452" t="n">
        <f aca="false">MAX(10,($F52*$D52))</f>
        <v>321.739014646531</v>
      </c>
      <c r="F52" s="426" t="n">
        <f aca="false">MIN(0.15, 0.25 * ( 0.7 - EXP( -1.3 * $D52 / $C52 ) ))*1.1</f>
        <v>0.099918948647991</v>
      </c>
      <c r="G52" s="358" t="n">
        <v>310</v>
      </c>
      <c r="H52" s="438"/>
      <c r="I52" s="438"/>
    </row>
    <row r="53" customFormat="false" ht="12.75" hidden="false" customHeight="false" outlineLevel="0" collapsed="false">
      <c r="C53" s="424" t="n">
        <v>3810</v>
      </c>
      <c r="D53" s="425" t="n">
        <v>3127</v>
      </c>
      <c r="E53" s="452" t="n">
        <f aca="false">MAX(10,($F53*$D53))</f>
        <v>306.086486352093</v>
      </c>
      <c r="F53" s="426" t="n">
        <f aca="false">MIN(0.15, 0.25 * ( 0.7 - EXP( -1.3 * $D53 / $C53 ) ))*1.1</f>
        <v>0.0978850292139729</v>
      </c>
      <c r="G53" s="452" t="n">
        <v>298</v>
      </c>
      <c r="H53" s="438"/>
      <c r="I53" s="438"/>
    </row>
    <row r="54" customFormat="false" ht="12.75" hidden="false" customHeight="false" outlineLevel="0" collapsed="false">
      <c r="C54" s="424" t="n">
        <v>3643</v>
      </c>
      <c r="D54" s="425" t="n">
        <v>3042</v>
      </c>
      <c r="E54" s="452" t="n">
        <f aca="false">MAX(10,($F54*$D54))</f>
        <v>303.064139349085</v>
      </c>
      <c r="F54" s="426" t="n">
        <f aca="false">MIN(0.15, 0.25 * ( 0.7 - EXP( -1.3 * $D54 / $C54 ) ))*1.1</f>
        <v>0.0996266072810929</v>
      </c>
      <c r="G54" s="452" t="n">
        <v>294</v>
      </c>
      <c r="H54" s="438"/>
      <c r="I54" s="438"/>
    </row>
    <row r="55" customFormat="false" ht="12.75" hidden="false" customHeight="false" outlineLevel="0" collapsed="false">
      <c r="C55" s="424" t="n">
        <v>3905</v>
      </c>
      <c r="D55" s="425" t="n">
        <v>2938</v>
      </c>
      <c r="E55" s="452" t="n">
        <f aca="false">MAX(10,($F55*$D55))</f>
        <v>261.74944508638</v>
      </c>
      <c r="F55" s="426" t="n">
        <f aca="false">MIN(0.15, 0.25 * ( 0.7 - EXP( -1.3 * $D55 / $C55 ) ))*1.1</f>
        <v>0.0890910296413818</v>
      </c>
      <c r="G55" s="452" t="n">
        <v>234</v>
      </c>
      <c r="H55" s="438"/>
      <c r="I55" s="438"/>
    </row>
    <row r="56" customFormat="false" ht="12.75" hidden="false" customHeight="false" outlineLevel="0" collapsed="false">
      <c r="H56" s="438"/>
      <c r="I56" s="438"/>
    </row>
    <row r="57" customFormat="false" ht="12.75" hidden="false" customHeight="false" outlineLevel="0" collapsed="false">
      <c r="H57" s="438"/>
      <c r="I57" s="438"/>
    </row>
    <row r="58" customFormat="false" ht="12.75" hidden="false" customHeight="false" outlineLevel="0" collapsed="false">
      <c r="H58" s="438"/>
      <c r="I58" s="438"/>
    </row>
    <row r="59" customFormat="false" ht="12.75" hidden="false" customHeight="false" outlineLevel="0" collapsed="false">
      <c r="H59" s="438"/>
      <c r="I59" s="438"/>
    </row>
    <row r="60" customFormat="false" ht="12.75" hidden="false" customHeight="false" outlineLevel="0" collapsed="false">
      <c r="H60" s="438"/>
      <c r="I60" s="438"/>
    </row>
    <row r="61" customFormat="false" ht="12.75" hidden="false" customHeight="false" outlineLevel="0" collapsed="false">
      <c r="H61" s="438"/>
      <c r="I61" s="438"/>
    </row>
    <row r="62" customFormat="false" ht="12.75" hidden="false" customHeight="false" outlineLevel="0" collapsed="false">
      <c r="H62" s="438"/>
      <c r="I62" s="438"/>
    </row>
    <row r="63" customFormat="false" ht="12.75" hidden="false" customHeight="false" outlineLevel="0" collapsed="false">
      <c r="H63" s="438"/>
      <c r="I63" s="438"/>
    </row>
    <row r="64" customFormat="false" ht="12.75" hidden="false" customHeight="false" outlineLevel="0" collapsed="false">
      <c r="H64" s="438"/>
      <c r="I64" s="438"/>
    </row>
    <row r="65" customFormat="false" ht="12.75" hidden="false" customHeight="false" outlineLevel="0" collapsed="false">
      <c r="H65" s="438"/>
      <c r="I65" s="438"/>
    </row>
    <row r="66" customFormat="false" ht="12.75" hidden="false" customHeight="false" outlineLevel="0" collapsed="false">
      <c r="H66" s="438"/>
      <c r="I66" s="438"/>
    </row>
    <row r="67" customFormat="false" ht="12.75" hidden="false" customHeight="false" outlineLevel="0" collapsed="false">
      <c r="H67" s="438"/>
      <c r="I67" s="438"/>
    </row>
    <row r="68" customFormat="false" ht="12.75" hidden="false" customHeight="false" outlineLevel="0" collapsed="false">
      <c r="H68" s="438"/>
      <c r="I68" s="438"/>
    </row>
    <row r="69" customFormat="false" ht="12.75" hidden="false" customHeight="false" outlineLevel="0" collapsed="false">
      <c r="H69" s="438"/>
      <c r="I69" s="438"/>
    </row>
    <row r="70" customFormat="false" ht="12.75" hidden="false" customHeight="false" outlineLevel="0" collapsed="false">
      <c r="H70" s="438"/>
      <c r="I70" s="438"/>
    </row>
    <row r="71" customFormat="false" ht="12.75" hidden="false" customHeight="false" outlineLevel="0" collapsed="false">
      <c r="H71" s="438"/>
      <c r="I71" s="438"/>
    </row>
    <row r="72" customFormat="false" ht="12.75" hidden="false" customHeight="false" outlineLevel="0" collapsed="false">
      <c r="H72" s="438"/>
      <c r="I72" s="438"/>
    </row>
    <row r="73" customFormat="false" ht="12.75" hidden="false" customHeight="false" outlineLevel="0" collapsed="false">
      <c r="H73" s="438"/>
      <c r="I73" s="438"/>
    </row>
    <row r="74" customFormat="false" ht="12.75" hidden="false" customHeight="false" outlineLevel="0" collapsed="false">
      <c r="H74" s="438"/>
      <c r="I74" s="438"/>
    </row>
    <row r="75" customFormat="false" ht="12.75" hidden="false" customHeight="false" outlineLevel="0" collapsed="false">
      <c r="H75" s="438"/>
      <c r="I75" s="438"/>
    </row>
    <row r="76" customFormat="false" ht="12.75" hidden="false" customHeight="false" outlineLevel="0" collapsed="false">
      <c r="H76" s="438"/>
      <c r="I76" s="438"/>
    </row>
    <row r="77" customFormat="false" ht="12.75" hidden="false" customHeight="false" outlineLevel="0" collapsed="false">
      <c r="H77" s="438"/>
      <c r="I77" s="438"/>
    </row>
    <row r="78" customFormat="false" ht="12.75" hidden="false" customHeight="false" outlineLevel="0" collapsed="false">
      <c r="H78" s="438"/>
      <c r="I78" s="438"/>
    </row>
    <row r="79" customFormat="false" ht="12.75" hidden="false" customHeight="false" outlineLevel="0" collapsed="false">
      <c r="H79" s="438"/>
      <c r="I79" s="438"/>
    </row>
    <row r="80" customFormat="false" ht="12.75" hidden="false" customHeight="false" outlineLevel="0" collapsed="false">
      <c r="H80" s="438"/>
      <c r="I80" s="438"/>
    </row>
    <row r="81" customFormat="false" ht="12.75" hidden="false" customHeight="false" outlineLevel="0" collapsed="false">
      <c r="H81" s="438"/>
      <c r="I81" s="438"/>
    </row>
    <row r="82" customFormat="false" ht="12.75" hidden="false" customHeight="false" outlineLevel="0" collapsed="false">
      <c r="H82" s="438"/>
      <c r="I82" s="438"/>
    </row>
    <row r="83" customFormat="false" ht="12.75" hidden="false" customHeight="false" outlineLevel="0" collapsed="false">
      <c r="H83" s="438"/>
      <c r="I83" s="438"/>
    </row>
    <row r="84" customFormat="false" ht="12.75" hidden="false" customHeight="false" outlineLevel="0" collapsed="false">
      <c r="H84" s="438"/>
      <c r="I84" s="438"/>
    </row>
    <row r="85" customFormat="false" ht="12.75" hidden="false" customHeight="false" outlineLevel="0" collapsed="false">
      <c r="H85" s="438"/>
      <c r="I85" s="438"/>
    </row>
    <row r="86" customFormat="false" ht="12.75" hidden="false" customHeight="false" outlineLevel="0" collapsed="false">
      <c r="H86" s="438"/>
      <c r="I86" s="438"/>
    </row>
    <row r="87" customFormat="false" ht="12.75" hidden="false" customHeight="false" outlineLevel="0" collapsed="false">
      <c r="H87" s="438"/>
      <c r="I87" s="438"/>
    </row>
    <row r="88" customFormat="false" ht="12.75" hidden="false" customHeight="false" outlineLevel="0" collapsed="false">
      <c r="H88" s="438"/>
      <c r="I88" s="438"/>
    </row>
    <row r="89" customFormat="false" ht="12.75" hidden="false" customHeight="false" outlineLevel="0" collapsed="false">
      <c r="H89" s="438"/>
      <c r="I89" s="438"/>
    </row>
    <row r="90" customFormat="false" ht="12.75" hidden="false" customHeight="false" outlineLevel="0" collapsed="false">
      <c r="H90" s="438"/>
      <c r="I90" s="438"/>
    </row>
    <row r="91" customFormat="false" ht="12.75" hidden="false" customHeight="false" outlineLevel="0" collapsed="false">
      <c r="H91" s="438"/>
      <c r="I91" s="438"/>
    </row>
    <row r="92" customFormat="false" ht="12.75" hidden="false" customHeight="false" outlineLevel="0" collapsed="false">
      <c r="H92" s="438"/>
      <c r="I92" s="438"/>
    </row>
    <row r="93" customFormat="false" ht="12.75" hidden="false" customHeight="false" outlineLevel="0" collapsed="false">
      <c r="H93" s="438"/>
      <c r="I93" s="438"/>
    </row>
    <row r="94" customFormat="false" ht="12.75" hidden="false" customHeight="false" outlineLevel="0" collapsed="false">
      <c r="H94" s="438"/>
      <c r="I94" s="438"/>
    </row>
    <row r="95" customFormat="false" ht="12.75" hidden="false" customHeight="false" outlineLevel="0" collapsed="false">
      <c r="H95" s="438"/>
      <c r="I95" s="438"/>
    </row>
    <row r="96" customFormat="false" ht="12.75" hidden="false" customHeight="false" outlineLevel="0" collapsed="false">
      <c r="H96" s="438"/>
      <c r="I96" s="438"/>
    </row>
    <row r="97" customFormat="false" ht="12.75" hidden="false" customHeight="false" outlineLevel="0" collapsed="false">
      <c r="H97" s="438"/>
      <c r="I97" s="438"/>
    </row>
    <row r="98" customFormat="false" ht="12.75" hidden="false" customHeight="false" outlineLevel="0" collapsed="false">
      <c r="H98" s="438"/>
      <c r="I98" s="438"/>
    </row>
    <row r="99" customFormat="false" ht="12.75" hidden="false" customHeight="false" outlineLevel="0" collapsed="false">
      <c r="H99" s="438"/>
      <c r="I99" s="438"/>
    </row>
    <row r="100" customFormat="false" ht="12.75" hidden="false" customHeight="false" outlineLevel="0" collapsed="false">
      <c r="H100" s="438"/>
      <c r="I100" s="438"/>
    </row>
    <row r="101" customFormat="false" ht="12.75" hidden="false" customHeight="false" outlineLevel="0" collapsed="false">
      <c r="H101" s="438"/>
      <c r="I101" s="438"/>
    </row>
    <row r="102" customFormat="false" ht="12.75" hidden="false" customHeight="false" outlineLevel="0" collapsed="false">
      <c r="H102" s="438"/>
      <c r="I102" s="438"/>
    </row>
    <row r="103" customFormat="false" ht="12.75" hidden="false" customHeight="false" outlineLevel="0" collapsed="false">
      <c r="H103" s="438"/>
      <c r="I103" s="438"/>
    </row>
    <row r="104" customFormat="false" ht="12.75" hidden="false" customHeight="false" outlineLevel="0" collapsed="false">
      <c r="H104" s="438"/>
      <c r="I104" s="438"/>
    </row>
    <row r="105" customFormat="false" ht="12.75" hidden="false" customHeight="false" outlineLevel="0" collapsed="false">
      <c r="H105" s="438"/>
      <c r="I105" s="438"/>
    </row>
    <row r="106" customFormat="false" ht="12.75" hidden="false" customHeight="false" outlineLevel="0" collapsed="false">
      <c r="H106" s="438"/>
      <c r="I106" s="438"/>
    </row>
    <row r="107" customFormat="false" ht="12.75" hidden="false" customHeight="false" outlineLevel="0" collapsed="false">
      <c r="H107" s="438"/>
      <c r="I107" s="438"/>
    </row>
    <row r="108" customFormat="false" ht="12.75" hidden="false" customHeight="false" outlineLevel="0" collapsed="false">
      <c r="H108" s="438"/>
      <c r="I108" s="438"/>
    </row>
    <row r="109" customFormat="false" ht="12.75" hidden="false" customHeight="false" outlineLevel="0" collapsed="false">
      <c r="H109" s="438"/>
      <c r="I109" s="438"/>
    </row>
    <row r="110" customFormat="false" ht="12.75" hidden="false" customHeight="false" outlineLevel="0" collapsed="false">
      <c r="H110" s="438"/>
      <c r="I110" s="438"/>
    </row>
    <row r="111" customFormat="false" ht="12.75" hidden="false" customHeight="false" outlineLevel="0" collapsed="false">
      <c r="H111" s="438"/>
      <c r="I111" s="438"/>
    </row>
    <row r="112" customFormat="false" ht="12.75" hidden="false" customHeight="false" outlineLevel="0" collapsed="false">
      <c r="H112" s="438"/>
      <c r="I112" s="438"/>
    </row>
    <row r="113" customFormat="false" ht="12.75" hidden="false" customHeight="false" outlineLevel="0" collapsed="false">
      <c r="H113" s="438"/>
      <c r="I113" s="438"/>
    </row>
    <row r="114" customFormat="false" ht="12.75" hidden="false" customHeight="false" outlineLevel="0" collapsed="false">
      <c r="H114" s="438"/>
      <c r="I114" s="438"/>
    </row>
    <row r="115" customFormat="false" ht="12.75" hidden="false" customHeight="false" outlineLevel="0" collapsed="false">
      <c r="H115" s="438"/>
      <c r="I115" s="438"/>
    </row>
    <row r="116" customFormat="false" ht="12.75" hidden="false" customHeight="false" outlineLevel="0" collapsed="false">
      <c r="H116" s="438"/>
      <c r="I116" s="438"/>
    </row>
    <row r="117" customFormat="false" ht="12.75" hidden="false" customHeight="false" outlineLevel="0" collapsed="false">
      <c r="H117" s="438"/>
      <c r="I117" s="438"/>
    </row>
    <row r="118" customFormat="false" ht="12.75" hidden="false" customHeight="false" outlineLevel="0" collapsed="false">
      <c r="H118" s="438"/>
      <c r="I118" s="438"/>
    </row>
    <row r="119" customFormat="false" ht="12.75" hidden="false" customHeight="false" outlineLevel="0" collapsed="false">
      <c r="H119" s="438"/>
      <c r="I119" s="438"/>
    </row>
    <row r="120" customFormat="false" ht="12.75" hidden="false" customHeight="false" outlineLevel="0" collapsed="false">
      <c r="H120" s="438"/>
      <c r="I120" s="438"/>
    </row>
    <row r="121" customFormat="false" ht="12.75" hidden="false" customHeight="false" outlineLevel="0" collapsed="false">
      <c r="H121" s="438"/>
      <c r="I121" s="438"/>
    </row>
    <row r="122" customFormat="false" ht="12.75" hidden="false" customHeight="false" outlineLevel="0" collapsed="false">
      <c r="H122" s="438"/>
      <c r="I122" s="438"/>
    </row>
    <row r="123" customFormat="false" ht="12.75" hidden="false" customHeight="false" outlineLevel="0" collapsed="false">
      <c r="H123" s="438"/>
      <c r="I123" s="438"/>
    </row>
    <row r="124" customFormat="false" ht="12.75" hidden="false" customHeight="false" outlineLevel="0" collapsed="false">
      <c r="H124" s="438"/>
      <c r="I124" s="438"/>
    </row>
    <row r="125" customFormat="false" ht="12.75" hidden="false" customHeight="false" outlineLevel="0" collapsed="false">
      <c r="H125" s="438"/>
      <c r="I125" s="438"/>
    </row>
    <row r="126" customFormat="false" ht="12.75" hidden="false" customHeight="false" outlineLevel="0" collapsed="false">
      <c r="H126" s="438"/>
      <c r="I126" s="438"/>
    </row>
    <row r="127" customFormat="false" ht="12.75" hidden="false" customHeight="false" outlineLevel="0" collapsed="false">
      <c r="H127" s="438"/>
      <c r="I127" s="438"/>
    </row>
    <row r="128" customFormat="false" ht="12.75" hidden="false" customHeight="false" outlineLevel="0" collapsed="false">
      <c r="H128" s="438"/>
      <c r="I128" s="438"/>
    </row>
    <row r="129" customFormat="false" ht="12.75" hidden="false" customHeight="false" outlineLevel="0" collapsed="false">
      <c r="H129" s="438"/>
      <c r="I129" s="438"/>
    </row>
    <row r="130" customFormat="false" ht="12.75" hidden="false" customHeight="false" outlineLevel="0" collapsed="false">
      <c r="H130" s="438"/>
      <c r="I130" s="438"/>
    </row>
    <row r="131" customFormat="false" ht="12.75" hidden="false" customHeight="false" outlineLevel="0" collapsed="false">
      <c r="H131" s="438"/>
      <c r="I131" s="438"/>
    </row>
    <row r="132" customFormat="false" ht="12.75" hidden="false" customHeight="false" outlineLevel="0" collapsed="false">
      <c r="H132" s="438"/>
      <c r="I132" s="438"/>
    </row>
    <row r="133" customFormat="false" ht="12.75" hidden="false" customHeight="false" outlineLevel="0" collapsed="false">
      <c r="H133" s="438"/>
      <c r="I133" s="438"/>
    </row>
    <row r="134" customFormat="false" ht="12.75" hidden="false" customHeight="false" outlineLevel="0" collapsed="false">
      <c r="H134" s="438"/>
      <c r="I134" s="438"/>
    </row>
    <row r="135" customFormat="false" ht="12.75" hidden="false" customHeight="false" outlineLevel="0" collapsed="false">
      <c r="H135" s="438"/>
      <c r="I135" s="438"/>
    </row>
    <row r="136" customFormat="false" ht="12.75" hidden="false" customHeight="false" outlineLevel="0" collapsed="false">
      <c r="H136" s="438"/>
      <c r="I136" s="438"/>
    </row>
    <row r="137" customFormat="false" ht="12.75" hidden="false" customHeight="false" outlineLevel="0" collapsed="false">
      <c r="H137" s="438"/>
      <c r="I137" s="438"/>
    </row>
    <row r="138" customFormat="false" ht="12.75" hidden="false" customHeight="false" outlineLevel="0" collapsed="false">
      <c r="H138" s="438"/>
      <c r="I138" s="438"/>
    </row>
    <row r="139" customFormat="false" ht="12.75" hidden="false" customHeight="false" outlineLevel="0" collapsed="false">
      <c r="H139" s="438"/>
      <c r="I139" s="438"/>
    </row>
    <row r="140" customFormat="false" ht="12.75" hidden="false" customHeight="false" outlineLevel="0" collapsed="false">
      <c r="H140" s="438"/>
      <c r="I140" s="438"/>
    </row>
    <row r="141" customFormat="false" ht="12.75" hidden="false" customHeight="false" outlineLevel="0" collapsed="false">
      <c r="H141" s="438"/>
      <c r="I141" s="438"/>
    </row>
    <row r="142" customFormat="false" ht="12.75" hidden="false" customHeight="false" outlineLevel="0" collapsed="false">
      <c r="H142" s="438"/>
      <c r="I142" s="438"/>
    </row>
    <row r="143" customFormat="false" ht="12.75" hidden="false" customHeight="false" outlineLevel="0" collapsed="false">
      <c r="H143" s="438"/>
      <c r="I143" s="438"/>
    </row>
    <row r="144" customFormat="false" ht="12.75" hidden="false" customHeight="false" outlineLevel="0" collapsed="false">
      <c r="H144" s="438"/>
      <c r="I144" s="438"/>
    </row>
    <row r="145" customFormat="false" ht="12.75" hidden="false" customHeight="false" outlineLevel="0" collapsed="false">
      <c r="H145" s="438"/>
      <c r="I145" s="438"/>
    </row>
    <row r="146" customFormat="false" ht="12.75" hidden="false" customHeight="false" outlineLevel="0" collapsed="false">
      <c r="H146" s="438"/>
      <c r="I146" s="438"/>
    </row>
    <row r="147" customFormat="false" ht="12.75" hidden="false" customHeight="false" outlineLevel="0" collapsed="false">
      <c r="H147" s="438"/>
      <c r="I147" s="438"/>
    </row>
    <row r="148" customFormat="false" ht="12.75" hidden="false" customHeight="false" outlineLevel="0" collapsed="false">
      <c r="H148" s="438"/>
      <c r="I148" s="438"/>
    </row>
    <row r="149" customFormat="false" ht="12.75" hidden="false" customHeight="false" outlineLevel="0" collapsed="false">
      <c r="H149" s="438"/>
      <c r="I149" s="438"/>
    </row>
    <row r="150" customFormat="false" ht="12.75" hidden="false" customHeight="false" outlineLevel="0" collapsed="false">
      <c r="H150" s="438"/>
      <c r="I150" s="438"/>
    </row>
    <row r="151" customFormat="false" ht="12.75" hidden="false" customHeight="false" outlineLevel="0" collapsed="false">
      <c r="H151" s="438"/>
      <c r="I151" s="438"/>
    </row>
    <row r="152" customFormat="false" ht="12.75" hidden="false" customHeight="false" outlineLevel="0" collapsed="false">
      <c r="H152" s="438"/>
      <c r="I152" s="438"/>
    </row>
    <row r="153" customFormat="false" ht="12.75" hidden="false" customHeight="false" outlineLevel="0" collapsed="false">
      <c r="H153" s="438"/>
      <c r="I153" s="438"/>
    </row>
    <row r="154" customFormat="false" ht="12.75" hidden="false" customHeight="false" outlineLevel="0" collapsed="false">
      <c r="H154" s="438"/>
      <c r="I154" s="438"/>
    </row>
    <row r="155" customFormat="false" ht="12.75" hidden="false" customHeight="false" outlineLevel="0" collapsed="false">
      <c r="H155" s="438"/>
      <c r="I155" s="438"/>
    </row>
    <row r="156" customFormat="false" ht="12.75" hidden="false" customHeight="false" outlineLevel="0" collapsed="false">
      <c r="H156" s="438"/>
      <c r="I156" s="438"/>
    </row>
    <row r="157" customFormat="false" ht="12.75" hidden="false" customHeight="false" outlineLevel="0" collapsed="false">
      <c r="H157" s="438"/>
      <c r="I157" s="438"/>
    </row>
    <row r="158" customFormat="false" ht="12.75" hidden="false" customHeight="false" outlineLevel="0" collapsed="false">
      <c r="H158" s="438"/>
      <c r="I158" s="438"/>
    </row>
    <row r="159" customFormat="false" ht="12.75" hidden="false" customHeight="false" outlineLevel="0" collapsed="false">
      <c r="H159" s="438"/>
      <c r="I159" s="438"/>
    </row>
    <row r="160" customFormat="false" ht="12.75" hidden="false" customHeight="false" outlineLevel="0" collapsed="false">
      <c r="H160" s="438"/>
      <c r="I160" s="438"/>
    </row>
    <row r="161" customFormat="false" ht="12.75" hidden="false" customHeight="false" outlineLevel="0" collapsed="false">
      <c r="H161" s="438"/>
      <c r="I161" s="438"/>
    </row>
    <row r="162" customFormat="false" ht="12.75" hidden="false" customHeight="false" outlineLevel="0" collapsed="false">
      <c r="H162" s="438"/>
      <c r="I162" s="438"/>
    </row>
    <row r="163" customFormat="false" ht="12.75" hidden="false" customHeight="false" outlineLevel="0" collapsed="false">
      <c r="H163" s="438"/>
      <c r="I163" s="438"/>
    </row>
    <row r="164" customFormat="false" ht="12.75" hidden="false" customHeight="false" outlineLevel="0" collapsed="false">
      <c r="H164" s="438"/>
      <c r="I164" s="438"/>
    </row>
    <row r="165" customFormat="false" ht="12.75" hidden="false" customHeight="false" outlineLevel="0" collapsed="false">
      <c r="H165" s="438"/>
      <c r="I165" s="438"/>
    </row>
    <row r="166" customFormat="false" ht="12.75" hidden="false" customHeight="false" outlineLevel="0" collapsed="false">
      <c r="H166" s="438"/>
      <c r="I166" s="438"/>
    </row>
    <row r="167" customFormat="false" ht="12.75" hidden="false" customHeight="false" outlineLevel="0" collapsed="false">
      <c r="H167" s="438"/>
      <c r="I167" s="438"/>
    </row>
    <row r="168" customFormat="false" ht="12.75" hidden="false" customHeight="false" outlineLevel="0" collapsed="false">
      <c r="H168" s="438"/>
      <c r="I168" s="438"/>
    </row>
    <row r="169" customFormat="false" ht="12.75" hidden="false" customHeight="false" outlineLevel="0" collapsed="false">
      <c r="H169" s="438"/>
      <c r="I169" s="438"/>
    </row>
    <row r="170" customFormat="false" ht="12.75" hidden="false" customHeight="false" outlineLevel="0" collapsed="false">
      <c r="H170" s="438"/>
      <c r="I170" s="438"/>
    </row>
    <row r="171" customFormat="false" ht="12.75" hidden="false" customHeight="false" outlineLevel="0" collapsed="false">
      <c r="H171" s="438"/>
      <c r="I171" s="438"/>
    </row>
    <row r="172" customFormat="false" ht="12.75" hidden="false" customHeight="false" outlineLevel="0" collapsed="false">
      <c r="H172" s="438"/>
      <c r="I172" s="438"/>
    </row>
    <row r="173" customFormat="false" ht="12.75" hidden="false" customHeight="false" outlineLevel="0" collapsed="false">
      <c r="H173" s="438"/>
      <c r="I173" s="438"/>
    </row>
    <row r="174" customFormat="false" ht="12.75" hidden="false" customHeight="false" outlineLevel="0" collapsed="false">
      <c r="H174" s="438"/>
      <c r="I174" s="438"/>
    </row>
    <row r="175" customFormat="false" ht="12.75" hidden="false" customHeight="false" outlineLevel="0" collapsed="false">
      <c r="H175" s="438"/>
      <c r="I175" s="438"/>
    </row>
    <row r="176" customFormat="false" ht="12.75" hidden="false" customHeight="false" outlineLevel="0" collapsed="false">
      <c r="H176" s="438"/>
      <c r="I176" s="438"/>
    </row>
    <row r="177" customFormat="false" ht="12.75" hidden="false" customHeight="false" outlineLevel="0" collapsed="false">
      <c r="H177" s="438"/>
      <c r="I177" s="438"/>
    </row>
    <row r="178" customFormat="false" ht="12.75" hidden="false" customHeight="false" outlineLevel="0" collapsed="false">
      <c r="H178" s="438"/>
      <c r="I178" s="438"/>
    </row>
    <row r="179" customFormat="false" ht="12.75" hidden="false" customHeight="false" outlineLevel="0" collapsed="false">
      <c r="H179" s="438"/>
      <c r="I179" s="438"/>
    </row>
    <row r="180" customFormat="false" ht="12.75" hidden="false" customHeight="false" outlineLevel="0" collapsed="false">
      <c r="H180" s="438"/>
      <c r="I180" s="438"/>
    </row>
    <row r="181" customFormat="false" ht="12.75" hidden="false" customHeight="false" outlineLevel="0" collapsed="false">
      <c r="H181" s="438"/>
      <c r="I181" s="438"/>
    </row>
    <row r="182" customFormat="false" ht="12.75" hidden="false" customHeight="false" outlineLevel="0" collapsed="false">
      <c r="H182" s="438"/>
      <c r="I182" s="438"/>
    </row>
    <row r="183" customFormat="false" ht="12.75" hidden="false" customHeight="false" outlineLevel="0" collapsed="false">
      <c r="H183" s="438"/>
      <c r="I183" s="438"/>
    </row>
    <row r="184" customFormat="false" ht="12.75" hidden="false" customHeight="false" outlineLevel="0" collapsed="false">
      <c r="H184" s="438"/>
      <c r="I184" s="438"/>
    </row>
    <row r="185" customFormat="false" ht="12.75" hidden="false" customHeight="false" outlineLevel="0" collapsed="false">
      <c r="H185" s="438"/>
      <c r="I185" s="438"/>
    </row>
    <row r="186" customFormat="false" ht="12.75" hidden="false" customHeight="false" outlineLevel="0" collapsed="false">
      <c r="H186" s="438"/>
      <c r="I186" s="438"/>
    </row>
    <row r="187" customFormat="false" ht="12.75" hidden="false" customHeight="false" outlineLevel="0" collapsed="false">
      <c r="H187" s="438"/>
      <c r="I187" s="438"/>
    </row>
    <row r="188" customFormat="false" ht="12.75" hidden="false" customHeight="false" outlineLevel="0" collapsed="false">
      <c r="H188" s="438"/>
      <c r="I188" s="438"/>
    </row>
    <row r="189" customFormat="false" ht="12.75" hidden="false" customHeight="false" outlineLevel="0" collapsed="false">
      <c r="H189" s="438"/>
      <c r="I189" s="438"/>
    </row>
    <row r="190" customFormat="false" ht="12.75" hidden="false" customHeight="false" outlineLevel="0" collapsed="false">
      <c r="H190" s="438"/>
      <c r="I190" s="438"/>
    </row>
    <row r="191" customFormat="false" ht="12.75" hidden="false" customHeight="false" outlineLevel="0" collapsed="false">
      <c r="H191" s="438"/>
      <c r="I191" s="438"/>
    </row>
    <row r="192" customFormat="false" ht="12.75" hidden="false" customHeight="false" outlineLevel="0" collapsed="false">
      <c r="H192" s="438"/>
      <c r="I192" s="438"/>
    </row>
    <row r="193" customFormat="false" ht="12.75" hidden="false" customHeight="false" outlineLevel="0" collapsed="false">
      <c r="H193" s="438"/>
      <c r="I193" s="438"/>
    </row>
    <row r="194" customFormat="false" ht="12.75" hidden="false" customHeight="false" outlineLevel="0" collapsed="false">
      <c r="H194" s="438"/>
      <c r="I194" s="438"/>
    </row>
    <row r="195" customFormat="false" ht="12.75" hidden="false" customHeight="false" outlineLevel="0" collapsed="false">
      <c r="H195" s="438"/>
      <c r="I195" s="438"/>
    </row>
    <row r="196" customFormat="false" ht="12.75" hidden="false" customHeight="false" outlineLevel="0" collapsed="false">
      <c r="H196" s="438"/>
      <c r="I196" s="438"/>
    </row>
    <row r="197" customFormat="false" ht="12.75" hidden="false" customHeight="false" outlineLevel="0" collapsed="false">
      <c r="H197" s="438"/>
      <c r="I197" s="438"/>
    </row>
    <row r="198" customFormat="false" ht="12.75" hidden="false" customHeight="false" outlineLevel="0" collapsed="false">
      <c r="H198" s="438"/>
      <c r="I198" s="438"/>
    </row>
    <row r="199" customFormat="false" ht="12.75" hidden="false" customHeight="false" outlineLevel="0" collapsed="false">
      <c r="H199" s="438"/>
      <c r="I199" s="438"/>
    </row>
    <row r="200" customFormat="false" ht="12.75" hidden="false" customHeight="false" outlineLevel="0" collapsed="false">
      <c r="H200" s="438"/>
      <c r="I200" s="438"/>
    </row>
    <row r="201" customFormat="false" ht="12.75" hidden="false" customHeight="false" outlineLevel="0" collapsed="false">
      <c r="H201" s="438"/>
      <c r="I201" s="438"/>
    </row>
    <row r="202" customFormat="false" ht="12.75" hidden="false" customHeight="false" outlineLevel="0" collapsed="false">
      <c r="H202" s="438"/>
      <c r="I202" s="438"/>
    </row>
    <row r="203" customFormat="false" ht="12.75" hidden="false" customHeight="false" outlineLevel="0" collapsed="false">
      <c r="H203" s="438"/>
      <c r="I203" s="438"/>
    </row>
    <row r="204" customFormat="false" ht="12.75" hidden="false" customHeight="false" outlineLevel="0" collapsed="false">
      <c r="H204" s="438"/>
      <c r="I204" s="438"/>
    </row>
    <row r="205" customFormat="false" ht="12.75" hidden="false" customHeight="false" outlineLevel="0" collapsed="false">
      <c r="H205" s="438"/>
      <c r="I205" s="438"/>
    </row>
    <row r="206" customFormat="false" ht="12.75" hidden="false" customHeight="false" outlineLevel="0" collapsed="false">
      <c r="H206" s="438"/>
      <c r="I206" s="438"/>
    </row>
    <row r="207" customFormat="false" ht="12.75" hidden="false" customHeight="false" outlineLevel="0" collapsed="false">
      <c r="H207" s="438"/>
      <c r="I207" s="438"/>
    </row>
    <row r="208" customFormat="false" ht="12.75" hidden="false" customHeight="false" outlineLevel="0" collapsed="false">
      <c r="H208" s="438"/>
      <c r="I208" s="438"/>
    </row>
    <row r="209" customFormat="false" ht="12.75" hidden="false" customHeight="false" outlineLevel="0" collapsed="false">
      <c r="H209" s="438"/>
      <c r="I209" s="438"/>
    </row>
    <row r="210" customFormat="false" ht="12.75" hidden="false" customHeight="false" outlineLevel="0" collapsed="false">
      <c r="H210" s="438"/>
      <c r="I210" s="438"/>
    </row>
    <row r="211" customFormat="false" ht="12.75" hidden="false" customHeight="false" outlineLevel="0" collapsed="false">
      <c r="H211" s="438"/>
      <c r="I211" s="438"/>
    </row>
    <row r="212" customFormat="false" ht="12.75" hidden="false" customHeight="false" outlineLevel="0" collapsed="false">
      <c r="H212" s="438"/>
      <c r="I212" s="438"/>
    </row>
    <row r="213" customFormat="false" ht="12.75" hidden="false" customHeight="false" outlineLevel="0" collapsed="false">
      <c r="H213" s="438"/>
      <c r="I213" s="438"/>
    </row>
    <row r="214" customFormat="false" ht="12.75" hidden="false" customHeight="false" outlineLevel="0" collapsed="false">
      <c r="H214" s="438"/>
      <c r="I214" s="438"/>
    </row>
    <row r="215" customFormat="false" ht="12.75" hidden="false" customHeight="false" outlineLevel="0" collapsed="false">
      <c r="H215" s="438"/>
      <c r="I215" s="438"/>
    </row>
    <row r="216" customFormat="false" ht="12.75" hidden="false" customHeight="false" outlineLevel="0" collapsed="false">
      <c r="H216" s="438"/>
      <c r="I216" s="438"/>
    </row>
    <row r="217" customFormat="false" ht="12.75" hidden="false" customHeight="false" outlineLevel="0" collapsed="false">
      <c r="H217" s="438"/>
      <c r="I217" s="438"/>
    </row>
    <row r="218" customFormat="false" ht="12.75" hidden="false" customHeight="false" outlineLevel="0" collapsed="false">
      <c r="H218" s="438"/>
      <c r="I218" s="438"/>
    </row>
    <row r="219" customFormat="false" ht="12.75" hidden="false" customHeight="false" outlineLevel="0" collapsed="false">
      <c r="H219" s="438"/>
      <c r="I219" s="438"/>
    </row>
    <row r="220" customFormat="false" ht="12.75" hidden="false" customHeight="false" outlineLevel="0" collapsed="false">
      <c r="H220" s="438"/>
      <c r="I220" s="438"/>
    </row>
    <row r="221" customFormat="false" ht="12.75" hidden="false" customHeight="false" outlineLevel="0" collapsed="false">
      <c r="H221" s="438"/>
      <c r="I221" s="438"/>
    </row>
    <row r="222" customFormat="false" ht="12.75" hidden="false" customHeight="false" outlineLevel="0" collapsed="false">
      <c r="H222" s="438"/>
      <c r="I222" s="438"/>
    </row>
    <row r="223" customFormat="false" ht="12.75" hidden="false" customHeight="false" outlineLevel="0" collapsed="false">
      <c r="H223" s="438"/>
      <c r="I223" s="438"/>
    </row>
    <row r="224" customFormat="false" ht="12.75" hidden="false" customHeight="false" outlineLevel="0" collapsed="false">
      <c r="H224" s="438"/>
      <c r="I224" s="438"/>
    </row>
    <row r="225" customFormat="false" ht="12.75" hidden="false" customHeight="false" outlineLevel="0" collapsed="false">
      <c r="H225" s="438"/>
      <c r="I225" s="438"/>
    </row>
    <row r="226" customFormat="false" ht="12.75" hidden="false" customHeight="false" outlineLevel="0" collapsed="false">
      <c r="H226" s="438"/>
      <c r="I226" s="438"/>
    </row>
    <row r="227" customFormat="false" ht="12.75" hidden="false" customHeight="false" outlineLevel="0" collapsed="false">
      <c r="H227" s="438"/>
      <c r="I227" s="438"/>
    </row>
    <row r="228" customFormat="false" ht="12.75" hidden="false" customHeight="false" outlineLevel="0" collapsed="false">
      <c r="H228" s="438"/>
      <c r="I228" s="438"/>
    </row>
    <row r="229" customFormat="false" ht="12.75" hidden="false" customHeight="false" outlineLevel="0" collapsed="false">
      <c r="H229" s="438"/>
      <c r="I229" s="438"/>
    </row>
    <row r="230" customFormat="false" ht="12.75" hidden="false" customHeight="false" outlineLevel="0" collapsed="false">
      <c r="H230" s="438"/>
      <c r="I230" s="438"/>
    </row>
    <row r="231" customFormat="false" ht="12.75" hidden="false" customHeight="false" outlineLevel="0" collapsed="false">
      <c r="H231" s="438"/>
      <c r="I231" s="438"/>
    </row>
    <row r="232" customFormat="false" ht="12.75" hidden="false" customHeight="false" outlineLevel="0" collapsed="false">
      <c r="H232" s="438"/>
      <c r="I232" s="438"/>
    </row>
    <row r="233" customFormat="false" ht="12.75" hidden="false" customHeight="false" outlineLevel="0" collapsed="false">
      <c r="H233" s="438"/>
      <c r="I233" s="438"/>
    </row>
    <row r="234" customFormat="false" ht="12.75" hidden="false" customHeight="false" outlineLevel="0" collapsed="false">
      <c r="H234" s="438"/>
      <c r="I234" s="438"/>
    </row>
    <row r="235" customFormat="false" ht="12.75" hidden="false" customHeight="false" outlineLevel="0" collapsed="false">
      <c r="H235" s="438"/>
      <c r="I235" s="438"/>
    </row>
    <row r="236" customFormat="false" ht="12.75" hidden="false" customHeight="false" outlineLevel="0" collapsed="false">
      <c r="H236" s="438"/>
      <c r="I236" s="438"/>
    </row>
    <row r="237" customFormat="false" ht="12.75" hidden="false" customHeight="false" outlineLevel="0" collapsed="false">
      <c r="H237" s="438"/>
      <c r="I237" s="438"/>
    </row>
    <row r="238" customFormat="false" ht="12.75" hidden="false" customHeight="false" outlineLevel="0" collapsed="false">
      <c r="H238" s="438"/>
      <c r="I238" s="438"/>
    </row>
    <row r="239" customFormat="false" ht="12.75" hidden="false" customHeight="false" outlineLevel="0" collapsed="false">
      <c r="H239" s="438"/>
      <c r="I239" s="438"/>
    </row>
    <row r="240" customFormat="false" ht="12.75" hidden="false" customHeight="false" outlineLevel="0" collapsed="false">
      <c r="H240" s="438"/>
      <c r="I240" s="438"/>
    </row>
    <row r="241" customFormat="false" ht="12.75" hidden="false" customHeight="false" outlineLevel="0" collapsed="false">
      <c r="H241" s="438"/>
      <c r="I241" s="438"/>
    </row>
    <row r="242" customFormat="false" ht="12.75" hidden="false" customHeight="false" outlineLevel="0" collapsed="false">
      <c r="H242" s="438"/>
      <c r="I242" s="438"/>
    </row>
    <row r="243" customFormat="false" ht="12.75" hidden="false" customHeight="false" outlineLevel="0" collapsed="false">
      <c r="H243" s="438"/>
      <c r="I243" s="438"/>
    </row>
    <row r="244" customFormat="false" ht="12.75" hidden="false" customHeight="false" outlineLevel="0" collapsed="false">
      <c r="H244" s="438"/>
      <c r="I244" s="438"/>
    </row>
    <row r="245" customFormat="false" ht="12.75" hidden="false" customHeight="false" outlineLevel="0" collapsed="false">
      <c r="H245" s="438"/>
      <c r="I245" s="438"/>
    </row>
    <row r="246" customFormat="false" ht="12.75" hidden="false" customHeight="false" outlineLevel="0" collapsed="false">
      <c r="H246" s="438"/>
      <c r="I246" s="438"/>
    </row>
    <row r="247" customFormat="false" ht="12.75" hidden="false" customHeight="false" outlineLevel="0" collapsed="false">
      <c r="H247" s="438"/>
      <c r="I247" s="438"/>
    </row>
    <row r="248" customFormat="false" ht="12.75" hidden="false" customHeight="false" outlineLevel="0" collapsed="false">
      <c r="H248" s="438"/>
      <c r="I248" s="438"/>
    </row>
    <row r="249" customFormat="false" ht="12.75" hidden="false" customHeight="false" outlineLevel="0" collapsed="false">
      <c r="H249" s="438"/>
      <c r="I249" s="438"/>
    </row>
    <row r="250" customFormat="false" ht="12.75" hidden="false" customHeight="false" outlineLevel="0" collapsed="false">
      <c r="H250" s="438"/>
      <c r="I250" s="438"/>
    </row>
    <row r="251" customFormat="false" ht="12.75" hidden="false" customHeight="false" outlineLevel="0" collapsed="false">
      <c r="H251" s="438"/>
      <c r="I251" s="438"/>
    </row>
    <row r="252" customFormat="false" ht="12.75" hidden="false" customHeight="false" outlineLevel="0" collapsed="false">
      <c r="H252" s="438"/>
      <c r="I252" s="438"/>
    </row>
    <row r="253" customFormat="false" ht="12.75" hidden="false" customHeight="false" outlineLevel="0" collapsed="false">
      <c r="H253" s="438"/>
      <c r="I253" s="438"/>
    </row>
    <row r="254" customFormat="false" ht="12.75" hidden="false" customHeight="false" outlineLevel="0" collapsed="false">
      <c r="H254" s="438"/>
      <c r="I254" s="438"/>
    </row>
    <row r="255" customFormat="false" ht="12.75" hidden="false" customHeight="false" outlineLevel="0" collapsed="false">
      <c r="H255" s="438"/>
      <c r="I255" s="438"/>
    </row>
    <row r="256" customFormat="false" ht="12.75" hidden="false" customHeight="false" outlineLevel="0" collapsed="false">
      <c r="H256" s="438"/>
      <c r="I256" s="438"/>
    </row>
    <row r="257" customFormat="false" ht="12.75" hidden="false" customHeight="false" outlineLevel="0" collapsed="false">
      <c r="H257" s="438"/>
      <c r="I257" s="438"/>
    </row>
    <row r="258" customFormat="false" ht="12.75" hidden="false" customHeight="false" outlineLevel="0" collapsed="false">
      <c r="H258" s="438"/>
      <c r="I258" s="438"/>
    </row>
    <row r="259" customFormat="false" ht="12.75" hidden="false" customHeight="false" outlineLevel="0" collapsed="false">
      <c r="H259" s="438"/>
      <c r="I259" s="438"/>
    </row>
    <row r="260" customFormat="false" ht="12.75" hidden="false" customHeight="false" outlineLevel="0" collapsed="false">
      <c r="H260" s="438"/>
      <c r="I260" s="438"/>
    </row>
    <row r="261" customFormat="false" ht="12.75" hidden="false" customHeight="false" outlineLevel="0" collapsed="false">
      <c r="H261" s="438"/>
      <c r="I261" s="438"/>
    </row>
    <row r="262" customFormat="false" ht="12.75" hidden="false" customHeight="false" outlineLevel="0" collapsed="false">
      <c r="H262" s="438"/>
      <c r="I262" s="438"/>
    </row>
    <row r="263" customFormat="false" ht="12.75" hidden="false" customHeight="false" outlineLevel="0" collapsed="false">
      <c r="H263" s="438"/>
      <c r="I263" s="438"/>
    </row>
    <row r="264" customFormat="false" ht="12.75" hidden="false" customHeight="false" outlineLevel="0" collapsed="false">
      <c r="H264" s="438"/>
      <c r="I264" s="438"/>
    </row>
    <row r="265" customFormat="false" ht="12.75" hidden="false" customHeight="false" outlineLevel="0" collapsed="false">
      <c r="H265" s="438"/>
      <c r="I265" s="438"/>
    </row>
    <row r="266" customFormat="false" ht="12.75" hidden="false" customHeight="false" outlineLevel="0" collapsed="false">
      <c r="H266" s="438"/>
      <c r="I266" s="438"/>
    </row>
    <row r="267" customFormat="false" ht="12.75" hidden="false" customHeight="false" outlineLevel="0" collapsed="false">
      <c r="H267" s="438"/>
      <c r="I267" s="438"/>
    </row>
    <row r="268" customFormat="false" ht="12.75" hidden="false" customHeight="false" outlineLevel="0" collapsed="false">
      <c r="H268" s="438"/>
      <c r="I268" s="438"/>
    </row>
    <row r="269" customFormat="false" ht="12.75" hidden="false" customHeight="false" outlineLevel="0" collapsed="false">
      <c r="H269" s="438"/>
      <c r="I269" s="438"/>
    </row>
    <row r="270" customFormat="false" ht="12.75" hidden="false" customHeight="false" outlineLevel="0" collapsed="false">
      <c r="H270" s="438"/>
      <c r="I270" s="438"/>
    </row>
    <row r="271" customFormat="false" ht="12.75" hidden="false" customHeight="false" outlineLevel="0" collapsed="false">
      <c r="H271" s="438"/>
      <c r="I271" s="438"/>
    </row>
    <row r="272" customFormat="false" ht="12.75" hidden="false" customHeight="false" outlineLevel="0" collapsed="false">
      <c r="H272" s="438"/>
      <c r="I272" s="438"/>
    </row>
    <row r="273" customFormat="false" ht="12.75" hidden="false" customHeight="false" outlineLevel="0" collapsed="false">
      <c r="H273" s="438"/>
      <c r="I273" s="438"/>
    </row>
    <row r="274" customFormat="false" ht="12.75" hidden="false" customHeight="false" outlineLevel="0" collapsed="false">
      <c r="H274" s="438"/>
      <c r="I274" s="438"/>
    </row>
    <row r="275" customFormat="false" ht="12.75" hidden="false" customHeight="false" outlineLevel="0" collapsed="false">
      <c r="H275" s="438"/>
      <c r="I275" s="438"/>
    </row>
    <row r="276" customFormat="false" ht="12.75" hidden="false" customHeight="false" outlineLevel="0" collapsed="false">
      <c r="H276" s="438"/>
      <c r="I276" s="438"/>
    </row>
    <row r="277" customFormat="false" ht="12.75" hidden="false" customHeight="false" outlineLevel="0" collapsed="false">
      <c r="H277" s="438"/>
      <c r="I277" s="438"/>
    </row>
    <row r="278" customFormat="false" ht="12.75" hidden="false" customHeight="false" outlineLevel="0" collapsed="false">
      <c r="H278" s="438"/>
      <c r="I278" s="438"/>
    </row>
    <row r="279" customFormat="false" ht="12.75" hidden="false" customHeight="false" outlineLevel="0" collapsed="false">
      <c r="H279" s="438"/>
      <c r="I279" s="438"/>
    </row>
    <row r="280" customFormat="false" ht="12.75" hidden="false" customHeight="false" outlineLevel="0" collapsed="false">
      <c r="H280" s="438"/>
      <c r="I280" s="438"/>
    </row>
    <row r="281" customFormat="false" ht="12.75" hidden="false" customHeight="false" outlineLevel="0" collapsed="false">
      <c r="H281" s="438"/>
      <c r="I281" s="438"/>
    </row>
    <row r="282" customFormat="false" ht="12.75" hidden="false" customHeight="false" outlineLevel="0" collapsed="false">
      <c r="H282" s="438"/>
      <c r="I282" s="438"/>
    </row>
    <row r="283" customFormat="false" ht="12.75" hidden="false" customHeight="false" outlineLevel="0" collapsed="false">
      <c r="H283" s="438"/>
      <c r="I283" s="438"/>
    </row>
    <row r="284" customFormat="false" ht="12.75" hidden="false" customHeight="false" outlineLevel="0" collapsed="false">
      <c r="H284" s="438"/>
      <c r="I284" s="438"/>
    </row>
    <row r="285" customFormat="false" ht="12.75" hidden="false" customHeight="false" outlineLevel="0" collapsed="false">
      <c r="H285" s="438"/>
      <c r="I285" s="438"/>
    </row>
    <row r="286" customFormat="false" ht="12.75" hidden="false" customHeight="false" outlineLevel="0" collapsed="false">
      <c r="H286" s="438"/>
      <c r="I286" s="438"/>
    </row>
    <row r="287" customFormat="false" ht="12.75" hidden="false" customHeight="false" outlineLevel="0" collapsed="false">
      <c r="H287" s="438"/>
      <c r="I287" s="438"/>
    </row>
    <row r="288" customFormat="false" ht="12.75" hidden="false" customHeight="false" outlineLevel="0" collapsed="false">
      <c r="H288" s="438"/>
      <c r="I288" s="438"/>
    </row>
    <row r="289" customFormat="false" ht="12.75" hidden="false" customHeight="false" outlineLevel="0" collapsed="false">
      <c r="H289" s="438"/>
      <c r="I289" s="438"/>
    </row>
    <row r="290" customFormat="false" ht="12.75" hidden="false" customHeight="false" outlineLevel="0" collapsed="false">
      <c r="H290" s="438"/>
      <c r="I290" s="438"/>
    </row>
    <row r="291" customFormat="false" ht="12.75" hidden="false" customHeight="false" outlineLevel="0" collapsed="false">
      <c r="H291" s="438"/>
      <c r="I291" s="438"/>
    </row>
    <row r="292" customFormat="false" ht="12.75" hidden="false" customHeight="false" outlineLevel="0" collapsed="false">
      <c r="H292" s="438"/>
      <c r="I292" s="438"/>
    </row>
    <row r="293" customFormat="false" ht="12.75" hidden="false" customHeight="false" outlineLevel="0" collapsed="false">
      <c r="H293" s="438"/>
      <c r="I293" s="438"/>
    </row>
    <row r="294" customFormat="false" ht="12.75" hidden="false" customHeight="false" outlineLevel="0" collapsed="false">
      <c r="H294" s="438"/>
      <c r="I294" s="438"/>
    </row>
    <row r="295" customFormat="false" ht="12.75" hidden="false" customHeight="false" outlineLevel="0" collapsed="false">
      <c r="H295" s="438"/>
      <c r="I295" s="438"/>
    </row>
    <row r="296" customFormat="false" ht="12.75" hidden="false" customHeight="false" outlineLevel="0" collapsed="false">
      <c r="H296" s="438"/>
      <c r="I296" s="438"/>
    </row>
    <row r="297" customFormat="false" ht="12.75" hidden="false" customHeight="false" outlineLevel="0" collapsed="false">
      <c r="H297" s="438"/>
      <c r="I297" s="438"/>
    </row>
    <row r="298" customFormat="false" ht="12.75" hidden="false" customHeight="false" outlineLevel="0" collapsed="false">
      <c r="H298" s="438"/>
      <c r="I298" s="438"/>
    </row>
    <row r="299" customFormat="false" ht="12.75" hidden="false" customHeight="false" outlineLevel="0" collapsed="false">
      <c r="H299" s="438"/>
      <c r="I299" s="438"/>
    </row>
    <row r="300" customFormat="false" ht="12.75" hidden="false" customHeight="false" outlineLevel="0" collapsed="false">
      <c r="H300" s="438"/>
      <c r="I300" s="438"/>
    </row>
    <row r="301" customFormat="false" ht="12.75" hidden="false" customHeight="false" outlineLevel="0" collapsed="false">
      <c r="H301" s="438"/>
      <c r="I301" s="438"/>
    </row>
    <row r="302" customFormat="false" ht="12.75" hidden="false" customHeight="false" outlineLevel="0" collapsed="false">
      <c r="H302" s="438"/>
      <c r="I302" s="438"/>
    </row>
    <row r="303" customFormat="false" ht="12.75" hidden="false" customHeight="false" outlineLevel="0" collapsed="false">
      <c r="H303" s="438"/>
      <c r="I303" s="438"/>
    </row>
    <row r="304" customFormat="false" ht="12.75" hidden="false" customHeight="false" outlineLevel="0" collapsed="false">
      <c r="H304" s="438"/>
      <c r="I304" s="438"/>
    </row>
    <row r="305" customFormat="false" ht="12.75" hidden="false" customHeight="false" outlineLevel="0" collapsed="false">
      <c r="H305" s="438"/>
      <c r="I305" s="438"/>
    </row>
    <row r="306" customFormat="false" ht="12.75" hidden="false" customHeight="false" outlineLevel="0" collapsed="false">
      <c r="H306" s="438"/>
      <c r="I306" s="438"/>
    </row>
    <row r="307" customFormat="false" ht="12.75" hidden="false" customHeight="false" outlineLevel="0" collapsed="false">
      <c r="H307" s="438"/>
      <c r="I307" s="438"/>
    </row>
    <row r="308" customFormat="false" ht="12.75" hidden="false" customHeight="false" outlineLevel="0" collapsed="false">
      <c r="H308" s="438"/>
      <c r="I308" s="438"/>
    </row>
    <row r="309" customFormat="false" ht="12.75" hidden="false" customHeight="false" outlineLevel="0" collapsed="false">
      <c r="H309" s="438"/>
      <c r="I309" s="438"/>
    </row>
    <row r="310" customFormat="false" ht="12.75" hidden="false" customHeight="false" outlineLevel="0" collapsed="false">
      <c r="H310" s="438"/>
      <c r="I310" s="438"/>
    </row>
    <row r="311" customFormat="false" ht="12.75" hidden="false" customHeight="false" outlineLevel="0" collapsed="false">
      <c r="H311" s="438"/>
      <c r="I311" s="438"/>
    </row>
    <row r="312" customFormat="false" ht="12.75" hidden="false" customHeight="false" outlineLevel="0" collapsed="false">
      <c r="H312" s="438"/>
      <c r="I312" s="438"/>
    </row>
    <row r="313" customFormat="false" ht="12.75" hidden="false" customHeight="false" outlineLevel="0" collapsed="false">
      <c r="H313" s="438"/>
      <c r="I313" s="438"/>
    </row>
    <row r="314" customFormat="false" ht="12.75" hidden="false" customHeight="false" outlineLevel="0" collapsed="false">
      <c r="H314" s="438"/>
      <c r="I314" s="438"/>
    </row>
    <row r="315" customFormat="false" ht="12.75" hidden="false" customHeight="false" outlineLevel="0" collapsed="false">
      <c r="H315" s="438"/>
      <c r="I315" s="438"/>
    </row>
    <row r="316" customFormat="false" ht="12.75" hidden="false" customHeight="false" outlineLevel="0" collapsed="false">
      <c r="H316" s="438"/>
      <c r="I316" s="438"/>
    </row>
    <row r="317" customFormat="false" ht="12.75" hidden="false" customHeight="false" outlineLevel="0" collapsed="false">
      <c r="H317" s="438"/>
      <c r="I317" s="438"/>
    </row>
    <row r="318" customFormat="false" ht="12.75" hidden="false" customHeight="false" outlineLevel="0" collapsed="false">
      <c r="H318" s="438"/>
      <c r="I318" s="438"/>
    </row>
    <row r="319" customFormat="false" ht="12.75" hidden="false" customHeight="false" outlineLevel="0" collapsed="false">
      <c r="H319" s="438"/>
      <c r="I319" s="438"/>
    </row>
    <row r="320" customFormat="false" ht="12.75" hidden="false" customHeight="false" outlineLevel="0" collapsed="false">
      <c r="H320" s="438"/>
      <c r="I320" s="438"/>
    </row>
    <row r="321" customFormat="false" ht="12.75" hidden="false" customHeight="false" outlineLevel="0" collapsed="false">
      <c r="H321" s="438"/>
      <c r="I321" s="438"/>
    </row>
    <row r="322" customFormat="false" ht="12.75" hidden="false" customHeight="false" outlineLevel="0" collapsed="false">
      <c r="H322" s="438"/>
      <c r="I322" s="438"/>
    </row>
    <row r="323" customFormat="false" ht="12.75" hidden="false" customHeight="false" outlineLevel="0" collapsed="false">
      <c r="H323" s="438"/>
      <c r="I323" s="438"/>
    </row>
    <row r="324" customFormat="false" ht="12.75" hidden="false" customHeight="false" outlineLevel="0" collapsed="false">
      <c r="H324" s="438"/>
      <c r="I324" s="438"/>
    </row>
    <row r="325" customFormat="false" ht="12.75" hidden="false" customHeight="false" outlineLevel="0" collapsed="false">
      <c r="H325" s="438"/>
      <c r="I325" s="438"/>
    </row>
    <row r="326" customFormat="false" ht="12.75" hidden="false" customHeight="false" outlineLevel="0" collapsed="false">
      <c r="H326" s="438"/>
      <c r="I326" s="438"/>
    </row>
    <row r="327" customFormat="false" ht="12.75" hidden="false" customHeight="false" outlineLevel="0" collapsed="false">
      <c r="H327" s="438"/>
      <c r="I327" s="438"/>
    </row>
    <row r="328" customFormat="false" ht="12.75" hidden="false" customHeight="false" outlineLevel="0" collapsed="false">
      <c r="H328" s="438"/>
      <c r="I328" s="438"/>
    </row>
    <row r="329" customFormat="false" ht="12.75" hidden="false" customHeight="false" outlineLevel="0" collapsed="false">
      <c r="H329" s="438"/>
      <c r="I329" s="438"/>
    </row>
    <row r="330" customFormat="false" ht="12.75" hidden="false" customHeight="false" outlineLevel="0" collapsed="false">
      <c r="H330" s="438"/>
      <c r="I330" s="438"/>
    </row>
    <row r="331" customFormat="false" ht="12.75" hidden="false" customHeight="false" outlineLevel="0" collapsed="false">
      <c r="H331" s="438"/>
      <c r="I331" s="438"/>
    </row>
    <row r="332" customFormat="false" ht="12.75" hidden="false" customHeight="false" outlineLevel="0" collapsed="false">
      <c r="H332" s="438"/>
      <c r="I332" s="438"/>
    </row>
    <row r="333" customFormat="false" ht="12.75" hidden="false" customHeight="false" outlineLevel="0" collapsed="false">
      <c r="H333" s="438"/>
      <c r="I333" s="438"/>
    </row>
    <row r="334" customFormat="false" ht="12.75" hidden="false" customHeight="false" outlineLevel="0" collapsed="false">
      <c r="H334" s="438"/>
      <c r="I334" s="438"/>
    </row>
    <row r="335" customFormat="false" ht="12.75" hidden="false" customHeight="false" outlineLevel="0" collapsed="false">
      <c r="H335" s="438"/>
      <c r="I335" s="438"/>
    </row>
    <row r="336" customFormat="false" ht="12.75" hidden="false" customHeight="false" outlineLevel="0" collapsed="false">
      <c r="H336" s="438"/>
      <c r="I336" s="438"/>
    </row>
    <row r="337" customFormat="false" ht="12.75" hidden="false" customHeight="false" outlineLevel="0" collapsed="false">
      <c r="H337" s="438"/>
      <c r="I337" s="438"/>
    </row>
    <row r="338" customFormat="false" ht="12.75" hidden="false" customHeight="false" outlineLevel="0" collapsed="false">
      <c r="H338" s="438"/>
      <c r="I338" s="438"/>
    </row>
    <row r="339" customFormat="false" ht="12.75" hidden="false" customHeight="false" outlineLevel="0" collapsed="false">
      <c r="H339" s="438"/>
      <c r="I339" s="438"/>
    </row>
    <row r="340" customFormat="false" ht="12.75" hidden="false" customHeight="false" outlineLevel="0" collapsed="false">
      <c r="H340" s="438"/>
      <c r="I340" s="438"/>
    </row>
    <row r="341" customFormat="false" ht="12.75" hidden="false" customHeight="false" outlineLevel="0" collapsed="false">
      <c r="H341" s="438"/>
      <c r="I341" s="438"/>
    </row>
    <row r="342" customFormat="false" ht="12.75" hidden="false" customHeight="false" outlineLevel="0" collapsed="false">
      <c r="H342" s="438"/>
      <c r="I342" s="438"/>
    </row>
    <row r="343" customFormat="false" ht="12.75" hidden="false" customHeight="false" outlineLevel="0" collapsed="false">
      <c r="H343" s="438"/>
      <c r="I343" s="438"/>
    </row>
    <row r="344" customFormat="false" ht="12.75" hidden="false" customHeight="false" outlineLevel="0" collapsed="false">
      <c r="H344" s="438"/>
      <c r="I344" s="438"/>
    </row>
    <row r="345" customFormat="false" ht="12.75" hidden="false" customHeight="false" outlineLevel="0" collapsed="false">
      <c r="H345" s="438"/>
      <c r="I345" s="438"/>
    </row>
    <row r="346" customFormat="false" ht="12.75" hidden="false" customHeight="false" outlineLevel="0" collapsed="false">
      <c r="H346" s="438"/>
      <c r="I346" s="438"/>
    </row>
    <row r="347" customFormat="false" ht="12.75" hidden="false" customHeight="false" outlineLevel="0" collapsed="false">
      <c r="H347" s="438"/>
      <c r="I347" s="438"/>
    </row>
    <row r="348" customFormat="false" ht="12.75" hidden="false" customHeight="false" outlineLevel="0" collapsed="false">
      <c r="H348" s="438"/>
      <c r="I348" s="438"/>
    </row>
    <row r="349" customFormat="false" ht="12.75" hidden="false" customHeight="false" outlineLevel="0" collapsed="false">
      <c r="H349" s="438"/>
      <c r="I349" s="438"/>
    </row>
    <row r="350" customFormat="false" ht="12.75" hidden="false" customHeight="false" outlineLevel="0" collapsed="false">
      <c r="H350" s="438"/>
      <c r="I350" s="438"/>
    </row>
    <row r="351" customFormat="false" ht="12.75" hidden="false" customHeight="false" outlineLevel="0" collapsed="false">
      <c r="H351" s="438"/>
      <c r="I351" s="438"/>
    </row>
    <row r="352" customFormat="false" ht="12.75" hidden="false" customHeight="false" outlineLevel="0" collapsed="false">
      <c r="H352" s="438"/>
      <c r="I352" s="438"/>
    </row>
    <row r="353" customFormat="false" ht="12.75" hidden="false" customHeight="false" outlineLevel="0" collapsed="false">
      <c r="H353" s="438"/>
      <c r="I353" s="438"/>
    </row>
    <row r="354" customFormat="false" ht="12.75" hidden="false" customHeight="false" outlineLevel="0" collapsed="false">
      <c r="H354" s="438"/>
      <c r="I354" s="438"/>
    </row>
    <row r="355" customFormat="false" ht="12.75" hidden="false" customHeight="false" outlineLevel="0" collapsed="false">
      <c r="H355" s="438"/>
      <c r="I355" s="438"/>
    </row>
    <row r="356" customFormat="false" ht="12.75" hidden="false" customHeight="false" outlineLevel="0" collapsed="false">
      <c r="H356" s="438"/>
      <c r="I356" s="438"/>
    </row>
    <row r="357" customFormat="false" ht="12.75" hidden="false" customHeight="false" outlineLevel="0" collapsed="false">
      <c r="H357" s="438"/>
      <c r="I357" s="438"/>
    </row>
    <row r="358" customFormat="false" ht="12.75" hidden="false" customHeight="false" outlineLevel="0" collapsed="false">
      <c r="H358" s="438"/>
      <c r="I358" s="438"/>
    </row>
    <row r="359" customFormat="false" ht="12.75" hidden="false" customHeight="false" outlineLevel="0" collapsed="false">
      <c r="H359" s="438"/>
      <c r="I359" s="438"/>
    </row>
    <row r="360" customFormat="false" ht="12.75" hidden="false" customHeight="false" outlineLevel="0" collapsed="false">
      <c r="H360" s="438"/>
      <c r="I360" s="438"/>
    </row>
    <row r="361" customFormat="false" ht="12.75" hidden="false" customHeight="false" outlineLevel="0" collapsed="false">
      <c r="H361" s="438"/>
      <c r="I361" s="438"/>
    </row>
    <row r="362" customFormat="false" ht="12.75" hidden="false" customHeight="false" outlineLevel="0" collapsed="false">
      <c r="H362" s="438"/>
      <c r="I362" s="438"/>
    </row>
    <row r="363" customFormat="false" ht="12.75" hidden="false" customHeight="false" outlineLevel="0" collapsed="false">
      <c r="H363" s="438"/>
      <c r="I363" s="438"/>
    </row>
    <row r="364" customFormat="false" ht="12.75" hidden="false" customHeight="false" outlineLevel="0" collapsed="false">
      <c r="H364" s="438"/>
      <c r="I364" s="438"/>
    </row>
    <row r="365" customFormat="false" ht="12.75" hidden="false" customHeight="false" outlineLevel="0" collapsed="false">
      <c r="H365" s="438"/>
      <c r="I365" s="438"/>
    </row>
    <row r="366" customFormat="false" ht="12.75" hidden="false" customHeight="false" outlineLevel="0" collapsed="false">
      <c r="H366" s="438"/>
      <c r="I366" s="438"/>
    </row>
    <row r="367" customFormat="false" ht="12.75" hidden="false" customHeight="false" outlineLevel="0" collapsed="false">
      <c r="H367" s="438"/>
      <c r="I367" s="438"/>
    </row>
    <row r="368" customFormat="false" ht="12.75" hidden="false" customHeight="false" outlineLevel="0" collapsed="false">
      <c r="H368" s="438"/>
      <c r="I368" s="438"/>
    </row>
    <row r="369" customFormat="false" ht="12.75" hidden="false" customHeight="false" outlineLevel="0" collapsed="false">
      <c r="H369" s="438"/>
      <c r="I369" s="438"/>
    </row>
    <row r="370" customFormat="false" ht="12.75" hidden="false" customHeight="false" outlineLevel="0" collapsed="false">
      <c r="H370" s="438"/>
      <c r="I370" s="438"/>
    </row>
    <row r="371" customFormat="false" ht="12.75" hidden="false" customHeight="false" outlineLevel="0" collapsed="false">
      <c r="H371" s="438"/>
      <c r="I371" s="438"/>
    </row>
    <row r="372" customFormat="false" ht="12.75" hidden="false" customHeight="false" outlineLevel="0" collapsed="false">
      <c r="H372" s="438"/>
      <c r="I372" s="438"/>
    </row>
    <row r="373" customFormat="false" ht="12.75" hidden="false" customHeight="false" outlineLevel="0" collapsed="false">
      <c r="H373" s="438"/>
      <c r="I373" s="438"/>
    </row>
    <row r="374" customFormat="false" ht="12.75" hidden="false" customHeight="false" outlineLevel="0" collapsed="false">
      <c r="H374" s="438"/>
      <c r="I374" s="438"/>
    </row>
    <row r="375" customFormat="false" ht="12.75" hidden="false" customHeight="false" outlineLevel="0" collapsed="false">
      <c r="H375" s="438"/>
      <c r="I375" s="438"/>
    </row>
    <row r="376" customFormat="false" ht="12.75" hidden="false" customHeight="false" outlineLevel="0" collapsed="false">
      <c r="H376" s="438"/>
      <c r="I376" s="438"/>
    </row>
    <row r="377" customFormat="false" ht="12.75" hidden="false" customHeight="false" outlineLevel="0" collapsed="false">
      <c r="H377" s="438"/>
      <c r="I377" s="438"/>
    </row>
    <row r="378" customFormat="false" ht="12.75" hidden="false" customHeight="false" outlineLevel="0" collapsed="false">
      <c r="H378" s="438"/>
      <c r="I378" s="438"/>
    </row>
    <row r="379" customFormat="false" ht="12.75" hidden="false" customHeight="false" outlineLevel="0" collapsed="false">
      <c r="H379" s="438"/>
      <c r="I379" s="438"/>
    </row>
    <row r="380" customFormat="false" ht="12.75" hidden="false" customHeight="false" outlineLevel="0" collapsed="false">
      <c r="H380" s="438"/>
      <c r="I380" s="438"/>
    </row>
    <row r="381" customFormat="false" ht="12.75" hidden="false" customHeight="false" outlineLevel="0" collapsed="false">
      <c r="H381" s="438"/>
      <c r="I381" s="438"/>
    </row>
    <row r="382" customFormat="false" ht="12.75" hidden="false" customHeight="false" outlineLevel="0" collapsed="false">
      <c r="H382" s="438"/>
      <c r="I382" s="438"/>
    </row>
    <row r="383" customFormat="false" ht="12.75" hidden="false" customHeight="false" outlineLevel="0" collapsed="false">
      <c r="H383" s="438"/>
      <c r="I383" s="438"/>
    </row>
    <row r="384" customFormat="false" ht="12.75" hidden="false" customHeight="false" outlineLevel="0" collapsed="false">
      <c r="H384" s="438"/>
      <c r="I384" s="438"/>
    </row>
    <row r="385" customFormat="false" ht="12.75" hidden="false" customHeight="false" outlineLevel="0" collapsed="false">
      <c r="H385" s="438"/>
      <c r="I385" s="438"/>
    </row>
    <row r="386" customFormat="false" ht="12.75" hidden="false" customHeight="false" outlineLevel="0" collapsed="false">
      <c r="H386" s="438"/>
      <c r="I386" s="438"/>
    </row>
    <row r="387" customFormat="false" ht="12.75" hidden="false" customHeight="false" outlineLevel="0" collapsed="false">
      <c r="H387" s="438"/>
      <c r="I387" s="438"/>
    </row>
    <row r="388" customFormat="false" ht="12.75" hidden="false" customHeight="false" outlineLevel="0" collapsed="false">
      <c r="H388" s="438"/>
      <c r="I388" s="438"/>
    </row>
    <row r="389" customFormat="false" ht="12.75" hidden="false" customHeight="false" outlineLevel="0" collapsed="false">
      <c r="H389" s="438"/>
      <c r="I389" s="438"/>
    </row>
    <row r="390" customFormat="false" ht="12.75" hidden="false" customHeight="false" outlineLevel="0" collapsed="false">
      <c r="H390" s="438"/>
      <c r="I390" s="438"/>
    </row>
    <row r="391" customFormat="false" ht="12.75" hidden="false" customHeight="false" outlineLevel="0" collapsed="false">
      <c r="H391" s="438"/>
      <c r="I391" s="438"/>
    </row>
    <row r="392" customFormat="false" ht="12.75" hidden="false" customHeight="false" outlineLevel="0" collapsed="false">
      <c r="H392" s="438"/>
      <c r="I392" s="438"/>
    </row>
    <row r="393" customFormat="false" ht="12.75" hidden="false" customHeight="false" outlineLevel="0" collapsed="false">
      <c r="H393" s="438"/>
      <c r="I393" s="438"/>
    </row>
    <row r="394" customFormat="false" ht="12.75" hidden="false" customHeight="false" outlineLevel="0" collapsed="false">
      <c r="H394" s="438"/>
      <c r="I394" s="438"/>
    </row>
    <row r="395" customFormat="false" ht="12.75" hidden="false" customHeight="false" outlineLevel="0" collapsed="false">
      <c r="H395" s="438"/>
      <c r="I395" s="438"/>
    </row>
    <row r="396" customFormat="false" ht="12.75" hidden="false" customHeight="false" outlineLevel="0" collapsed="false">
      <c r="H396" s="438"/>
      <c r="I396" s="438"/>
    </row>
    <row r="397" customFormat="false" ht="12.75" hidden="false" customHeight="false" outlineLevel="0" collapsed="false">
      <c r="H397" s="438"/>
      <c r="I397" s="438"/>
    </row>
    <row r="398" customFormat="false" ht="12.75" hidden="false" customHeight="false" outlineLevel="0" collapsed="false">
      <c r="H398" s="438"/>
      <c r="I398" s="438"/>
    </row>
    <row r="399" customFormat="false" ht="12.75" hidden="false" customHeight="false" outlineLevel="0" collapsed="false">
      <c r="H399" s="438"/>
      <c r="I399" s="438"/>
    </row>
    <row r="400" customFormat="false" ht="12.75" hidden="false" customHeight="false" outlineLevel="0" collapsed="false">
      <c r="H400" s="438"/>
      <c r="I400" s="438"/>
    </row>
    <row r="401" customFormat="false" ht="12.75" hidden="false" customHeight="false" outlineLevel="0" collapsed="false">
      <c r="H401" s="438"/>
      <c r="I401" s="438"/>
    </row>
    <row r="402" customFormat="false" ht="12.75" hidden="false" customHeight="false" outlineLevel="0" collapsed="false">
      <c r="H402" s="438"/>
      <c r="I402" s="438"/>
    </row>
    <row r="403" customFormat="false" ht="12.75" hidden="false" customHeight="false" outlineLevel="0" collapsed="false">
      <c r="H403" s="438"/>
      <c r="I403" s="438"/>
    </row>
    <row r="404" customFormat="false" ht="12.75" hidden="false" customHeight="false" outlineLevel="0" collapsed="false">
      <c r="H404" s="438"/>
      <c r="I404" s="438"/>
    </row>
    <row r="405" customFormat="false" ht="12.75" hidden="false" customHeight="false" outlineLevel="0" collapsed="false">
      <c r="H405" s="438"/>
      <c r="I405" s="438"/>
    </row>
    <row r="406" customFormat="false" ht="12.75" hidden="false" customHeight="false" outlineLevel="0" collapsed="false">
      <c r="H406" s="438"/>
      <c r="I406" s="438"/>
    </row>
    <row r="407" customFormat="false" ht="12.75" hidden="false" customHeight="false" outlineLevel="0" collapsed="false">
      <c r="H407" s="438"/>
      <c r="I407" s="438"/>
    </row>
    <row r="408" customFormat="false" ht="12.75" hidden="false" customHeight="false" outlineLevel="0" collapsed="false">
      <c r="H408" s="438"/>
      <c r="I408" s="438"/>
    </row>
    <row r="409" customFormat="false" ht="12.75" hidden="false" customHeight="false" outlineLevel="0" collapsed="false">
      <c r="H409" s="438"/>
      <c r="I409" s="438"/>
    </row>
    <row r="410" customFormat="false" ht="12.75" hidden="false" customHeight="false" outlineLevel="0" collapsed="false">
      <c r="H410" s="438"/>
      <c r="I410" s="438"/>
    </row>
    <row r="411" customFormat="false" ht="12.75" hidden="false" customHeight="false" outlineLevel="0" collapsed="false">
      <c r="H411" s="438"/>
      <c r="I411" s="438"/>
    </row>
    <row r="412" customFormat="false" ht="12.75" hidden="false" customHeight="false" outlineLevel="0" collapsed="false">
      <c r="H412" s="438"/>
      <c r="I412" s="438"/>
    </row>
    <row r="413" customFormat="false" ht="12.75" hidden="false" customHeight="false" outlineLevel="0" collapsed="false">
      <c r="H413" s="438"/>
      <c r="I413" s="438"/>
    </row>
    <row r="414" customFormat="false" ht="12.75" hidden="false" customHeight="false" outlineLevel="0" collapsed="false">
      <c r="H414" s="438"/>
      <c r="I414" s="438"/>
    </row>
    <row r="415" customFormat="false" ht="12.75" hidden="false" customHeight="false" outlineLevel="0" collapsed="false">
      <c r="H415" s="438"/>
      <c r="I415" s="438"/>
    </row>
    <row r="416" customFormat="false" ht="12.75" hidden="false" customHeight="false" outlineLevel="0" collapsed="false">
      <c r="H416" s="438"/>
      <c r="I416" s="438"/>
    </row>
    <row r="417" customFormat="false" ht="12.75" hidden="false" customHeight="false" outlineLevel="0" collapsed="false">
      <c r="H417" s="438"/>
      <c r="I417" s="438"/>
    </row>
    <row r="418" customFormat="false" ht="12.75" hidden="false" customHeight="false" outlineLevel="0" collapsed="false">
      <c r="H418" s="438"/>
      <c r="I418" s="438"/>
    </row>
    <row r="419" customFormat="false" ht="12.75" hidden="false" customHeight="false" outlineLevel="0" collapsed="false">
      <c r="H419" s="438"/>
      <c r="I419" s="438"/>
    </row>
    <row r="420" customFormat="false" ht="12.75" hidden="false" customHeight="false" outlineLevel="0" collapsed="false">
      <c r="H420" s="438"/>
      <c r="I420" s="438"/>
    </row>
    <row r="421" customFormat="false" ht="12.75" hidden="false" customHeight="false" outlineLevel="0" collapsed="false">
      <c r="H421" s="438"/>
      <c r="I421" s="438"/>
    </row>
    <row r="422" customFormat="false" ht="12.75" hidden="false" customHeight="false" outlineLevel="0" collapsed="false">
      <c r="H422" s="438"/>
      <c r="I422" s="438"/>
    </row>
    <row r="423" customFormat="false" ht="12.75" hidden="false" customHeight="false" outlineLevel="0" collapsed="false">
      <c r="H423" s="438"/>
      <c r="I423" s="438"/>
    </row>
    <row r="424" customFormat="false" ht="12.75" hidden="false" customHeight="false" outlineLevel="0" collapsed="false">
      <c r="H424" s="438"/>
      <c r="I424" s="438"/>
    </row>
    <row r="425" customFormat="false" ht="12.75" hidden="false" customHeight="false" outlineLevel="0" collapsed="false">
      <c r="H425" s="438"/>
      <c r="I425" s="438"/>
    </row>
    <row r="426" customFormat="false" ht="12.75" hidden="false" customHeight="false" outlineLevel="0" collapsed="false">
      <c r="H426" s="438"/>
      <c r="I426" s="438"/>
    </row>
    <row r="427" customFormat="false" ht="12.75" hidden="false" customHeight="false" outlineLevel="0" collapsed="false">
      <c r="H427" s="438"/>
      <c r="I427" s="438"/>
    </row>
    <row r="428" customFormat="false" ht="12.75" hidden="false" customHeight="false" outlineLevel="0" collapsed="false">
      <c r="H428" s="438"/>
      <c r="I428" s="438"/>
    </row>
    <row r="429" customFormat="false" ht="12.75" hidden="false" customHeight="false" outlineLevel="0" collapsed="false">
      <c r="H429" s="438"/>
      <c r="I429" s="438"/>
    </row>
    <row r="430" customFormat="false" ht="12.75" hidden="false" customHeight="false" outlineLevel="0" collapsed="false">
      <c r="H430" s="438"/>
      <c r="I430" s="438"/>
    </row>
    <row r="431" customFormat="false" ht="12.75" hidden="false" customHeight="false" outlineLevel="0" collapsed="false">
      <c r="H431" s="438"/>
      <c r="I431" s="438"/>
    </row>
    <row r="432" customFormat="false" ht="12.75" hidden="false" customHeight="false" outlineLevel="0" collapsed="false">
      <c r="H432" s="438"/>
      <c r="I432" s="438"/>
    </row>
    <row r="433" customFormat="false" ht="12.75" hidden="false" customHeight="false" outlineLevel="0" collapsed="false">
      <c r="H433" s="438"/>
      <c r="I433" s="438"/>
    </row>
    <row r="434" customFormat="false" ht="12.75" hidden="false" customHeight="false" outlineLevel="0" collapsed="false">
      <c r="H434" s="438"/>
      <c r="I434" s="438"/>
    </row>
    <row r="435" customFormat="false" ht="12.75" hidden="false" customHeight="false" outlineLevel="0" collapsed="false">
      <c r="H435" s="438"/>
      <c r="I435" s="438"/>
    </row>
    <row r="436" customFormat="false" ht="12.75" hidden="false" customHeight="false" outlineLevel="0" collapsed="false">
      <c r="H436" s="438"/>
      <c r="I436" s="438"/>
    </row>
    <row r="437" customFormat="false" ht="12.75" hidden="false" customHeight="false" outlineLevel="0" collapsed="false">
      <c r="H437" s="438"/>
      <c r="I437" s="438"/>
    </row>
    <row r="438" customFormat="false" ht="12.75" hidden="false" customHeight="false" outlineLevel="0" collapsed="false">
      <c r="H438" s="438"/>
      <c r="I438" s="438"/>
    </row>
    <row r="439" customFormat="false" ht="12.75" hidden="false" customHeight="false" outlineLevel="0" collapsed="false">
      <c r="H439" s="438"/>
      <c r="I439" s="438"/>
    </row>
    <row r="440" customFormat="false" ht="12.75" hidden="false" customHeight="false" outlineLevel="0" collapsed="false">
      <c r="H440" s="438"/>
      <c r="I440" s="438"/>
    </row>
    <row r="441" customFormat="false" ht="12.75" hidden="false" customHeight="false" outlineLevel="0" collapsed="false">
      <c r="H441" s="438"/>
      <c r="I441" s="438"/>
    </row>
    <row r="442" customFormat="false" ht="12.75" hidden="false" customHeight="false" outlineLevel="0" collapsed="false">
      <c r="H442" s="438"/>
      <c r="I442" s="438"/>
    </row>
    <row r="443" customFormat="false" ht="12.75" hidden="false" customHeight="false" outlineLevel="0" collapsed="false">
      <c r="H443" s="438"/>
      <c r="I443" s="438"/>
    </row>
    <row r="444" customFormat="false" ht="12.75" hidden="false" customHeight="false" outlineLevel="0" collapsed="false">
      <c r="H444" s="438"/>
      <c r="I444" s="438"/>
    </row>
    <row r="445" customFormat="false" ht="12.75" hidden="false" customHeight="false" outlineLevel="0" collapsed="false">
      <c r="H445" s="438"/>
      <c r="I445" s="438"/>
    </row>
    <row r="446" customFormat="false" ht="12.75" hidden="false" customHeight="false" outlineLevel="0" collapsed="false">
      <c r="H446" s="438"/>
      <c r="I446" s="438"/>
    </row>
    <row r="447" customFormat="false" ht="12.75" hidden="false" customHeight="false" outlineLevel="0" collapsed="false">
      <c r="H447" s="438"/>
      <c r="I447" s="438"/>
    </row>
    <row r="448" customFormat="false" ht="12.75" hidden="false" customHeight="false" outlineLevel="0" collapsed="false">
      <c r="H448" s="438"/>
      <c r="I448" s="438"/>
    </row>
    <row r="449" customFormat="false" ht="12.75" hidden="false" customHeight="false" outlineLevel="0" collapsed="false">
      <c r="H449" s="438"/>
      <c r="I449" s="438"/>
    </row>
    <row r="450" customFormat="false" ht="12.75" hidden="false" customHeight="false" outlineLevel="0" collapsed="false">
      <c r="H450" s="438"/>
      <c r="I450" s="438"/>
    </row>
    <row r="451" customFormat="false" ht="12.75" hidden="false" customHeight="false" outlineLevel="0" collapsed="false">
      <c r="H451" s="438"/>
      <c r="I451" s="438"/>
    </row>
    <row r="452" customFormat="false" ht="12.75" hidden="false" customHeight="false" outlineLevel="0" collapsed="false">
      <c r="H452" s="438"/>
      <c r="I452" s="438"/>
    </row>
    <row r="453" customFormat="false" ht="12.75" hidden="false" customHeight="false" outlineLevel="0" collapsed="false">
      <c r="H453" s="438"/>
      <c r="I453" s="438"/>
    </row>
    <row r="454" customFormat="false" ht="12.75" hidden="false" customHeight="false" outlineLevel="0" collapsed="false">
      <c r="H454" s="438"/>
      <c r="I454" s="438"/>
    </row>
    <row r="455" customFormat="false" ht="12.75" hidden="false" customHeight="false" outlineLevel="0" collapsed="false">
      <c r="H455" s="438"/>
      <c r="I455" s="438"/>
    </row>
    <row r="456" customFormat="false" ht="12.75" hidden="false" customHeight="false" outlineLevel="0" collapsed="false">
      <c r="H456" s="438"/>
      <c r="I456" s="438"/>
    </row>
    <row r="457" customFormat="false" ht="12.75" hidden="false" customHeight="false" outlineLevel="0" collapsed="false">
      <c r="H457" s="438"/>
      <c r="I457" s="438"/>
    </row>
    <row r="458" customFormat="false" ht="12.75" hidden="false" customHeight="false" outlineLevel="0" collapsed="false">
      <c r="H458" s="438"/>
      <c r="I458" s="438"/>
    </row>
    <row r="459" customFormat="false" ht="12.75" hidden="false" customHeight="false" outlineLevel="0" collapsed="false">
      <c r="H459" s="438"/>
      <c r="I459" s="438"/>
    </row>
    <row r="460" customFormat="false" ht="12.75" hidden="false" customHeight="false" outlineLevel="0" collapsed="false">
      <c r="H460" s="438"/>
      <c r="I460" s="438"/>
    </row>
    <row r="461" customFormat="false" ht="12.75" hidden="false" customHeight="false" outlineLevel="0" collapsed="false">
      <c r="H461" s="438"/>
      <c r="I461" s="438"/>
    </row>
    <row r="462" customFormat="false" ht="12.75" hidden="false" customHeight="false" outlineLevel="0" collapsed="false">
      <c r="H462" s="438"/>
      <c r="I462" s="438"/>
    </row>
    <row r="463" customFormat="false" ht="12.75" hidden="false" customHeight="false" outlineLevel="0" collapsed="false">
      <c r="H463" s="438"/>
      <c r="I463" s="438"/>
    </row>
    <row r="464" customFormat="false" ht="12.75" hidden="false" customHeight="false" outlineLevel="0" collapsed="false">
      <c r="H464" s="438"/>
      <c r="I464" s="438"/>
    </row>
    <row r="465" customFormat="false" ht="12.75" hidden="false" customHeight="false" outlineLevel="0" collapsed="false">
      <c r="H465" s="438"/>
      <c r="I465" s="438"/>
    </row>
    <row r="466" customFormat="false" ht="12.75" hidden="false" customHeight="false" outlineLevel="0" collapsed="false">
      <c r="H466" s="438"/>
      <c r="I466" s="438"/>
    </row>
    <row r="467" customFormat="false" ht="12.75" hidden="false" customHeight="false" outlineLevel="0" collapsed="false">
      <c r="H467" s="438"/>
      <c r="I467" s="438"/>
    </row>
    <row r="468" customFormat="false" ht="12.75" hidden="false" customHeight="false" outlineLevel="0" collapsed="false">
      <c r="H468" s="438"/>
      <c r="I468" s="438"/>
    </row>
    <row r="469" customFormat="false" ht="12.75" hidden="false" customHeight="false" outlineLevel="0" collapsed="false">
      <c r="H469" s="438"/>
      <c r="I469" s="438"/>
    </row>
    <row r="470" customFormat="false" ht="12.75" hidden="false" customHeight="false" outlineLevel="0" collapsed="false">
      <c r="H470" s="438"/>
      <c r="I470" s="438"/>
    </row>
    <row r="471" customFormat="false" ht="12.75" hidden="false" customHeight="false" outlineLevel="0" collapsed="false">
      <c r="H471" s="438"/>
      <c r="I471" s="438"/>
    </row>
    <row r="472" customFormat="false" ht="12.75" hidden="false" customHeight="false" outlineLevel="0" collapsed="false">
      <c r="H472" s="438"/>
      <c r="I472" s="438"/>
    </row>
    <row r="473" customFormat="false" ht="12.75" hidden="false" customHeight="false" outlineLevel="0" collapsed="false">
      <c r="H473" s="438"/>
      <c r="I473" s="438"/>
    </row>
    <row r="474" customFormat="false" ht="12.75" hidden="false" customHeight="false" outlineLevel="0" collapsed="false">
      <c r="H474" s="438"/>
      <c r="I474" s="438"/>
    </row>
    <row r="475" customFormat="false" ht="12.75" hidden="false" customHeight="false" outlineLevel="0" collapsed="false">
      <c r="H475" s="438"/>
      <c r="I475" s="438"/>
    </row>
    <row r="476" customFormat="false" ht="12.75" hidden="false" customHeight="false" outlineLevel="0" collapsed="false">
      <c r="H476" s="438"/>
      <c r="I476" s="438"/>
    </row>
    <row r="477" customFormat="false" ht="12.75" hidden="false" customHeight="false" outlineLevel="0" collapsed="false">
      <c r="H477" s="438"/>
      <c r="I477" s="438"/>
    </row>
    <row r="478" customFormat="false" ht="12.75" hidden="false" customHeight="false" outlineLevel="0" collapsed="false">
      <c r="H478" s="438"/>
      <c r="I478" s="438"/>
    </row>
    <row r="479" customFormat="false" ht="12.75" hidden="false" customHeight="false" outlineLevel="0" collapsed="false">
      <c r="H479" s="438"/>
      <c r="I479" s="438"/>
    </row>
    <row r="480" customFormat="false" ht="12.75" hidden="false" customHeight="false" outlineLevel="0" collapsed="false">
      <c r="H480" s="438"/>
      <c r="I480" s="438"/>
    </row>
    <row r="481" customFormat="false" ht="12.75" hidden="false" customHeight="false" outlineLevel="0" collapsed="false">
      <c r="H481" s="438"/>
      <c r="I481" s="438"/>
    </row>
    <row r="482" customFormat="false" ht="12.75" hidden="false" customHeight="false" outlineLevel="0" collapsed="false">
      <c r="H482" s="438"/>
      <c r="I482" s="438"/>
    </row>
    <row r="483" customFormat="false" ht="12.75" hidden="false" customHeight="false" outlineLevel="0" collapsed="false">
      <c r="H483" s="438"/>
      <c r="I483" s="438"/>
    </row>
    <row r="484" customFormat="false" ht="12.75" hidden="false" customHeight="false" outlineLevel="0" collapsed="false">
      <c r="H484" s="438"/>
      <c r="I484" s="438"/>
    </row>
    <row r="485" customFormat="false" ht="12.75" hidden="false" customHeight="false" outlineLevel="0" collapsed="false">
      <c r="H485" s="438"/>
      <c r="I485" s="438"/>
    </row>
    <row r="486" customFormat="false" ht="12.75" hidden="false" customHeight="false" outlineLevel="0" collapsed="false">
      <c r="H486" s="438"/>
      <c r="I486" s="438"/>
    </row>
    <row r="487" customFormat="false" ht="12.75" hidden="false" customHeight="false" outlineLevel="0" collapsed="false">
      <c r="H487" s="438"/>
      <c r="I487" s="438"/>
    </row>
    <row r="488" customFormat="false" ht="12.75" hidden="false" customHeight="false" outlineLevel="0" collapsed="false">
      <c r="H488" s="438"/>
      <c r="I488" s="438"/>
    </row>
    <row r="489" customFormat="false" ht="12.75" hidden="false" customHeight="false" outlineLevel="0" collapsed="false">
      <c r="H489" s="438"/>
      <c r="I489" s="438"/>
    </row>
    <row r="490" customFormat="false" ht="12.75" hidden="false" customHeight="false" outlineLevel="0" collapsed="false">
      <c r="H490" s="438"/>
      <c r="I490" s="438"/>
    </row>
    <row r="491" customFormat="false" ht="12.75" hidden="false" customHeight="false" outlineLevel="0" collapsed="false">
      <c r="H491" s="438"/>
      <c r="I491" s="438"/>
    </row>
    <row r="492" customFormat="false" ht="12.75" hidden="false" customHeight="false" outlineLevel="0" collapsed="false">
      <c r="H492" s="438"/>
      <c r="I492" s="438"/>
    </row>
    <row r="493" customFormat="false" ht="12.75" hidden="false" customHeight="false" outlineLevel="0" collapsed="false">
      <c r="H493" s="438"/>
      <c r="I493" s="438"/>
    </row>
    <row r="494" customFormat="false" ht="12.75" hidden="false" customHeight="false" outlineLevel="0" collapsed="false">
      <c r="H494" s="438"/>
      <c r="I494" s="438"/>
    </row>
    <row r="495" customFormat="false" ht="12.75" hidden="false" customHeight="false" outlineLevel="0" collapsed="false">
      <c r="H495" s="438"/>
      <c r="I495" s="438"/>
    </row>
    <row r="496" customFormat="false" ht="12.75" hidden="false" customHeight="false" outlineLevel="0" collapsed="false">
      <c r="H496" s="438"/>
      <c r="I496" s="438"/>
    </row>
    <row r="497" customFormat="false" ht="12.75" hidden="false" customHeight="false" outlineLevel="0" collapsed="false">
      <c r="H497" s="438"/>
      <c r="I497" s="438"/>
    </row>
    <row r="498" customFormat="false" ht="12.75" hidden="false" customHeight="false" outlineLevel="0" collapsed="false">
      <c r="H498" s="438"/>
      <c r="I498" s="438"/>
    </row>
    <row r="499" customFormat="false" ht="12.75" hidden="false" customHeight="false" outlineLevel="0" collapsed="false">
      <c r="H499" s="438"/>
      <c r="I499" s="438"/>
    </row>
    <row r="500" customFormat="false" ht="12.75" hidden="false" customHeight="false" outlineLevel="0" collapsed="false">
      <c r="H500" s="438"/>
      <c r="I500" s="438"/>
    </row>
    <row r="501" customFormat="false" ht="12.75" hidden="false" customHeight="false" outlineLevel="0" collapsed="false">
      <c r="H501" s="438"/>
      <c r="I501" s="438"/>
    </row>
    <row r="502" customFormat="false" ht="12.75" hidden="false" customHeight="false" outlineLevel="0" collapsed="false">
      <c r="H502" s="438"/>
      <c r="I502" s="438"/>
    </row>
    <row r="503" customFormat="false" ht="12.75" hidden="false" customHeight="false" outlineLevel="0" collapsed="false">
      <c r="H503" s="438"/>
      <c r="I503" s="438"/>
    </row>
    <row r="504" customFormat="false" ht="12.75" hidden="false" customHeight="false" outlineLevel="0" collapsed="false">
      <c r="H504" s="438"/>
      <c r="I504" s="438"/>
    </row>
    <row r="505" customFormat="false" ht="12.75" hidden="false" customHeight="false" outlineLevel="0" collapsed="false">
      <c r="H505" s="438"/>
      <c r="I505" s="438"/>
    </row>
    <row r="506" customFormat="false" ht="12.75" hidden="false" customHeight="false" outlineLevel="0" collapsed="false">
      <c r="H506" s="438"/>
      <c r="I506" s="438"/>
    </row>
    <row r="507" customFormat="false" ht="12.75" hidden="false" customHeight="false" outlineLevel="0" collapsed="false">
      <c r="H507" s="438"/>
      <c r="I507" s="438"/>
    </row>
    <row r="508" customFormat="false" ht="12.75" hidden="false" customHeight="false" outlineLevel="0" collapsed="false">
      <c r="H508" s="438"/>
      <c r="I508" s="438"/>
    </row>
    <row r="509" customFormat="false" ht="12.75" hidden="false" customHeight="false" outlineLevel="0" collapsed="false">
      <c r="H509" s="438"/>
      <c r="I509" s="438"/>
    </row>
    <row r="510" customFormat="false" ht="12.75" hidden="false" customHeight="false" outlineLevel="0" collapsed="false">
      <c r="H510" s="438"/>
      <c r="I510" s="438"/>
    </row>
    <row r="511" customFormat="false" ht="12.75" hidden="false" customHeight="false" outlineLevel="0" collapsed="false">
      <c r="H511" s="438"/>
      <c r="I511" s="438"/>
    </row>
    <row r="512" customFormat="false" ht="12.75" hidden="false" customHeight="false" outlineLevel="0" collapsed="false">
      <c r="H512" s="438"/>
      <c r="I512" s="438"/>
    </row>
    <row r="513" customFormat="false" ht="12.75" hidden="false" customHeight="false" outlineLevel="0" collapsed="false">
      <c r="H513" s="438"/>
      <c r="I513" s="438"/>
    </row>
    <row r="514" customFormat="false" ht="12.75" hidden="false" customHeight="false" outlineLevel="0" collapsed="false">
      <c r="H514" s="438"/>
      <c r="I514" s="438"/>
    </row>
    <row r="515" customFormat="false" ht="12.75" hidden="false" customHeight="false" outlineLevel="0" collapsed="false">
      <c r="H515" s="438"/>
      <c r="I515" s="438"/>
    </row>
    <row r="516" customFormat="false" ht="12.75" hidden="false" customHeight="false" outlineLevel="0" collapsed="false">
      <c r="H516" s="438"/>
      <c r="I516" s="438"/>
    </row>
    <row r="517" customFormat="false" ht="12.75" hidden="false" customHeight="false" outlineLevel="0" collapsed="false">
      <c r="H517" s="438"/>
      <c r="I517" s="438"/>
    </row>
    <row r="518" customFormat="false" ht="12.75" hidden="false" customHeight="false" outlineLevel="0" collapsed="false">
      <c r="H518" s="438"/>
      <c r="I518" s="438"/>
    </row>
    <row r="519" customFormat="false" ht="12.75" hidden="false" customHeight="false" outlineLevel="0" collapsed="false">
      <c r="H519" s="438"/>
      <c r="I519" s="438"/>
    </row>
    <row r="520" customFormat="false" ht="12.75" hidden="false" customHeight="false" outlineLevel="0" collapsed="false">
      <c r="H520" s="438"/>
      <c r="I520" s="438"/>
    </row>
    <row r="521" customFormat="false" ht="12.75" hidden="false" customHeight="false" outlineLevel="0" collapsed="false">
      <c r="H521" s="438"/>
      <c r="I521" s="438"/>
    </row>
    <row r="522" customFormat="false" ht="12.75" hidden="false" customHeight="false" outlineLevel="0" collapsed="false">
      <c r="H522" s="438"/>
      <c r="I522" s="438"/>
    </row>
    <row r="523" customFormat="false" ht="12.75" hidden="false" customHeight="false" outlineLevel="0" collapsed="false">
      <c r="H523" s="438"/>
      <c r="I523" s="438"/>
    </row>
    <row r="524" customFormat="false" ht="12.75" hidden="false" customHeight="false" outlineLevel="0" collapsed="false">
      <c r="H524" s="438"/>
      <c r="I524" s="438"/>
    </row>
    <row r="525" customFormat="false" ht="12.75" hidden="false" customHeight="false" outlineLevel="0" collapsed="false">
      <c r="H525" s="438"/>
      <c r="I525" s="438"/>
    </row>
    <row r="526" customFormat="false" ht="12.75" hidden="false" customHeight="false" outlineLevel="0" collapsed="false">
      <c r="H526" s="438"/>
      <c r="I526" s="438"/>
    </row>
    <row r="527" customFormat="false" ht="12.75" hidden="false" customHeight="false" outlineLevel="0" collapsed="false">
      <c r="H527" s="438"/>
      <c r="I527" s="438"/>
    </row>
    <row r="528" customFormat="false" ht="12.75" hidden="false" customHeight="false" outlineLevel="0" collapsed="false">
      <c r="H528" s="438"/>
      <c r="I528" s="438"/>
    </row>
    <row r="529" customFormat="false" ht="12.75" hidden="false" customHeight="false" outlineLevel="0" collapsed="false">
      <c r="H529" s="438"/>
      <c r="I529" s="438"/>
    </row>
    <row r="530" customFormat="false" ht="12.75" hidden="false" customHeight="false" outlineLevel="0" collapsed="false">
      <c r="H530" s="438"/>
      <c r="I530" s="438"/>
    </row>
    <row r="531" customFormat="false" ht="12.75" hidden="false" customHeight="false" outlineLevel="0" collapsed="false">
      <c r="H531" s="438"/>
      <c r="I531" s="438"/>
    </row>
    <row r="532" customFormat="false" ht="12.75" hidden="false" customHeight="false" outlineLevel="0" collapsed="false">
      <c r="H532" s="438"/>
      <c r="I532" s="438"/>
    </row>
    <row r="533" customFormat="false" ht="12.75" hidden="false" customHeight="false" outlineLevel="0" collapsed="false">
      <c r="H533" s="438"/>
      <c r="I533" s="438"/>
    </row>
    <row r="534" customFormat="false" ht="12.75" hidden="false" customHeight="false" outlineLevel="0" collapsed="false">
      <c r="H534" s="438"/>
      <c r="I534" s="438"/>
    </row>
    <row r="535" customFormat="false" ht="12.75" hidden="false" customHeight="false" outlineLevel="0" collapsed="false">
      <c r="H535" s="438"/>
      <c r="I535" s="438"/>
    </row>
    <row r="536" customFormat="false" ht="12.75" hidden="false" customHeight="false" outlineLevel="0" collapsed="false">
      <c r="H536" s="438"/>
      <c r="I536" s="438"/>
    </row>
    <row r="537" customFormat="false" ht="12.75" hidden="false" customHeight="false" outlineLevel="0" collapsed="false">
      <c r="H537" s="438"/>
      <c r="I537" s="438"/>
    </row>
    <row r="538" customFormat="false" ht="12.75" hidden="false" customHeight="false" outlineLevel="0" collapsed="false">
      <c r="H538" s="438"/>
      <c r="I538" s="438"/>
    </row>
    <row r="539" customFormat="false" ht="12.75" hidden="false" customHeight="false" outlineLevel="0" collapsed="false">
      <c r="H539" s="438"/>
      <c r="I539" s="438"/>
    </row>
    <row r="540" customFormat="false" ht="12.75" hidden="false" customHeight="false" outlineLevel="0" collapsed="false">
      <c r="H540" s="438"/>
      <c r="I540" s="438"/>
    </row>
    <row r="541" customFormat="false" ht="12.75" hidden="false" customHeight="false" outlineLevel="0" collapsed="false">
      <c r="H541" s="438"/>
      <c r="I541" s="438"/>
    </row>
    <row r="542" customFormat="false" ht="12.75" hidden="false" customHeight="false" outlineLevel="0" collapsed="false">
      <c r="H542" s="438"/>
      <c r="I542" s="438"/>
    </row>
    <row r="543" customFormat="false" ht="12.75" hidden="false" customHeight="false" outlineLevel="0" collapsed="false">
      <c r="H543" s="438"/>
      <c r="I543" s="438"/>
    </row>
    <row r="544" customFormat="false" ht="12.75" hidden="false" customHeight="false" outlineLevel="0" collapsed="false">
      <c r="H544" s="438"/>
      <c r="I544" s="438"/>
    </row>
    <row r="545" customFormat="false" ht="12.75" hidden="false" customHeight="false" outlineLevel="0" collapsed="false">
      <c r="H545" s="438"/>
      <c r="I545" s="438"/>
    </row>
    <row r="546" customFormat="false" ht="12.75" hidden="false" customHeight="false" outlineLevel="0" collapsed="false">
      <c r="H546" s="438"/>
      <c r="I546" s="438"/>
    </row>
    <row r="547" customFormat="false" ht="12.75" hidden="false" customHeight="false" outlineLevel="0" collapsed="false">
      <c r="H547" s="438"/>
      <c r="I547" s="438"/>
    </row>
    <row r="548" customFormat="false" ht="12.75" hidden="false" customHeight="false" outlineLevel="0" collapsed="false">
      <c r="H548" s="438"/>
      <c r="I548" s="438"/>
    </row>
    <row r="549" customFormat="false" ht="12.75" hidden="false" customHeight="false" outlineLevel="0" collapsed="false">
      <c r="H549" s="438"/>
      <c r="I549" s="438"/>
    </row>
    <row r="550" customFormat="false" ht="12.75" hidden="false" customHeight="false" outlineLevel="0" collapsed="false">
      <c r="H550" s="438"/>
      <c r="I550" s="438"/>
    </row>
    <row r="551" customFormat="false" ht="12.75" hidden="false" customHeight="false" outlineLevel="0" collapsed="false">
      <c r="H551" s="438"/>
      <c r="I551" s="438"/>
    </row>
    <row r="552" customFormat="false" ht="12.75" hidden="false" customHeight="false" outlineLevel="0" collapsed="false">
      <c r="H552" s="438"/>
      <c r="I552" s="438"/>
    </row>
    <row r="553" customFormat="false" ht="12.75" hidden="false" customHeight="false" outlineLevel="0" collapsed="false">
      <c r="H553" s="438"/>
      <c r="I553" s="438"/>
    </row>
    <row r="554" customFormat="false" ht="12.75" hidden="false" customHeight="false" outlineLevel="0" collapsed="false">
      <c r="H554" s="438"/>
      <c r="I554" s="438"/>
    </row>
    <row r="555" customFormat="false" ht="12.75" hidden="false" customHeight="false" outlineLevel="0" collapsed="false">
      <c r="H555" s="438"/>
      <c r="I555" s="438"/>
    </row>
    <row r="556" customFormat="false" ht="12.75" hidden="false" customHeight="false" outlineLevel="0" collapsed="false">
      <c r="H556" s="438"/>
      <c r="I556" s="438"/>
    </row>
    <row r="557" customFormat="false" ht="12.75" hidden="false" customHeight="false" outlineLevel="0" collapsed="false">
      <c r="H557" s="438"/>
      <c r="I557" s="438"/>
    </row>
    <row r="558" customFormat="false" ht="12.75" hidden="false" customHeight="false" outlineLevel="0" collapsed="false">
      <c r="H558" s="438"/>
      <c r="I558" s="438"/>
    </row>
    <row r="559" customFormat="false" ht="12.75" hidden="false" customHeight="false" outlineLevel="0" collapsed="false">
      <c r="H559" s="438"/>
      <c r="I559" s="438"/>
    </row>
    <row r="560" customFormat="false" ht="12.75" hidden="false" customHeight="false" outlineLevel="0" collapsed="false">
      <c r="H560" s="438"/>
      <c r="I560" s="438"/>
    </row>
    <row r="561" customFormat="false" ht="12.75" hidden="false" customHeight="false" outlineLevel="0" collapsed="false">
      <c r="H561" s="438"/>
      <c r="I561" s="438"/>
    </row>
    <row r="562" customFormat="false" ht="12.75" hidden="false" customHeight="false" outlineLevel="0" collapsed="false">
      <c r="H562" s="438"/>
      <c r="I562" s="438"/>
    </row>
    <row r="563" customFormat="false" ht="12.75" hidden="false" customHeight="false" outlineLevel="0" collapsed="false">
      <c r="H563" s="438"/>
      <c r="I563" s="438"/>
    </row>
    <row r="564" customFormat="false" ht="12.75" hidden="false" customHeight="false" outlineLevel="0" collapsed="false">
      <c r="H564" s="438"/>
      <c r="I564" s="438"/>
    </row>
    <row r="565" customFormat="false" ht="12.75" hidden="false" customHeight="false" outlineLevel="0" collapsed="false">
      <c r="H565" s="438"/>
      <c r="I565" s="438"/>
    </row>
    <row r="566" customFormat="false" ht="12.75" hidden="false" customHeight="false" outlineLevel="0" collapsed="false">
      <c r="H566" s="438"/>
      <c r="I566" s="438"/>
    </row>
    <row r="567" customFormat="false" ht="12.75" hidden="false" customHeight="false" outlineLevel="0" collapsed="false">
      <c r="H567" s="438"/>
      <c r="I567" s="438"/>
    </row>
    <row r="568" customFormat="false" ht="12.75" hidden="false" customHeight="false" outlineLevel="0" collapsed="false">
      <c r="H568" s="438"/>
      <c r="I568" s="438"/>
    </row>
    <row r="569" customFormat="false" ht="12.75" hidden="false" customHeight="false" outlineLevel="0" collapsed="false">
      <c r="H569" s="438"/>
      <c r="I569" s="438"/>
    </row>
    <row r="570" customFormat="false" ht="12.75" hidden="false" customHeight="false" outlineLevel="0" collapsed="false">
      <c r="H570" s="438"/>
      <c r="I570" s="438"/>
    </row>
    <row r="571" customFormat="false" ht="12.75" hidden="false" customHeight="false" outlineLevel="0" collapsed="false">
      <c r="H571" s="438"/>
      <c r="I571" s="438"/>
    </row>
    <row r="572" customFormat="false" ht="12.75" hidden="false" customHeight="false" outlineLevel="0" collapsed="false">
      <c r="H572" s="438"/>
      <c r="I572" s="438"/>
    </row>
    <row r="573" customFormat="false" ht="12.75" hidden="false" customHeight="false" outlineLevel="0" collapsed="false">
      <c r="H573" s="438"/>
      <c r="I573" s="438"/>
    </row>
    <row r="574" customFormat="false" ht="12.75" hidden="false" customHeight="false" outlineLevel="0" collapsed="false">
      <c r="H574" s="438"/>
      <c r="I574" s="438"/>
    </row>
    <row r="575" customFormat="false" ht="12.75" hidden="false" customHeight="false" outlineLevel="0" collapsed="false">
      <c r="H575" s="438"/>
      <c r="I575" s="438"/>
    </row>
    <row r="576" customFormat="false" ht="12.75" hidden="false" customHeight="false" outlineLevel="0" collapsed="false">
      <c r="H576" s="438"/>
      <c r="I576" s="438"/>
    </row>
    <row r="577" customFormat="false" ht="12.75" hidden="false" customHeight="false" outlineLevel="0" collapsed="false">
      <c r="H577" s="438"/>
      <c r="I577" s="438"/>
    </row>
    <row r="578" customFormat="false" ht="12.75" hidden="false" customHeight="false" outlineLevel="0" collapsed="false">
      <c r="H578" s="438"/>
      <c r="I578" s="438"/>
    </row>
    <row r="579" customFormat="false" ht="12.75" hidden="false" customHeight="false" outlineLevel="0" collapsed="false">
      <c r="H579" s="438"/>
      <c r="I579" s="438"/>
    </row>
    <row r="580" customFormat="false" ht="12.75" hidden="false" customHeight="false" outlineLevel="0" collapsed="false">
      <c r="H580" s="438"/>
      <c r="I580" s="438"/>
    </row>
    <row r="581" customFormat="false" ht="12.75" hidden="false" customHeight="false" outlineLevel="0" collapsed="false">
      <c r="H581" s="438"/>
      <c r="I581" s="438"/>
    </row>
    <row r="582" customFormat="false" ht="12.75" hidden="false" customHeight="false" outlineLevel="0" collapsed="false">
      <c r="H582" s="438"/>
      <c r="I582" s="438"/>
    </row>
    <row r="583" customFormat="false" ht="12.75" hidden="false" customHeight="false" outlineLevel="0" collapsed="false">
      <c r="H583" s="438"/>
      <c r="I583" s="438"/>
    </row>
    <row r="584" customFormat="false" ht="12.75" hidden="false" customHeight="false" outlineLevel="0" collapsed="false">
      <c r="H584" s="438"/>
      <c r="I584" s="438"/>
    </row>
    <row r="585" customFormat="false" ht="12.75" hidden="false" customHeight="false" outlineLevel="0" collapsed="false">
      <c r="H585" s="438"/>
      <c r="I585" s="438"/>
    </row>
    <row r="586" customFormat="false" ht="12.75" hidden="false" customHeight="false" outlineLevel="0" collapsed="false">
      <c r="H586" s="438"/>
      <c r="I586" s="438"/>
    </row>
    <row r="587" customFormat="false" ht="12.75" hidden="false" customHeight="false" outlineLevel="0" collapsed="false">
      <c r="H587" s="438"/>
      <c r="I587" s="438"/>
    </row>
    <row r="588" customFormat="false" ht="12.75" hidden="false" customHeight="false" outlineLevel="0" collapsed="false">
      <c r="H588" s="438"/>
      <c r="I588" s="438"/>
    </row>
    <row r="589" customFormat="false" ht="12.75" hidden="false" customHeight="false" outlineLevel="0" collapsed="false">
      <c r="H589" s="438"/>
      <c r="I589" s="438"/>
    </row>
    <row r="590" customFormat="false" ht="12.75" hidden="false" customHeight="false" outlineLevel="0" collapsed="false">
      <c r="H590" s="438"/>
      <c r="I590" s="438"/>
    </row>
    <row r="591" customFormat="false" ht="12.75" hidden="false" customHeight="false" outlineLevel="0" collapsed="false">
      <c r="H591" s="438"/>
      <c r="I591" s="438"/>
    </row>
    <row r="592" customFormat="false" ht="12.75" hidden="false" customHeight="false" outlineLevel="0" collapsed="false">
      <c r="H592" s="438"/>
      <c r="I592" s="438"/>
    </row>
    <row r="593" customFormat="false" ht="12.75" hidden="false" customHeight="false" outlineLevel="0" collapsed="false">
      <c r="H593" s="438"/>
      <c r="I593" s="438"/>
    </row>
    <row r="594" customFormat="false" ht="12.75" hidden="false" customHeight="false" outlineLevel="0" collapsed="false">
      <c r="H594" s="438"/>
      <c r="I594" s="438"/>
    </row>
    <row r="595" customFormat="false" ht="12.75" hidden="false" customHeight="false" outlineLevel="0" collapsed="false">
      <c r="H595" s="438"/>
      <c r="I595" s="438"/>
    </row>
    <row r="596" customFormat="false" ht="12.75" hidden="false" customHeight="false" outlineLevel="0" collapsed="false">
      <c r="H596" s="438"/>
      <c r="I596" s="438"/>
    </row>
    <row r="597" customFormat="false" ht="12.75" hidden="false" customHeight="false" outlineLevel="0" collapsed="false">
      <c r="H597" s="438"/>
      <c r="I597" s="438"/>
    </row>
    <row r="598" customFormat="false" ht="12.75" hidden="false" customHeight="false" outlineLevel="0" collapsed="false">
      <c r="H598" s="438"/>
      <c r="I598" s="438"/>
    </row>
    <row r="599" customFormat="false" ht="12.75" hidden="false" customHeight="false" outlineLevel="0" collapsed="false">
      <c r="H599" s="438"/>
      <c r="I599" s="438"/>
    </row>
    <row r="600" customFormat="false" ht="12.75" hidden="false" customHeight="false" outlineLevel="0" collapsed="false">
      <c r="H600" s="438"/>
      <c r="I600" s="438"/>
    </row>
    <row r="601" customFormat="false" ht="12.75" hidden="false" customHeight="false" outlineLevel="0" collapsed="false">
      <c r="H601" s="438"/>
      <c r="I601" s="438"/>
    </row>
    <row r="602" customFormat="false" ht="12.75" hidden="false" customHeight="false" outlineLevel="0" collapsed="false">
      <c r="H602" s="438"/>
      <c r="I602" s="438"/>
    </row>
    <row r="603" customFormat="false" ht="12.75" hidden="false" customHeight="false" outlineLevel="0" collapsed="false">
      <c r="H603" s="438"/>
      <c r="I603" s="438"/>
    </row>
    <row r="604" customFormat="false" ht="12.75" hidden="false" customHeight="false" outlineLevel="0" collapsed="false">
      <c r="H604" s="438"/>
      <c r="I604" s="438"/>
    </row>
    <row r="605" customFormat="false" ht="12.75" hidden="false" customHeight="false" outlineLevel="0" collapsed="false">
      <c r="H605" s="438"/>
      <c r="I605" s="438"/>
    </row>
    <row r="606" customFormat="false" ht="12.75" hidden="false" customHeight="false" outlineLevel="0" collapsed="false">
      <c r="H606" s="438"/>
      <c r="I606" s="438"/>
    </row>
    <row r="607" customFormat="false" ht="12.75" hidden="false" customHeight="false" outlineLevel="0" collapsed="false">
      <c r="H607" s="438"/>
      <c r="I607" s="438"/>
    </row>
    <row r="608" customFormat="false" ht="12.75" hidden="false" customHeight="false" outlineLevel="0" collapsed="false">
      <c r="H608" s="438"/>
      <c r="I608" s="438"/>
    </row>
    <row r="609" customFormat="false" ht="12.75" hidden="false" customHeight="false" outlineLevel="0" collapsed="false">
      <c r="H609" s="438"/>
      <c r="I609" s="438"/>
    </row>
    <row r="610" customFormat="false" ht="12.75" hidden="false" customHeight="false" outlineLevel="0" collapsed="false">
      <c r="H610" s="438"/>
      <c r="I610" s="438"/>
    </row>
    <row r="611" customFormat="false" ht="12.75" hidden="false" customHeight="false" outlineLevel="0" collapsed="false">
      <c r="H611" s="438"/>
      <c r="I611" s="438"/>
    </row>
    <row r="612" customFormat="false" ht="12.75" hidden="false" customHeight="false" outlineLevel="0" collapsed="false">
      <c r="H612" s="438"/>
      <c r="I612" s="438"/>
    </row>
    <row r="613" customFormat="false" ht="12.75" hidden="false" customHeight="false" outlineLevel="0" collapsed="false">
      <c r="H613" s="438"/>
      <c r="I613" s="438"/>
    </row>
    <row r="614" customFormat="false" ht="12.75" hidden="false" customHeight="false" outlineLevel="0" collapsed="false">
      <c r="H614" s="438"/>
      <c r="I614" s="438"/>
    </row>
    <row r="615" customFormat="false" ht="12.75" hidden="false" customHeight="false" outlineLevel="0" collapsed="false">
      <c r="H615" s="438"/>
      <c r="I615" s="438"/>
    </row>
    <row r="616" customFormat="false" ht="12.75" hidden="false" customHeight="false" outlineLevel="0" collapsed="false">
      <c r="H616" s="438"/>
      <c r="I616" s="438"/>
    </row>
    <row r="617" customFormat="false" ht="12.75" hidden="false" customHeight="false" outlineLevel="0" collapsed="false">
      <c r="H617" s="438"/>
      <c r="I617" s="438"/>
    </row>
    <row r="618" customFormat="false" ht="12.75" hidden="false" customHeight="false" outlineLevel="0" collapsed="false">
      <c r="H618" s="438"/>
      <c r="I618" s="438"/>
    </row>
    <row r="619" customFormat="false" ht="12.75" hidden="false" customHeight="false" outlineLevel="0" collapsed="false">
      <c r="H619" s="438"/>
      <c r="I619" s="438"/>
    </row>
    <row r="620" customFormat="false" ht="12.75" hidden="false" customHeight="false" outlineLevel="0" collapsed="false">
      <c r="H620" s="438"/>
      <c r="I620" s="438"/>
    </row>
    <row r="621" customFormat="false" ht="12.75" hidden="false" customHeight="false" outlineLevel="0" collapsed="false">
      <c r="H621" s="438"/>
      <c r="I621" s="438"/>
    </row>
    <row r="622" customFormat="false" ht="12.75" hidden="false" customHeight="false" outlineLevel="0" collapsed="false">
      <c r="H622" s="438"/>
      <c r="I622" s="438"/>
    </row>
    <row r="623" customFormat="false" ht="12.75" hidden="false" customHeight="false" outlineLevel="0" collapsed="false">
      <c r="H623" s="438"/>
      <c r="I623" s="438"/>
    </row>
    <row r="624" customFormat="false" ht="12.75" hidden="false" customHeight="false" outlineLevel="0" collapsed="false">
      <c r="H624" s="438"/>
      <c r="I624" s="438"/>
    </row>
    <row r="625" customFormat="false" ht="12.75" hidden="false" customHeight="false" outlineLevel="0" collapsed="false">
      <c r="H625" s="438"/>
      <c r="I625" s="438"/>
    </row>
    <row r="626" customFormat="false" ht="12.75" hidden="false" customHeight="false" outlineLevel="0" collapsed="false">
      <c r="H626" s="438"/>
      <c r="I626" s="438"/>
    </row>
    <row r="627" customFormat="false" ht="12.75" hidden="false" customHeight="false" outlineLevel="0" collapsed="false">
      <c r="H627" s="438"/>
      <c r="I627" s="438"/>
    </row>
    <row r="628" customFormat="false" ht="12.75" hidden="false" customHeight="false" outlineLevel="0" collapsed="false">
      <c r="H628" s="438"/>
      <c r="I628" s="438"/>
    </row>
    <row r="629" customFormat="false" ht="12.75" hidden="false" customHeight="false" outlineLevel="0" collapsed="false">
      <c r="H629" s="438"/>
      <c r="I629" s="438"/>
    </row>
    <row r="630" customFormat="false" ht="12.75" hidden="false" customHeight="false" outlineLevel="0" collapsed="false">
      <c r="H630" s="438"/>
      <c r="I630" s="438"/>
    </row>
    <row r="631" customFormat="false" ht="12.75" hidden="false" customHeight="false" outlineLevel="0" collapsed="false">
      <c r="H631" s="438"/>
      <c r="I631" s="438"/>
    </row>
    <row r="632" customFormat="false" ht="12.75" hidden="false" customHeight="false" outlineLevel="0" collapsed="false">
      <c r="H632" s="438"/>
      <c r="I632" s="438"/>
    </row>
    <row r="633" customFormat="false" ht="12.75" hidden="false" customHeight="false" outlineLevel="0" collapsed="false">
      <c r="H633" s="438"/>
      <c r="I633" s="438"/>
    </row>
    <row r="634" customFormat="false" ht="12.75" hidden="false" customHeight="false" outlineLevel="0" collapsed="false">
      <c r="H634" s="438"/>
      <c r="I634" s="438"/>
    </row>
    <row r="635" customFormat="false" ht="12.75" hidden="false" customHeight="false" outlineLevel="0" collapsed="false">
      <c r="H635" s="438"/>
      <c r="I635" s="438"/>
    </row>
    <row r="636" customFormat="false" ht="12.75" hidden="false" customHeight="false" outlineLevel="0" collapsed="false">
      <c r="H636" s="438"/>
      <c r="I636" s="438"/>
    </row>
    <row r="637" customFormat="false" ht="12.75" hidden="false" customHeight="false" outlineLevel="0" collapsed="false">
      <c r="H637" s="438"/>
      <c r="I637" s="438"/>
    </row>
    <row r="638" customFormat="false" ht="12.75" hidden="false" customHeight="false" outlineLevel="0" collapsed="false">
      <c r="H638" s="438"/>
      <c r="I638" s="438"/>
    </row>
    <row r="639" customFormat="false" ht="12.75" hidden="false" customHeight="false" outlineLevel="0" collapsed="false">
      <c r="H639" s="438"/>
      <c r="I639" s="438"/>
    </row>
    <row r="640" customFormat="false" ht="12.75" hidden="false" customHeight="false" outlineLevel="0" collapsed="false">
      <c r="H640" s="438"/>
      <c r="I640" s="438"/>
    </row>
    <row r="641" customFormat="false" ht="12.75" hidden="false" customHeight="false" outlineLevel="0" collapsed="false">
      <c r="H641" s="438"/>
      <c r="I641" s="438"/>
    </row>
    <row r="642" customFormat="false" ht="12.75" hidden="false" customHeight="false" outlineLevel="0" collapsed="false">
      <c r="H642" s="438"/>
      <c r="I642" s="438"/>
    </row>
    <row r="643" customFormat="false" ht="12.75" hidden="false" customHeight="false" outlineLevel="0" collapsed="false">
      <c r="H643" s="438"/>
      <c r="I643" s="438"/>
    </row>
    <row r="644" customFormat="false" ht="12.75" hidden="false" customHeight="false" outlineLevel="0" collapsed="false">
      <c r="H644" s="438"/>
      <c r="I644" s="438"/>
    </row>
    <row r="645" customFormat="false" ht="12.75" hidden="false" customHeight="false" outlineLevel="0" collapsed="false">
      <c r="H645" s="438"/>
      <c r="I645" s="438"/>
    </row>
    <row r="646" customFormat="false" ht="12.75" hidden="false" customHeight="false" outlineLevel="0" collapsed="false">
      <c r="H646" s="438"/>
      <c r="I646" s="438"/>
    </row>
    <row r="647" customFormat="false" ht="12.75" hidden="false" customHeight="false" outlineLevel="0" collapsed="false">
      <c r="H647" s="438"/>
      <c r="I647" s="438"/>
    </row>
    <row r="648" customFormat="false" ht="12.75" hidden="false" customHeight="false" outlineLevel="0" collapsed="false">
      <c r="H648" s="438"/>
      <c r="I648" s="438"/>
    </row>
    <row r="649" customFormat="false" ht="12.75" hidden="false" customHeight="false" outlineLevel="0" collapsed="false">
      <c r="H649" s="438"/>
      <c r="I649" s="438"/>
    </row>
    <row r="650" customFormat="false" ht="12.75" hidden="false" customHeight="false" outlineLevel="0" collapsed="false">
      <c r="H650" s="438"/>
      <c r="I650" s="438"/>
    </row>
    <row r="651" customFormat="false" ht="12.75" hidden="false" customHeight="false" outlineLevel="0" collapsed="false">
      <c r="H651" s="438"/>
      <c r="I651" s="438"/>
    </row>
    <row r="652" customFormat="false" ht="12.75" hidden="false" customHeight="false" outlineLevel="0" collapsed="false">
      <c r="H652" s="438"/>
      <c r="I652" s="438"/>
    </row>
    <row r="653" customFormat="false" ht="12.75" hidden="false" customHeight="false" outlineLevel="0" collapsed="false">
      <c r="H653" s="438"/>
      <c r="I653" s="438"/>
    </row>
    <row r="654" customFormat="false" ht="12.75" hidden="false" customHeight="false" outlineLevel="0" collapsed="false">
      <c r="H654" s="438"/>
      <c r="I654" s="438"/>
    </row>
    <row r="655" customFormat="false" ht="12.75" hidden="false" customHeight="false" outlineLevel="0" collapsed="false">
      <c r="H655" s="438"/>
      <c r="I655" s="438"/>
    </row>
    <row r="656" customFormat="false" ht="12.75" hidden="false" customHeight="false" outlineLevel="0" collapsed="false">
      <c r="H656" s="438"/>
      <c r="I656" s="438"/>
    </row>
    <row r="657" customFormat="false" ht="12.75" hidden="false" customHeight="false" outlineLevel="0" collapsed="false">
      <c r="H657" s="438"/>
      <c r="I657" s="438"/>
    </row>
    <row r="658" customFormat="false" ht="12.75" hidden="false" customHeight="false" outlineLevel="0" collapsed="false">
      <c r="H658" s="438"/>
      <c r="I658" s="438"/>
    </row>
    <row r="659" customFormat="false" ht="12.75" hidden="false" customHeight="false" outlineLevel="0" collapsed="false">
      <c r="H659" s="438"/>
      <c r="I659" s="438"/>
    </row>
    <row r="660" customFormat="false" ht="12.75" hidden="false" customHeight="false" outlineLevel="0" collapsed="false">
      <c r="H660" s="438"/>
      <c r="I660" s="438"/>
    </row>
    <row r="661" customFormat="false" ht="12.75" hidden="false" customHeight="false" outlineLevel="0" collapsed="false">
      <c r="H661" s="438"/>
      <c r="I661" s="438"/>
    </row>
    <row r="662" customFormat="false" ht="12.75" hidden="false" customHeight="false" outlineLevel="0" collapsed="false">
      <c r="H662" s="438"/>
      <c r="I662" s="438"/>
    </row>
    <row r="663" customFormat="false" ht="12.75" hidden="false" customHeight="false" outlineLevel="0" collapsed="false">
      <c r="H663" s="438"/>
      <c r="I663" s="438"/>
    </row>
    <row r="664" customFormat="false" ht="12.75" hidden="false" customHeight="false" outlineLevel="0" collapsed="false">
      <c r="H664" s="438"/>
      <c r="I664" s="438"/>
    </row>
    <row r="665" customFormat="false" ht="12.75" hidden="false" customHeight="false" outlineLevel="0" collapsed="false">
      <c r="H665" s="438"/>
      <c r="I665" s="438"/>
    </row>
    <row r="666" customFormat="false" ht="12.75" hidden="false" customHeight="false" outlineLevel="0" collapsed="false">
      <c r="H666" s="438"/>
      <c r="I666" s="438"/>
    </row>
    <row r="667" customFormat="false" ht="12.75" hidden="false" customHeight="false" outlineLevel="0" collapsed="false">
      <c r="H667" s="438"/>
      <c r="I667" s="438"/>
    </row>
    <row r="668" customFormat="false" ht="12.75" hidden="false" customHeight="false" outlineLevel="0" collapsed="false">
      <c r="H668" s="438"/>
      <c r="I668" s="438"/>
    </row>
    <row r="669" customFormat="false" ht="12.75" hidden="false" customHeight="false" outlineLevel="0" collapsed="false">
      <c r="H669" s="438"/>
      <c r="I669" s="438"/>
    </row>
    <row r="670" customFormat="false" ht="12.75" hidden="false" customHeight="false" outlineLevel="0" collapsed="false">
      <c r="H670" s="438"/>
      <c r="I670" s="438"/>
    </row>
    <row r="671" customFormat="false" ht="12.75" hidden="false" customHeight="false" outlineLevel="0" collapsed="false">
      <c r="H671" s="438"/>
      <c r="I671" s="438"/>
    </row>
    <row r="672" customFormat="false" ht="12.75" hidden="false" customHeight="false" outlineLevel="0" collapsed="false">
      <c r="H672" s="438"/>
      <c r="I672" s="438"/>
    </row>
    <row r="673" customFormat="false" ht="12.75" hidden="false" customHeight="false" outlineLevel="0" collapsed="false">
      <c r="H673" s="438"/>
      <c r="I673" s="438"/>
    </row>
    <row r="674" customFormat="false" ht="12.75" hidden="false" customHeight="false" outlineLevel="0" collapsed="false">
      <c r="H674" s="438"/>
      <c r="I674" s="438"/>
    </row>
    <row r="675" customFormat="false" ht="12.75" hidden="false" customHeight="false" outlineLevel="0" collapsed="false">
      <c r="H675" s="438"/>
      <c r="I675" s="438"/>
    </row>
    <row r="676" customFormat="false" ht="12.75" hidden="false" customHeight="false" outlineLevel="0" collapsed="false">
      <c r="H676" s="438"/>
      <c r="I676" s="438"/>
    </row>
    <row r="677" customFormat="false" ht="12.75" hidden="false" customHeight="false" outlineLevel="0" collapsed="false">
      <c r="H677" s="438"/>
      <c r="I677" s="438"/>
    </row>
    <row r="678" customFormat="false" ht="12.75" hidden="false" customHeight="false" outlineLevel="0" collapsed="false">
      <c r="H678" s="438"/>
      <c r="I678" s="438"/>
    </row>
    <row r="679" customFormat="false" ht="12.75" hidden="false" customHeight="false" outlineLevel="0" collapsed="false">
      <c r="H679" s="438"/>
      <c r="I679" s="438"/>
    </row>
    <row r="680" customFormat="false" ht="12.75" hidden="false" customHeight="false" outlineLevel="0" collapsed="false">
      <c r="H680" s="438"/>
      <c r="I680" s="438"/>
    </row>
    <row r="681" customFormat="false" ht="12.75" hidden="false" customHeight="false" outlineLevel="0" collapsed="false">
      <c r="H681" s="438"/>
      <c r="I681" s="438"/>
    </row>
    <row r="682" customFormat="false" ht="12.75" hidden="false" customHeight="false" outlineLevel="0" collapsed="false">
      <c r="H682" s="438"/>
      <c r="I682" s="438"/>
    </row>
    <row r="683" customFormat="false" ht="12.75" hidden="false" customHeight="false" outlineLevel="0" collapsed="false">
      <c r="H683" s="438"/>
      <c r="I683" s="438"/>
    </row>
    <row r="684" customFormat="false" ht="12.75" hidden="false" customHeight="false" outlineLevel="0" collapsed="false">
      <c r="H684" s="438"/>
      <c r="I684" s="438"/>
    </row>
    <row r="685" customFormat="false" ht="12.75" hidden="false" customHeight="false" outlineLevel="0" collapsed="false">
      <c r="H685" s="438"/>
      <c r="I685" s="438"/>
    </row>
    <row r="686" customFormat="false" ht="12.75" hidden="false" customHeight="false" outlineLevel="0" collapsed="false">
      <c r="H686" s="438"/>
      <c r="I686" s="438"/>
    </row>
    <row r="687" customFormat="false" ht="12.75" hidden="false" customHeight="false" outlineLevel="0" collapsed="false">
      <c r="H687" s="438"/>
      <c r="I687" s="438"/>
    </row>
    <row r="688" customFormat="false" ht="12.75" hidden="false" customHeight="false" outlineLevel="0" collapsed="false">
      <c r="H688" s="438"/>
      <c r="I688" s="438"/>
    </row>
    <row r="689" customFormat="false" ht="12.75" hidden="false" customHeight="false" outlineLevel="0" collapsed="false">
      <c r="H689" s="438"/>
      <c r="I689" s="438"/>
    </row>
    <row r="690" customFormat="false" ht="12.75" hidden="false" customHeight="false" outlineLevel="0" collapsed="false">
      <c r="H690" s="438"/>
      <c r="I690" s="438"/>
    </row>
    <row r="691" customFormat="false" ht="12.75" hidden="false" customHeight="false" outlineLevel="0" collapsed="false">
      <c r="H691" s="438"/>
      <c r="I691" s="438"/>
    </row>
    <row r="692" customFormat="false" ht="12.75" hidden="false" customHeight="false" outlineLevel="0" collapsed="false">
      <c r="H692" s="438"/>
      <c r="I692" s="438"/>
    </row>
    <row r="693" customFormat="false" ht="12.75" hidden="false" customHeight="false" outlineLevel="0" collapsed="false">
      <c r="H693" s="438"/>
      <c r="I693" s="438"/>
    </row>
    <row r="694" customFormat="false" ht="12.75" hidden="false" customHeight="false" outlineLevel="0" collapsed="false">
      <c r="H694" s="438"/>
      <c r="I694" s="438"/>
    </row>
    <row r="695" customFormat="false" ht="12.75" hidden="false" customHeight="false" outlineLevel="0" collapsed="false">
      <c r="H695" s="438"/>
      <c r="I695" s="438"/>
    </row>
    <row r="696" customFormat="false" ht="12.75" hidden="false" customHeight="false" outlineLevel="0" collapsed="false">
      <c r="H696" s="438"/>
      <c r="I696" s="438"/>
    </row>
    <row r="697" customFormat="false" ht="12.75" hidden="false" customHeight="false" outlineLevel="0" collapsed="false">
      <c r="H697" s="438"/>
      <c r="I697" s="438"/>
    </row>
    <row r="698" customFormat="false" ht="12.75" hidden="false" customHeight="false" outlineLevel="0" collapsed="false">
      <c r="H698" s="438"/>
      <c r="I698" s="438"/>
    </row>
    <row r="699" customFormat="false" ht="12.75" hidden="false" customHeight="false" outlineLevel="0" collapsed="false">
      <c r="H699" s="438"/>
      <c r="I699" s="438"/>
    </row>
    <row r="700" customFormat="false" ht="12.75" hidden="false" customHeight="false" outlineLevel="0" collapsed="false">
      <c r="H700" s="438"/>
      <c r="I700" s="438"/>
    </row>
    <row r="701" customFormat="false" ht="12.75" hidden="false" customHeight="false" outlineLevel="0" collapsed="false">
      <c r="H701" s="438"/>
      <c r="I701" s="438"/>
    </row>
    <row r="702" customFormat="false" ht="12.75" hidden="false" customHeight="false" outlineLevel="0" collapsed="false">
      <c r="H702" s="438"/>
      <c r="I702" s="438"/>
    </row>
    <row r="703" customFormat="false" ht="12.75" hidden="false" customHeight="false" outlineLevel="0" collapsed="false">
      <c r="H703" s="438"/>
      <c r="I703" s="438"/>
    </row>
    <row r="704" customFormat="false" ht="12.75" hidden="false" customHeight="false" outlineLevel="0" collapsed="false">
      <c r="H704" s="438"/>
      <c r="I704" s="438"/>
    </row>
    <row r="705" customFormat="false" ht="12.75" hidden="false" customHeight="false" outlineLevel="0" collapsed="false">
      <c r="H705" s="438"/>
      <c r="I705" s="438"/>
    </row>
    <row r="706" customFormat="false" ht="12.75" hidden="false" customHeight="false" outlineLevel="0" collapsed="false">
      <c r="H706" s="438"/>
      <c r="I706" s="438"/>
    </row>
    <row r="707" customFormat="false" ht="12.75" hidden="false" customHeight="false" outlineLevel="0" collapsed="false">
      <c r="H707" s="438"/>
      <c r="I707" s="438"/>
    </row>
    <row r="708" customFormat="false" ht="12.75" hidden="false" customHeight="false" outlineLevel="0" collapsed="false">
      <c r="H708" s="438"/>
      <c r="I708" s="438"/>
    </row>
    <row r="709" customFormat="false" ht="12.75" hidden="false" customHeight="false" outlineLevel="0" collapsed="false">
      <c r="H709" s="438"/>
      <c r="I709" s="438"/>
    </row>
    <row r="710" customFormat="false" ht="12.75" hidden="false" customHeight="false" outlineLevel="0" collapsed="false">
      <c r="H710" s="438"/>
      <c r="I710" s="438"/>
    </row>
    <row r="711" customFormat="false" ht="12.75" hidden="false" customHeight="false" outlineLevel="0" collapsed="false">
      <c r="H711" s="438"/>
      <c r="I711" s="438"/>
    </row>
    <row r="712" customFormat="false" ht="12.75" hidden="false" customHeight="false" outlineLevel="0" collapsed="false">
      <c r="H712" s="438"/>
      <c r="I712" s="438"/>
    </row>
    <row r="713" customFormat="false" ht="12.75" hidden="false" customHeight="false" outlineLevel="0" collapsed="false">
      <c r="H713" s="438"/>
      <c r="I713" s="438"/>
    </row>
    <row r="714" customFormat="false" ht="12.75" hidden="false" customHeight="false" outlineLevel="0" collapsed="false">
      <c r="H714" s="438"/>
      <c r="I714" s="438"/>
    </row>
    <row r="715" customFormat="false" ht="12.75" hidden="false" customHeight="false" outlineLevel="0" collapsed="false">
      <c r="H715" s="438"/>
      <c r="I715" s="438"/>
    </row>
    <row r="716" customFormat="false" ht="12.75" hidden="false" customHeight="false" outlineLevel="0" collapsed="false">
      <c r="H716" s="438"/>
      <c r="I716" s="438"/>
    </row>
    <row r="717" customFormat="false" ht="12.75" hidden="false" customHeight="false" outlineLevel="0" collapsed="false">
      <c r="H717" s="438"/>
      <c r="I717" s="438"/>
    </row>
    <row r="718" customFormat="false" ht="12.75" hidden="false" customHeight="false" outlineLevel="0" collapsed="false">
      <c r="H718" s="438"/>
      <c r="I718" s="438"/>
    </row>
    <row r="719" customFormat="false" ht="12.75" hidden="false" customHeight="false" outlineLevel="0" collapsed="false">
      <c r="H719" s="438"/>
      <c r="I719" s="438"/>
    </row>
    <row r="720" customFormat="false" ht="12.75" hidden="false" customHeight="false" outlineLevel="0" collapsed="false">
      <c r="H720" s="438"/>
      <c r="I720" s="438"/>
    </row>
    <row r="721" customFormat="false" ht="12.75" hidden="false" customHeight="false" outlineLevel="0" collapsed="false">
      <c r="H721" s="438"/>
      <c r="I721" s="438"/>
    </row>
    <row r="722" customFormat="false" ht="12.75" hidden="false" customHeight="false" outlineLevel="0" collapsed="false">
      <c r="H722" s="438"/>
      <c r="I722" s="438"/>
    </row>
    <row r="723" customFormat="false" ht="12.75" hidden="false" customHeight="false" outlineLevel="0" collapsed="false">
      <c r="H723" s="438"/>
      <c r="I723" s="438"/>
    </row>
    <row r="724" customFormat="false" ht="12.75" hidden="false" customHeight="false" outlineLevel="0" collapsed="false">
      <c r="H724" s="438"/>
      <c r="I724" s="438"/>
    </row>
    <row r="725" customFormat="false" ht="12.75" hidden="false" customHeight="false" outlineLevel="0" collapsed="false">
      <c r="H725" s="438"/>
      <c r="I725" s="438"/>
    </row>
    <row r="726" customFormat="false" ht="12.75" hidden="false" customHeight="false" outlineLevel="0" collapsed="false">
      <c r="H726" s="438"/>
      <c r="I726" s="438"/>
    </row>
    <row r="727" customFormat="false" ht="12.75" hidden="false" customHeight="false" outlineLevel="0" collapsed="false">
      <c r="H727" s="438"/>
      <c r="I727" s="438"/>
    </row>
    <row r="728" customFormat="false" ht="12.75" hidden="false" customHeight="false" outlineLevel="0" collapsed="false">
      <c r="H728" s="438"/>
      <c r="I728" s="438"/>
    </row>
    <row r="729" customFormat="false" ht="12.75" hidden="false" customHeight="false" outlineLevel="0" collapsed="false">
      <c r="H729" s="438"/>
      <c r="I729" s="438"/>
    </row>
    <row r="730" customFormat="false" ht="12.75" hidden="false" customHeight="false" outlineLevel="0" collapsed="false">
      <c r="H730" s="438"/>
      <c r="I730" s="438"/>
    </row>
    <row r="731" customFormat="false" ht="12.75" hidden="false" customHeight="false" outlineLevel="0" collapsed="false">
      <c r="H731" s="438"/>
      <c r="I731" s="438"/>
    </row>
    <row r="732" customFormat="false" ht="12.75" hidden="false" customHeight="false" outlineLevel="0" collapsed="false">
      <c r="H732" s="438"/>
      <c r="I732" s="438"/>
    </row>
    <row r="733" customFormat="false" ht="12.75" hidden="false" customHeight="false" outlineLevel="0" collapsed="false">
      <c r="H733" s="438"/>
      <c r="I733" s="438"/>
    </row>
    <row r="734" customFormat="false" ht="12.75" hidden="false" customHeight="false" outlineLevel="0" collapsed="false">
      <c r="H734" s="438"/>
      <c r="I734" s="438"/>
    </row>
    <row r="735" customFormat="false" ht="12.75" hidden="false" customHeight="false" outlineLevel="0" collapsed="false">
      <c r="H735" s="438"/>
      <c r="I735" s="438"/>
    </row>
    <row r="736" customFormat="false" ht="12.75" hidden="false" customHeight="false" outlineLevel="0" collapsed="false">
      <c r="H736" s="438"/>
      <c r="I736" s="438"/>
    </row>
    <row r="737" customFormat="false" ht="12.75" hidden="false" customHeight="false" outlineLevel="0" collapsed="false">
      <c r="H737" s="438"/>
      <c r="I737" s="438"/>
    </row>
    <row r="738" customFormat="false" ht="12.75" hidden="false" customHeight="false" outlineLevel="0" collapsed="false">
      <c r="H738" s="438"/>
      <c r="I738" s="438"/>
    </row>
    <row r="739" customFormat="false" ht="12.75" hidden="false" customHeight="false" outlineLevel="0" collapsed="false">
      <c r="H739" s="438"/>
      <c r="I739" s="438"/>
    </row>
    <row r="740" customFormat="false" ht="12.75" hidden="false" customHeight="false" outlineLevel="0" collapsed="false">
      <c r="H740" s="438"/>
      <c r="I740" s="438"/>
    </row>
    <row r="741" customFormat="false" ht="12.75" hidden="false" customHeight="false" outlineLevel="0" collapsed="false">
      <c r="H741" s="438"/>
      <c r="I741" s="438"/>
    </row>
    <row r="742" customFormat="false" ht="12.75" hidden="false" customHeight="false" outlineLevel="0" collapsed="false">
      <c r="H742" s="438"/>
      <c r="I742" s="438"/>
    </row>
    <row r="743" customFormat="false" ht="12.75" hidden="false" customHeight="false" outlineLevel="0" collapsed="false">
      <c r="H743" s="438"/>
      <c r="I743" s="438"/>
    </row>
    <row r="744" customFormat="false" ht="12.75" hidden="false" customHeight="false" outlineLevel="0" collapsed="false">
      <c r="H744" s="438"/>
      <c r="I744" s="438"/>
    </row>
    <row r="745" customFormat="false" ht="12.75" hidden="false" customHeight="false" outlineLevel="0" collapsed="false">
      <c r="H745" s="438"/>
      <c r="I745" s="438"/>
    </row>
    <row r="746" customFormat="false" ht="12.75" hidden="false" customHeight="false" outlineLevel="0" collapsed="false">
      <c r="H746" s="438"/>
      <c r="I746" s="438"/>
    </row>
    <row r="747" customFormat="false" ht="12.75" hidden="false" customHeight="false" outlineLevel="0" collapsed="false">
      <c r="H747" s="438"/>
      <c r="I747" s="438"/>
    </row>
    <row r="748" customFormat="false" ht="12.75" hidden="false" customHeight="false" outlineLevel="0" collapsed="false">
      <c r="H748" s="438"/>
      <c r="I748" s="438"/>
    </row>
    <row r="749" customFormat="false" ht="12.75" hidden="false" customHeight="false" outlineLevel="0" collapsed="false">
      <c r="H749" s="438"/>
      <c r="I749" s="438"/>
    </row>
    <row r="750" customFormat="false" ht="12.75" hidden="false" customHeight="false" outlineLevel="0" collapsed="false">
      <c r="H750" s="438"/>
      <c r="I750" s="438"/>
    </row>
    <row r="751" customFormat="false" ht="12.75" hidden="false" customHeight="false" outlineLevel="0" collapsed="false">
      <c r="H751" s="438"/>
      <c r="I751" s="438"/>
    </row>
    <row r="752" customFormat="false" ht="12.75" hidden="false" customHeight="false" outlineLevel="0" collapsed="false">
      <c r="H752" s="438"/>
      <c r="I752" s="438"/>
    </row>
    <row r="753" customFormat="false" ht="12.75" hidden="false" customHeight="false" outlineLevel="0" collapsed="false">
      <c r="H753" s="438"/>
      <c r="I753" s="438"/>
    </row>
    <row r="754" customFormat="false" ht="12.75" hidden="false" customHeight="false" outlineLevel="0" collapsed="false">
      <c r="H754" s="438"/>
      <c r="I754" s="438"/>
    </row>
    <row r="755" customFormat="false" ht="12.75" hidden="false" customHeight="false" outlineLevel="0" collapsed="false">
      <c r="H755" s="438"/>
      <c r="I755" s="438"/>
    </row>
    <row r="756" customFormat="false" ht="12.75" hidden="false" customHeight="false" outlineLevel="0" collapsed="false">
      <c r="H756" s="438"/>
      <c r="I756" s="438"/>
    </row>
    <row r="757" customFormat="false" ht="12.75" hidden="false" customHeight="false" outlineLevel="0" collapsed="false">
      <c r="H757" s="438"/>
      <c r="I757" s="438"/>
    </row>
    <row r="758" customFormat="false" ht="12.75" hidden="false" customHeight="false" outlineLevel="0" collapsed="false">
      <c r="H758" s="438"/>
      <c r="I758" s="438"/>
    </row>
    <row r="759" customFormat="false" ht="12.75" hidden="false" customHeight="false" outlineLevel="0" collapsed="false">
      <c r="H759" s="438"/>
      <c r="I759" s="438"/>
    </row>
    <row r="760" customFormat="false" ht="12.75" hidden="false" customHeight="false" outlineLevel="0" collapsed="false">
      <c r="H760" s="438"/>
      <c r="I760" s="438"/>
    </row>
    <row r="761" customFormat="false" ht="12.75" hidden="false" customHeight="false" outlineLevel="0" collapsed="false">
      <c r="H761" s="438"/>
      <c r="I761" s="438"/>
    </row>
    <row r="762" customFormat="false" ht="12.75" hidden="false" customHeight="false" outlineLevel="0" collapsed="false">
      <c r="H762" s="438"/>
      <c r="I762" s="438"/>
    </row>
    <row r="763" customFormat="false" ht="12.75" hidden="false" customHeight="false" outlineLevel="0" collapsed="false">
      <c r="H763" s="438"/>
      <c r="I763" s="438"/>
    </row>
    <row r="764" customFormat="false" ht="12.75" hidden="false" customHeight="false" outlineLevel="0" collapsed="false">
      <c r="H764" s="438"/>
      <c r="I764" s="438"/>
    </row>
    <row r="765" customFormat="false" ht="12.75" hidden="false" customHeight="false" outlineLevel="0" collapsed="false">
      <c r="H765" s="438"/>
      <c r="I765" s="438"/>
    </row>
    <row r="766" customFormat="false" ht="12.75" hidden="false" customHeight="false" outlineLevel="0" collapsed="false">
      <c r="H766" s="438"/>
      <c r="I766" s="438"/>
    </row>
    <row r="767" customFormat="false" ht="12.75" hidden="false" customHeight="false" outlineLevel="0" collapsed="false">
      <c r="H767" s="438"/>
      <c r="I767" s="438"/>
    </row>
    <row r="768" customFormat="false" ht="12.75" hidden="false" customHeight="false" outlineLevel="0" collapsed="false">
      <c r="H768" s="438"/>
      <c r="I768" s="438"/>
    </row>
    <row r="769" customFormat="false" ht="12.75" hidden="false" customHeight="false" outlineLevel="0" collapsed="false">
      <c r="H769" s="438"/>
      <c r="I769" s="438"/>
    </row>
    <row r="770" customFormat="false" ht="12.75" hidden="false" customHeight="false" outlineLevel="0" collapsed="false">
      <c r="H770" s="438"/>
      <c r="I770" s="438"/>
    </row>
    <row r="771" customFormat="false" ht="12.75" hidden="false" customHeight="false" outlineLevel="0" collapsed="false">
      <c r="H771" s="438"/>
      <c r="I771" s="438"/>
    </row>
    <row r="772" customFormat="false" ht="12.75" hidden="false" customHeight="false" outlineLevel="0" collapsed="false">
      <c r="H772" s="438"/>
      <c r="I772" s="438"/>
    </row>
    <row r="773" customFormat="false" ht="12.75" hidden="false" customHeight="false" outlineLevel="0" collapsed="false">
      <c r="H773" s="438"/>
      <c r="I773" s="438"/>
    </row>
    <row r="774" customFormat="false" ht="12.75" hidden="false" customHeight="false" outlineLevel="0" collapsed="false">
      <c r="H774" s="438"/>
      <c r="I774" s="438"/>
    </row>
    <row r="775" customFormat="false" ht="12.75" hidden="false" customHeight="false" outlineLevel="0" collapsed="false">
      <c r="H775" s="438"/>
      <c r="I775" s="438"/>
    </row>
    <row r="776" customFormat="false" ht="12.75" hidden="false" customHeight="false" outlineLevel="0" collapsed="false">
      <c r="H776" s="438"/>
      <c r="I776" s="438"/>
    </row>
    <row r="777" customFormat="false" ht="12.75" hidden="false" customHeight="false" outlineLevel="0" collapsed="false">
      <c r="H777" s="438"/>
      <c r="I777" s="438"/>
    </row>
    <row r="778" customFormat="false" ht="12.75" hidden="false" customHeight="false" outlineLevel="0" collapsed="false">
      <c r="H778" s="438"/>
      <c r="I778" s="438"/>
    </row>
    <row r="779" customFormat="false" ht="12.75" hidden="false" customHeight="false" outlineLevel="0" collapsed="false">
      <c r="H779" s="438"/>
      <c r="I779" s="438"/>
    </row>
    <row r="780" customFormat="false" ht="12.75" hidden="false" customHeight="false" outlineLevel="0" collapsed="false">
      <c r="H780" s="438"/>
      <c r="I780" s="438"/>
    </row>
    <row r="781" customFormat="false" ht="12.75" hidden="false" customHeight="false" outlineLevel="0" collapsed="false">
      <c r="H781" s="438"/>
      <c r="I781" s="438"/>
    </row>
    <row r="782" customFormat="false" ht="12.75" hidden="false" customHeight="false" outlineLevel="0" collapsed="false">
      <c r="H782" s="438"/>
      <c r="I782" s="438"/>
    </row>
    <row r="783" customFormat="false" ht="12.75" hidden="false" customHeight="false" outlineLevel="0" collapsed="false">
      <c r="H783" s="438"/>
      <c r="I783" s="438"/>
    </row>
    <row r="784" customFormat="false" ht="12.75" hidden="false" customHeight="false" outlineLevel="0" collapsed="false">
      <c r="H784" s="438"/>
      <c r="I784" s="438"/>
    </row>
    <row r="785" customFormat="false" ht="12.75" hidden="false" customHeight="false" outlineLevel="0" collapsed="false">
      <c r="H785" s="438"/>
      <c r="I785" s="438"/>
    </row>
    <row r="786" customFormat="false" ht="12.75" hidden="false" customHeight="false" outlineLevel="0" collapsed="false">
      <c r="H786" s="438"/>
      <c r="I786" s="438"/>
    </row>
    <row r="787" customFormat="false" ht="12.75" hidden="false" customHeight="false" outlineLevel="0" collapsed="false">
      <c r="H787" s="438"/>
      <c r="I787" s="438"/>
    </row>
    <row r="788" customFormat="false" ht="12.75" hidden="false" customHeight="false" outlineLevel="0" collapsed="false">
      <c r="H788" s="438"/>
      <c r="I788" s="438"/>
    </row>
    <row r="789" customFormat="false" ht="12.75" hidden="false" customHeight="false" outlineLevel="0" collapsed="false">
      <c r="H789" s="438"/>
      <c r="I789" s="438"/>
    </row>
    <row r="790" customFormat="false" ht="12.75" hidden="false" customHeight="false" outlineLevel="0" collapsed="false">
      <c r="H790" s="438"/>
      <c r="I790" s="438"/>
    </row>
    <row r="791" customFormat="false" ht="12.75" hidden="false" customHeight="false" outlineLevel="0" collapsed="false">
      <c r="H791" s="438"/>
      <c r="I791" s="438"/>
    </row>
    <row r="792" customFormat="false" ht="12.75" hidden="false" customHeight="false" outlineLevel="0" collapsed="false">
      <c r="H792" s="438"/>
      <c r="I792" s="438"/>
    </row>
    <row r="793" customFormat="false" ht="12.75" hidden="false" customHeight="false" outlineLevel="0" collapsed="false">
      <c r="H793" s="438"/>
      <c r="I793" s="438"/>
    </row>
    <row r="794" customFormat="false" ht="12.75" hidden="false" customHeight="false" outlineLevel="0" collapsed="false">
      <c r="H794" s="438"/>
      <c r="I794" s="438"/>
    </row>
    <row r="795" customFormat="false" ht="12.75" hidden="false" customHeight="false" outlineLevel="0" collapsed="false">
      <c r="H795" s="438"/>
      <c r="I795" s="438"/>
    </row>
    <row r="796" customFormat="false" ht="12.75" hidden="false" customHeight="false" outlineLevel="0" collapsed="false">
      <c r="H796" s="438"/>
      <c r="I796" s="438"/>
    </row>
    <row r="797" customFormat="false" ht="12.75" hidden="false" customHeight="false" outlineLevel="0" collapsed="false">
      <c r="H797" s="438"/>
      <c r="I797" s="438"/>
    </row>
    <row r="798" customFormat="false" ht="12.75" hidden="false" customHeight="false" outlineLevel="0" collapsed="false">
      <c r="H798" s="438"/>
      <c r="I798" s="438"/>
    </row>
    <row r="799" customFormat="false" ht="12.75" hidden="false" customHeight="false" outlineLevel="0" collapsed="false">
      <c r="H799" s="438"/>
      <c r="I799" s="438"/>
    </row>
    <row r="800" customFormat="false" ht="12.75" hidden="false" customHeight="false" outlineLevel="0" collapsed="false">
      <c r="H800" s="438"/>
      <c r="I800" s="438"/>
    </row>
    <row r="801" customFormat="false" ht="12.75" hidden="false" customHeight="false" outlineLevel="0" collapsed="false">
      <c r="H801" s="438"/>
      <c r="I801" s="438"/>
    </row>
    <row r="802" customFormat="false" ht="12.75" hidden="false" customHeight="false" outlineLevel="0" collapsed="false">
      <c r="H802" s="438"/>
      <c r="I802" s="438"/>
    </row>
    <row r="803" customFormat="false" ht="12.75" hidden="false" customHeight="false" outlineLevel="0" collapsed="false">
      <c r="H803" s="438"/>
      <c r="I803" s="438"/>
    </row>
    <row r="804" customFormat="false" ht="12.75" hidden="false" customHeight="false" outlineLevel="0" collapsed="false">
      <c r="H804" s="438"/>
      <c r="I804" s="438"/>
    </row>
    <row r="805" customFormat="false" ht="12.75" hidden="false" customHeight="false" outlineLevel="0" collapsed="false">
      <c r="H805" s="438"/>
      <c r="I805" s="438"/>
    </row>
    <row r="806" customFormat="false" ht="12.75" hidden="false" customHeight="false" outlineLevel="0" collapsed="false">
      <c r="H806" s="438"/>
      <c r="I806" s="438"/>
    </row>
    <row r="807" customFormat="false" ht="12.75" hidden="false" customHeight="false" outlineLevel="0" collapsed="false">
      <c r="H807" s="438"/>
      <c r="I807" s="438"/>
    </row>
    <row r="808" customFormat="false" ht="12.75" hidden="false" customHeight="false" outlineLevel="0" collapsed="false">
      <c r="H808" s="438"/>
      <c r="I808" s="438"/>
    </row>
    <row r="809" customFormat="false" ht="12.75" hidden="false" customHeight="false" outlineLevel="0" collapsed="false">
      <c r="H809" s="438"/>
      <c r="I809" s="438"/>
    </row>
    <row r="810" customFormat="false" ht="12.75" hidden="false" customHeight="false" outlineLevel="0" collapsed="false">
      <c r="H810" s="438"/>
      <c r="I810" s="438"/>
    </row>
    <row r="811" customFormat="false" ht="12.75" hidden="false" customHeight="false" outlineLevel="0" collapsed="false">
      <c r="H811" s="438"/>
      <c r="I811" s="438"/>
    </row>
    <row r="812" customFormat="false" ht="12.75" hidden="false" customHeight="false" outlineLevel="0" collapsed="false">
      <c r="H812" s="438"/>
      <c r="I812" s="438"/>
    </row>
    <row r="813" customFormat="false" ht="12.75" hidden="false" customHeight="false" outlineLevel="0" collapsed="false">
      <c r="H813" s="438"/>
      <c r="I813" s="438"/>
    </row>
    <row r="814" customFormat="false" ht="12.75" hidden="false" customHeight="false" outlineLevel="0" collapsed="false">
      <c r="H814" s="438"/>
      <c r="I814" s="438"/>
    </row>
    <row r="815" customFormat="false" ht="12.75" hidden="false" customHeight="false" outlineLevel="0" collapsed="false">
      <c r="H815" s="438"/>
      <c r="I815" s="438"/>
    </row>
    <row r="816" customFormat="false" ht="12.75" hidden="false" customHeight="false" outlineLevel="0" collapsed="false">
      <c r="H816" s="438"/>
      <c r="I816" s="438"/>
    </row>
    <row r="817" customFormat="false" ht="12.75" hidden="false" customHeight="false" outlineLevel="0" collapsed="false">
      <c r="H817" s="438"/>
      <c r="I817" s="438"/>
    </row>
    <row r="818" customFormat="false" ht="12.75" hidden="false" customHeight="false" outlineLevel="0" collapsed="false">
      <c r="H818" s="438"/>
      <c r="I818" s="438"/>
    </row>
    <row r="819" customFormat="false" ht="12.75" hidden="false" customHeight="false" outlineLevel="0" collapsed="false">
      <c r="H819" s="438"/>
      <c r="I819" s="438"/>
    </row>
    <row r="820" customFormat="false" ht="12.75" hidden="false" customHeight="false" outlineLevel="0" collapsed="false">
      <c r="H820" s="438"/>
      <c r="I820" s="438"/>
    </row>
    <row r="821" customFormat="false" ht="12.75" hidden="false" customHeight="false" outlineLevel="0" collapsed="false">
      <c r="H821" s="438"/>
      <c r="I821" s="438"/>
    </row>
    <row r="822" customFormat="false" ht="12.75" hidden="false" customHeight="false" outlineLevel="0" collapsed="false">
      <c r="H822" s="438"/>
      <c r="I822" s="438"/>
    </row>
    <row r="823" customFormat="false" ht="12.75" hidden="false" customHeight="false" outlineLevel="0" collapsed="false">
      <c r="H823" s="438"/>
      <c r="I823" s="438"/>
    </row>
    <row r="824" customFormat="false" ht="12.75" hidden="false" customHeight="false" outlineLevel="0" collapsed="false">
      <c r="H824" s="438"/>
      <c r="I824" s="438"/>
    </row>
    <row r="825" customFormat="false" ht="12.75" hidden="false" customHeight="false" outlineLevel="0" collapsed="false">
      <c r="H825" s="438"/>
      <c r="I825" s="438"/>
    </row>
    <row r="826" customFormat="false" ht="12.75" hidden="false" customHeight="false" outlineLevel="0" collapsed="false">
      <c r="H826" s="438"/>
      <c r="I826" s="438"/>
    </row>
    <row r="827" customFormat="false" ht="12.75" hidden="false" customHeight="false" outlineLevel="0" collapsed="false">
      <c r="H827" s="438"/>
      <c r="I827" s="438"/>
    </row>
    <row r="828" customFormat="false" ht="12.75" hidden="false" customHeight="false" outlineLevel="0" collapsed="false">
      <c r="H828" s="438"/>
      <c r="I828" s="438"/>
    </row>
    <row r="829" customFormat="false" ht="12.75" hidden="false" customHeight="false" outlineLevel="0" collapsed="false">
      <c r="H829" s="438"/>
      <c r="I829" s="438"/>
    </row>
    <row r="830" customFormat="false" ht="12.75" hidden="false" customHeight="false" outlineLevel="0" collapsed="false">
      <c r="H830" s="438"/>
      <c r="I830" s="438"/>
    </row>
    <row r="831" customFormat="false" ht="12.75" hidden="false" customHeight="false" outlineLevel="0" collapsed="false">
      <c r="H831" s="438"/>
      <c r="I831" s="438"/>
    </row>
    <row r="832" customFormat="false" ht="12.75" hidden="false" customHeight="false" outlineLevel="0" collapsed="false">
      <c r="H832" s="438"/>
      <c r="I832" s="438"/>
    </row>
    <row r="833" customFormat="false" ht="12.75" hidden="false" customHeight="false" outlineLevel="0" collapsed="false">
      <c r="H833" s="438"/>
      <c r="I833" s="438"/>
    </row>
    <row r="834" customFormat="false" ht="12.75" hidden="false" customHeight="false" outlineLevel="0" collapsed="false">
      <c r="H834" s="438"/>
      <c r="I834" s="438"/>
    </row>
    <row r="835" customFormat="false" ht="12.75" hidden="false" customHeight="false" outlineLevel="0" collapsed="false">
      <c r="H835" s="438"/>
      <c r="I835" s="438"/>
    </row>
    <row r="836" customFormat="false" ht="12.75" hidden="false" customHeight="false" outlineLevel="0" collapsed="false">
      <c r="H836" s="438"/>
      <c r="I836" s="438"/>
    </row>
    <row r="837" customFormat="false" ht="12.75" hidden="false" customHeight="false" outlineLevel="0" collapsed="false">
      <c r="H837" s="438"/>
      <c r="I837" s="438"/>
    </row>
    <row r="838" customFormat="false" ht="12.75" hidden="false" customHeight="false" outlineLevel="0" collapsed="false">
      <c r="H838" s="438"/>
      <c r="I838" s="438"/>
    </row>
    <row r="839" customFormat="false" ht="12.75" hidden="false" customHeight="false" outlineLevel="0" collapsed="false">
      <c r="H839" s="438"/>
      <c r="I839" s="438"/>
    </row>
    <row r="840" customFormat="false" ht="12.75" hidden="false" customHeight="false" outlineLevel="0" collapsed="false">
      <c r="H840" s="438"/>
      <c r="I840" s="438"/>
    </row>
    <row r="841" customFormat="false" ht="12.75" hidden="false" customHeight="false" outlineLevel="0" collapsed="false">
      <c r="H841" s="438"/>
      <c r="I841" s="438"/>
    </row>
    <row r="842" customFormat="false" ht="12.75" hidden="false" customHeight="false" outlineLevel="0" collapsed="false">
      <c r="H842" s="438"/>
      <c r="I842" s="438"/>
    </row>
    <row r="843" customFormat="false" ht="12.75" hidden="false" customHeight="false" outlineLevel="0" collapsed="false">
      <c r="H843" s="438"/>
      <c r="I843" s="438"/>
    </row>
    <row r="844" customFormat="false" ht="12.75" hidden="false" customHeight="false" outlineLevel="0" collapsed="false">
      <c r="H844" s="438"/>
      <c r="I844" s="438"/>
    </row>
    <row r="845" customFormat="false" ht="12.75" hidden="false" customHeight="false" outlineLevel="0" collapsed="false">
      <c r="H845" s="438"/>
      <c r="I845" s="438"/>
    </row>
    <row r="846" customFormat="false" ht="12.75" hidden="false" customHeight="false" outlineLevel="0" collapsed="false">
      <c r="H846" s="438"/>
      <c r="I846" s="438"/>
    </row>
    <row r="847" customFormat="false" ht="12.75" hidden="false" customHeight="false" outlineLevel="0" collapsed="false">
      <c r="H847" s="438"/>
      <c r="I847" s="438"/>
    </row>
    <row r="848" customFormat="false" ht="12.75" hidden="false" customHeight="false" outlineLevel="0" collapsed="false">
      <c r="H848" s="438"/>
      <c r="I848" s="438"/>
    </row>
    <row r="849" customFormat="false" ht="12.75" hidden="false" customHeight="false" outlineLevel="0" collapsed="false">
      <c r="H849" s="438"/>
      <c r="I849" s="438"/>
    </row>
    <row r="850" customFormat="false" ht="12.75" hidden="false" customHeight="false" outlineLevel="0" collapsed="false">
      <c r="H850" s="438"/>
      <c r="I850" s="438"/>
    </row>
    <row r="851" customFormat="false" ht="12.75" hidden="false" customHeight="false" outlineLevel="0" collapsed="false">
      <c r="H851" s="438"/>
      <c r="I851" s="438"/>
    </row>
    <row r="852" customFormat="false" ht="12.75" hidden="false" customHeight="false" outlineLevel="0" collapsed="false">
      <c r="H852" s="438"/>
      <c r="I852" s="438"/>
    </row>
    <row r="853" customFormat="false" ht="12.75" hidden="false" customHeight="false" outlineLevel="0" collapsed="false">
      <c r="H853" s="438"/>
      <c r="I853" s="438"/>
    </row>
    <row r="854" customFormat="false" ht="12.75" hidden="false" customHeight="false" outlineLevel="0" collapsed="false">
      <c r="H854" s="438"/>
      <c r="I854" s="438"/>
    </row>
    <row r="855" customFormat="false" ht="12.75" hidden="false" customHeight="false" outlineLevel="0" collapsed="false">
      <c r="H855" s="438"/>
      <c r="I855" s="438"/>
    </row>
    <row r="856" customFormat="false" ht="12.75" hidden="false" customHeight="false" outlineLevel="0" collapsed="false">
      <c r="H856" s="438"/>
      <c r="I856" s="438"/>
    </row>
    <row r="857" customFormat="false" ht="12.75" hidden="false" customHeight="false" outlineLevel="0" collapsed="false">
      <c r="H857" s="438"/>
      <c r="I857" s="438"/>
    </row>
    <row r="858" customFormat="false" ht="12.75" hidden="false" customHeight="false" outlineLevel="0" collapsed="false">
      <c r="H858" s="438"/>
      <c r="I858" s="438"/>
    </row>
    <row r="859" customFormat="false" ht="12.75" hidden="false" customHeight="false" outlineLevel="0" collapsed="false">
      <c r="H859" s="438"/>
      <c r="I859" s="438"/>
    </row>
    <row r="860" customFormat="false" ht="12.75" hidden="false" customHeight="false" outlineLevel="0" collapsed="false">
      <c r="H860" s="438"/>
      <c r="I860" s="438"/>
    </row>
    <row r="861" customFormat="false" ht="12.75" hidden="false" customHeight="false" outlineLevel="0" collapsed="false">
      <c r="H861" s="438"/>
      <c r="I861" s="438"/>
    </row>
    <row r="862" customFormat="false" ht="12.75" hidden="false" customHeight="false" outlineLevel="0" collapsed="false">
      <c r="H862" s="438"/>
      <c r="I862" s="438"/>
    </row>
    <row r="863" customFormat="false" ht="12.75" hidden="false" customHeight="false" outlineLevel="0" collapsed="false">
      <c r="H863" s="438"/>
      <c r="I863" s="438"/>
    </row>
    <row r="864" customFormat="false" ht="12.75" hidden="false" customHeight="false" outlineLevel="0" collapsed="false">
      <c r="H864" s="438"/>
      <c r="I864" s="438"/>
    </row>
    <row r="865" customFormat="false" ht="12.75" hidden="false" customHeight="false" outlineLevel="0" collapsed="false">
      <c r="H865" s="438"/>
      <c r="I865" s="438"/>
    </row>
    <row r="866" customFormat="false" ht="12.75" hidden="false" customHeight="false" outlineLevel="0" collapsed="false">
      <c r="H866" s="438"/>
      <c r="I866" s="438"/>
    </row>
    <row r="867" customFormat="false" ht="12.75" hidden="false" customHeight="false" outlineLevel="0" collapsed="false">
      <c r="H867" s="438"/>
      <c r="I867" s="438"/>
    </row>
    <row r="868" customFormat="false" ht="12.75" hidden="false" customHeight="false" outlineLevel="0" collapsed="false">
      <c r="H868" s="438"/>
      <c r="I868" s="438"/>
    </row>
    <row r="869" customFormat="false" ht="12.75" hidden="false" customHeight="false" outlineLevel="0" collapsed="false">
      <c r="H869" s="438"/>
      <c r="I869" s="438"/>
    </row>
    <row r="870" customFormat="false" ht="12.75" hidden="false" customHeight="false" outlineLevel="0" collapsed="false">
      <c r="H870" s="438"/>
      <c r="I870" s="438"/>
    </row>
    <row r="871" customFormat="false" ht="12.75" hidden="false" customHeight="false" outlineLevel="0" collapsed="false">
      <c r="H871" s="438"/>
      <c r="I871" s="438"/>
    </row>
    <row r="872" customFormat="false" ht="12.75" hidden="false" customHeight="false" outlineLevel="0" collapsed="false">
      <c r="H872" s="438"/>
      <c r="I872" s="438"/>
    </row>
    <row r="873" customFormat="false" ht="12.75" hidden="false" customHeight="false" outlineLevel="0" collapsed="false">
      <c r="H873" s="438"/>
      <c r="I873" s="438"/>
    </row>
    <row r="874" customFormat="false" ht="12.75" hidden="false" customHeight="false" outlineLevel="0" collapsed="false">
      <c r="H874" s="438"/>
      <c r="I874" s="438"/>
    </row>
    <row r="875" customFormat="false" ht="12.75" hidden="false" customHeight="false" outlineLevel="0" collapsed="false">
      <c r="H875" s="438"/>
      <c r="I875" s="438"/>
    </row>
    <row r="876" customFormat="false" ht="12.75" hidden="false" customHeight="false" outlineLevel="0" collapsed="false">
      <c r="H876" s="438"/>
      <c r="I876" s="438"/>
    </row>
    <row r="877" customFormat="false" ht="12.75" hidden="false" customHeight="false" outlineLevel="0" collapsed="false">
      <c r="H877" s="438"/>
      <c r="I877" s="438"/>
    </row>
    <row r="878" customFormat="false" ht="12.75" hidden="false" customHeight="false" outlineLevel="0" collapsed="false">
      <c r="H878" s="438"/>
      <c r="I878" s="438"/>
    </row>
    <row r="879" customFormat="false" ht="12.75" hidden="false" customHeight="false" outlineLevel="0" collapsed="false">
      <c r="H879" s="438"/>
      <c r="I879" s="438"/>
    </row>
    <row r="880" customFormat="false" ht="12.75" hidden="false" customHeight="false" outlineLevel="0" collapsed="false">
      <c r="H880" s="438"/>
      <c r="I880" s="438"/>
    </row>
    <row r="881" customFormat="false" ht="12.75" hidden="false" customHeight="false" outlineLevel="0" collapsed="false">
      <c r="H881" s="438"/>
      <c r="I881" s="438"/>
    </row>
    <row r="882" customFormat="false" ht="12.75" hidden="false" customHeight="false" outlineLevel="0" collapsed="false">
      <c r="H882" s="438"/>
      <c r="I882" s="438"/>
    </row>
    <row r="883" customFormat="false" ht="12.75" hidden="false" customHeight="false" outlineLevel="0" collapsed="false">
      <c r="H883" s="438"/>
      <c r="I883" s="438"/>
    </row>
    <row r="884" customFormat="false" ht="12.75" hidden="false" customHeight="false" outlineLevel="0" collapsed="false">
      <c r="H884" s="438"/>
      <c r="I884" s="438"/>
    </row>
    <row r="885" customFormat="false" ht="12.75" hidden="false" customHeight="false" outlineLevel="0" collapsed="false">
      <c r="H885" s="438"/>
      <c r="I885" s="438"/>
    </row>
    <row r="886" customFormat="false" ht="12.75" hidden="false" customHeight="false" outlineLevel="0" collapsed="false">
      <c r="H886" s="438"/>
      <c r="I886" s="438"/>
    </row>
    <row r="887" customFormat="false" ht="12.75" hidden="false" customHeight="false" outlineLevel="0" collapsed="false">
      <c r="H887" s="438"/>
      <c r="I887" s="438"/>
    </row>
    <row r="888" customFormat="false" ht="12.75" hidden="false" customHeight="false" outlineLevel="0" collapsed="false">
      <c r="H888" s="438"/>
      <c r="I888" s="438"/>
    </row>
    <row r="889" customFormat="false" ht="12.75" hidden="false" customHeight="false" outlineLevel="0" collapsed="false">
      <c r="H889" s="438"/>
      <c r="I889" s="438"/>
    </row>
    <row r="890" customFormat="false" ht="12.75" hidden="false" customHeight="false" outlineLevel="0" collapsed="false">
      <c r="H890" s="438"/>
      <c r="I890" s="438"/>
    </row>
    <row r="891" customFormat="false" ht="12.75" hidden="false" customHeight="false" outlineLevel="0" collapsed="false">
      <c r="H891" s="438"/>
      <c r="I891" s="438"/>
    </row>
    <row r="892" customFormat="false" ht="12.75" hidden="false" customHeight="false" outlineLevel="0" collapsed="false">
      <c r="H892" s="438"/>
      <c r="I892" s="438"/>
    </row>
    <row r="893" customFormat="false" ht="12.75" hidden="false" customHeight="false" outlineLevel="0" collapsed="false">
      <c r="H893" s="438"/>
      <c r="I893" s="438"/>
    </row>
    <row r="894" customFormat="false" ht="12.75" hidden="false" customHeight="false" outlineLevel="0" collapsed="false">
      <c r="H894" s="438"/>
      <c r="I894" s="438"/>
    </row>
    <row r="895" customFormat="false" ht="12.75" hidden="false" customHeight="false" outlineLevel="0" collapsed="false">
      <c r="H895" s="438"/>
      <c r="I895" s="438"/>
    </row>
    <row r="896" customFormat="false" ht="12.75" hidden="false" customHeight="false" outlineLevel="0" collapsed="false">
      <c r="H896" s="438"/>
      <c r="I896" s="438"/>
    </row>
    <row r="897" customFormat="false" ht="12.75" hidden="false" customHeight="false" outlineLevel="0" collapsed="false">
      <c r="H897" s="438"/>
      <c r="I897" s="438"/>
    </row>
    <row r="898" customFormat="false" ht="12.75" hidden="false" customHeight="false" outlineLevel="0" collapsed="false">
      <c r="H898" s="438"/>
      <c r="I898" s="438"/>
    </row>
    <row r="899" customFormat="false" ht="12.75" hidden="false" customHeight="false" outlineLevel="0" collapsed="false">
      <c r="H899" s="438"/>
      <c r="I899" s="438"/>
    </row>
    <row r="900" customFormat="false" ht="12.75" hidden="false" customHeight="false" outlineLevel="0" collapsed="false">
      <c r="H900" s="438"/>
      <c r="I900" s="438"/>
    </row>
    <row r="901" customFormat="false" ht="12.75" hidden="false" customHeight="false" outlineLevel="0" collapsed="false">
      <c r="H901" s="438"/>
      <c r="I901" s="438"/>
    </row>
    <row r="902" customFormat="false" ht="12.75" hidden="false" customHeight="false" outlineLevel="0" collapsed="false">
      <c r="H902" s="438"/>
      <c r="I902" s="438"/>
    </row>
    <row r="903" customFormat="false" ht="12.75" hidden="false" customHeight="false" outlineLevel="0" collapsed="false">
      <c r="H903" s="438"/>
      <c r="I903" s="438"/>
    </row>
    <row r="904" customFormat="false" ht="12.75" hidden="false" customHeight="false" outlineLevel="0" collapsed="false">
      <c r="H904" s="438"/>
      <c r="I904" s="438"/>
    </row>
    <row r="905" customFormat="false" ht="12.75" hidden="false" customHeight="false" outlineLevel="0" collapsed="false">
      <c r="H905" s="438"/>
      <c r="I905" s="438"/>
    </row>
    <row r="906" customFormat="false" ht="12.75" hidden="false" customHeight="false" outlineLevel="0" collapsed="false">
      <c r="H906" s="438"/>
      <c r="I906" s="438"/>
    </row>
    <row r="907" customFormat="false" ht="12.75" hidden="false" customHeight="false" outlineLevel="0" collapsed="false">
      <c r="H907" s="438"/>
      <c r="I907" s="438"/>
    </row>
    <row r="908" customFormat="false" ht="12.75" hidden="false" customHeight="false" outlineLevel="0" collapsed="false">
      <c r="H908" s="438"/>
      <c r="I908" s="438"/>
    </row>
    <row r="909" customFormat="false" ht="12.75" hidden="false" customHeight="false" outlineLevel="0" collapsed="false">
      <c r="H909" s="438"/>
      <c r="I909" s="438"/>
    </row>
    <row r="910" customFormat="false" ht="12.75" hidden="false" customHeight="false" outlineLevel="0" collapsed="false">
      <c r="H910" s="438"/>
      <c r="I910" s="438"/>
    </row>
    <row r="911" customFormat="false" ht="12.75" hidden="false" customHeight="false" outlineLevel="0" collapsed="false">
      <c r="H911" s="438"/>
      <c r="I911" s="438"/>
    </row>
    <row r="912" customFormat="false" ht="12.75" hidden="false" customHeight="false" outlineLevel="0" collapsed="false">
      <c r="H912" s="438"/>
      <c r="I912" s="438"/>
    </row>
    <row r="913" customFormat="false" ht="12.75" hidden="false" customHeight="false" outlineLevel="0" collapsed="false">
      <c r="H913" s="438"/>
      <c r="I913" s="438"/>
    </row>
    <row r="914" customFormat="false" ht="12.75" hidden="false" customHeight="false" outlineLevel="0" collapsed="false">
      <c r="H914" s="438"/>
      <c r="I914" s="438"/>
    </row>
    <row r="915" customFormat="false" ht="12.75" hidden="false" customHeight="false" outlineLevel="0" collapsed="false">
      <c r="H915" s="438"/>
      <c r="I915" s="438"/>
    </row>
    <row r="916" customFormat="false" ht="12.75" hidden="false" customHeight="false" outlineLevel="0" collapsed="false">
      <c r="H916" s="438"/>
      <c r="I916" s="438"/>
    </row>
    <row r="917" customFormat="false" ht="12.75" hidden="false" customHeight="false" outlineLevel="0" collapsed="false">
      <c r="H917" s="438"/>
      <c r="I917" s="438"/>
    </row>
    <row r="918" customFormat="false" ht="12.75" hidden="false" customHeight="false" outlineLevel="0" collapsed="false">
      <c r="H918" s="438"/>
      <c r="I918" s="438"/>
    </row>
    <row r="919" customFormat="false" ht="12.75" hidden="false" customHeight="false" outlineLevel="0" collapsed="false">
      <c r="H919" s="438"/>
      <c r="I919" s="438"/>
    </row>
    <row r="920" customFormat="false" ht="12.75" hidden="false" customHeight="false" outlineLevel="0" collapsed="false">
      <c r="H920" s="438"/>
      <c r="I920" s="438"/>
    </row>
    <row r="921" customFormat="false" ht="12.75" hidden="false" customHeight="false" outlineLevel="0" collapsed="false">
      <c r="H921" s="438"/>
      <c r="I921" s="438"/>
    </row>
    <row r="922" customFormat="false" ht="12.75" hidden="false" customHeight="false" outlineLevel="0" collapsed="false">
      <c r="H922" s="438"/>
      <c r="I922" s="438"/>
    </row>
    <row r="923" customFormat="false" ht="12.75" hidden="false" customHeight="false" outlineLevel="0" collapsed="false">
      <c r="H923" s="438"/>
      <c r="I923" s="438"/>
    </row>
    <row r="924" customFormat="false" ht="12.75" hidden="false" customHeight="false" outlineLevel="0" collapsed="false">
      <c r="H924" s="438"/>
      <c r="I924" s="438"/>
    </row>
    <row r="925" customFormat="false" ht="12.75" hidden="false" customHeight="false" outlineLevel="0" collapsed="false">
      <c r="H925" s="438"/>
      <c r="I925" s="438"/>
    </row>
    <row r="926" customFormat="false" ht="12.75" hidden="false" customHeight="false" outlineLevel="0" collapsed="false">
      <c r="H926" s="438"/>
      <c r="I926" s="438"/>
    </row>
    <row r="927" customFormat="false" ht="12.75" hidden="false" customHeight="false" outlineLevel="0" collapsed="false">
      <c r="H927" s="438"/>
      <c r="I927" s="438"/>
    </row>
    <row r="928" customFormat="false" ht="12.75" hidden="false" customHeight="false" outlineLevel="0" collapsed="false">
      <c r="H928" s="438"/>
      <c r="I928" s="438"/>
    </row>
    <row r="929" customFormat="false" ht="12.75" hidden="false" customHeight="false" outlineLevel="0" collapsed="false">
      <c r="H929" s="438"/>
      <c r="I929" s="438"/>
    </row>
    <row r="930" customFormat="false" ht="12.75" hidden="false" customHeight="false" outlineLevel="0" collapsed="false">
      <c r="H930" s="438"/>
      <c r="I930" s="438"/>
    </row>
    <row r="931" customFormat="false" ht="12.75" hidden="false" customHeight="false" outlineLevel="0" collapsed="false">
      <c r="H931" s="438"/>
      <c r="I931" s="438"/>
    </row>
    <row r="932" customFormat="false" ht="12.75" hidden="false" customHeight="false" outlineLevel="0" collapsed="false">
      <c r="H932" s="438"/>
      <c r="I932" s="438"/>
    </row>
    <row r="933" customFormat="false" ht="12.75" hidden="false" customHeight="false" outlineLevel="0" collapsed="false">
      <c r="H933" s="438"/>
      <c r="I933" s="438"/>
    </row>
    <row r="934" customFormat="false" ht="12.75" hidden="false" customHeight="false" outlineLevel="0" collapsed="false">
      <c r="H934" s="438"/>
      <c r="I934" s="438"/>
    </row>
    <row r="935" customFormat="false" ht="12.75" hidden="false" customHeight="false" outlineLevel="0" collapsed="false">
      <c r="H935" s="438"/>
      <c r="I935" s="438"/>
    </row>
    <row r="936" customFormat="false" ht="12.75" hidden="false" customHeight="false" outlineLevel="0" collapsed="false">
      <c r="H936" s="438"/>
      <c r="I936" s="438"/>
    </row>
    <row r="937" customFormat="false" ht="12.75" hidden="false" customHeight="false" outlineLevel="0" collapsed="false">
      <c r="H937" s="438"/>
      <c r="I937" s="438"/>
    </row>
    <row r="938" customFormat="false" ht="12.75" hidden="false" customHeight="false" outlineLevel="0" collapsed="false">
      <c r="H938" s="438"/>
      <c r="I938" s="438"/>
    </row>
    <row r="939" customFormat="false" ht="12.75" hidden="false" customHeight="false" outlineLevel="0" collapsed="false">
      <c r="H939" s="438"/>
      <c r="I939" s="438"/>
    </row>
    <row r="940" customFormat="false" ht="12.75" hidden="false" customHeight="false" outlineLevel="0" collapsed="false">
      <c r="H940" s="438"/>
      <c r="I940" s="438"/>
    </row>
    <row r="941" customFormat="false" ht="12.75" hidden="false" customHeight="false" outlineLevel="0" collapsed="false">
      <c r="H941" s="438"/>
      <c r="I941" s="438"/>
    </row>
    <row r="942" customFormat="false" ht="12.75" hidden="false" customHeight="false" outlineLevel="0" collapsed="false">
      <c r="H942" s="438"/>
      <c r="I942" s="438"/>
    </row>
    <row r="943" customFormat="false" ht="12.75" hidden="false" customHeight="false" outlineLevel="0" collapsed="false">
      <c r="H943" s="438"/>
      <c r="I943" s="438"/>
    </row>
    <row r="944" customFormat="false" ht="12.75" hidden="false" customHeight="false" outlineLevel="0" collapsed="false">
      <c r="H944" s="438"/>
      <c r="I944" s="438"/>
    </row>
    <row r="945" customFormat="false" ht="12.75" hidden="false" customHeight="false" outlineLevel="0" collapsed="false">
      <c r="H945" s="438"/>
      <c r="I945" s="438"/>
    </row>
    <row r="946" customFormat="false" ht="12.75" hidden="false" customHeight="false" outlineLevel="0" collapsed="false">
      <c r="H946" s="438"/>
      <c r="I946" s="438"/>
    </row>
    <row r="947" customFormat="false" ht="12.75" hidden="false" customHeight="false" outlineLevel="0" collapsed="false">
      <c r="H947" s="438"/>
      <c r="I947" s="438"/>
    </row>
    <row r="948" customFormat="false" ht="12.75" hidden="false" customHeight="false" outlineLevel="0" collapsed="false">
      <c r="H948" s="438"/>
      <c r="I948" s="438"/>
    </row>
    <row r="949" customFormat="false" ht="12.75" hidden="false" customHeight="false" outlineLevel="0" collapsed="false">
      <c r="H949" s="438"/>
      <c r="I949" s="438"/>
    </row>
    <row r="950" customFormat="false" ht="12.75" hidden="false" customHeight="false" outlineLevel="0" collapsed="false">
      <c r="H950" s="438"/>
      <c r="I950" s="438"/>
    </row>
    <row r="951" customFormat="false" ht="12.75" hidden="false" customHeight="false" outlineLevel="0" collapsed="false">
      <c r="H951" s="438"/>
      <c r="I951" s="438"/>
    </row>
    <row r="952" customFormat="false" ht="12.75" hidden="false" customHeight="false" outlineLevel="0" collapsed="false">
      <c r="H952" s="438"/>
      <c r="I952" s="438"/>
    </row>
    <row r="953" customFormat="false" ht="12.75" hidden="false" customHeight="false" outlineLevel="0" collapsed="false">
      <c r="H953" s="438"/>
      <c r="I953" s="438"/>
    </row>
    <row r="954" customFormat="false" ht="12.75" hidden="false" customHeight="false" outlineLevel="0" collapsed="false">
      <c r="H954" s="438"/>
      <c r="I954" s="438"/>
    </row>
    <row r="955" customFormat="false" ht="12.75" hidden="false" customHeight="false" outlineLevel="0" collapsed="false">
      <c r="H955" s="438"/>
      <c r="I955" s="438"/>
    </row>
    <row r="956" customFormat="false" ht="12.75" hidden="false" customHeight="false" outlineLevel="0" collapsed="false">
      <c r="H956" s="438"/>
      <c r="I956" s="438"/>
    </row>
    <row r="957" customFormat="false" ht="12.75" hidden="false" customHeight="false" outlineLevel="0" collapsed="false">
      <c r="H957" s="438"/>
      <c r="I957" s="438"/>
    </row>
    <row r="958" customFormat="false" ht="12.75" hidden="false" customHeight="false" outlineLevel="0" collapsed="false">
      <c r="H958" s="438"/>
      <c r="I958" s="438"/>
    </row>
    <row r="959" customFormat="false" ht="12.75" hidden="false" customHeight="false" outlineLevel="0" collapsed="false">
      <c r="H959" s="438"/>
      <c r="I959" s="438"/>
    </row>
    <row r="960" customFormat="false" ht="12.75" hidden="false" customHeight="false" outlineLevel="0" collapsed="false">
      <c r="H960" s="438"/>
      <c r="I960" s="438"/>
    </row>
    <row r="961" customFormat="false" ht="12.75" hidden="false" customHeight="false" outlineLevel="0" collapsed="false">
      <c r="H961" s="438"/>
      <c r="I961" s="438"/>
    </row>
    <row r="962" customFormat="false" ht="12.75" hidden="false" customHeight="false" outlineLevel="0" collapsed="false">
      <c r="H962" s="438"/>
      <c r="I962" s="438"/>
    </row>
    <row r="963" customFormat="false" ht="12.75" hidden="false" customHeight="false" outlineLevel="0" collapsed="false">
      <c r="H963" s="438"/>
      <c r="I963" s="438"/>
    </row>
    <row r="964" customFormat="false" ht="12.75" hidden="false" customHeight="false" outlineLevel="0" collapsed="false">
      <c r="H964" s="438"/>
      <c r="I964" s="438"/>
    </row>
    <row r="965" customFormat="false" ht="12.75" hidden="false" customHeight="false" outlineLevel="0" collapsed="false">
      <c r="H965" s="438"/>
      <c r="I965" s="438"/>
    </row>
    <row r="966" customFormat="false" ht="12.75" hidden="false" customHeight="false" outlineLevel="0" collapsed="false">
      <c r="H966" s="438"/>
      <c r="I966" s="438"/>
    </row>
    <row r="967" customFormat="false" ht="12.75" hidden="false" customHeight="false" outlineLevel="0" collapsed="false">
      <c r="H967" s="438"/>
      <c r="I967" s="438"/>
    </row>
    <row r="968" customFormat="false" ht="12.75" hidden="false" customHeight="false" outlineLevel="0" collapsed="false">
      <c r="H968" s="438"/>
      <c r="I968" s="438"/>
    </row>
    <row r="969" customFormat="false" ht="12.75" hidden="false" customHeight="false" outlineLevel="0" collapsed="false">
      <c r="H969" s="438"/>
      <c r="I969" s="438"/>
    </row>
    <row r="970" customFormat="false" ht="12.75" hidden="false" customHeight="false" outlineLevel="0" collapsed="false">
      <c r="H970" s="438"/>
      <c r="I970" s="438"/>
    </row>
    <row r="971" customFormat="false" ht="12.75" hidden="false" customHeight="false" outlineLevel="0" collapsed="false">
      <c r="H971" s="438"/>
      <c r="I971" s="438"/>
    </row>
    <row r="972" customFormat="false" ht="12.75" hidden="false" customHeight="false" outlineLevel="0" collapsed="false">
      <c r="H972" s="438"/>
      <c r="I972" s="438"/>
    </row>
    <row r="973" customFormat="false" ht="12.75" hidden="false" customHeight="false" outlineLevel="0" collapsed="false">
      <c r="H973" s="438"/>
      <c r="I973" s="438"/>
    </row>
    <row r="974" customFormat="false" ht="12.75" hidden="false" customHeight="false" outlineLevel="0" collapsed="false">
      <c r="H974" s="438"/>
      <c r="I974" s="438"/>
    </row>
    <row r="975" customFormat="false" ht="12.75" hidden="false" customHeight="false" outlineLevel="0" collapsed="false">
      <c r="H975" s="438"/>
      <c r="I975" s="438"/>
    </row>
    <row r="976" customFormat="false" ht="12.75" hidden="false" customHeight="false" outlineLevel="0" collapsed="false">
      <c r="H976" s="438"/>
      <c r="I976" s="438"/>
    </row>
    <row r="977" customFormat="false" ht="12.75" hidden="false" customHeight="false" outlineLevel="0" collapsed="false">
      <c r="H977" s="438"/>
      <c r="I977" s="438"/>
    </row>
    <row r="978" customFormat="false" ht="12.75" hidden="false" customHeight="false" outlineLevel="0" collapsed="false">
      <c r="H978" s="438"/>
      <c r="I978" s="438"/>
    </row>
    <row r="979" customFormat="false" ht="12.75" hidden="false" customHeight="false" outlineLevel="0" collapsed="false">
      <c r="H979" s="438"/>
      <c r="I979" s="438"/>
    </row>
    <row r="980" customFormat="false" ht="12.75" hidden="false" customHeight="false" outlineLevel="0" collapsed="false">
      <c r="H980" s="438"/>
      <c r="I980" s="438"/>
    </row>
    <row r="981" customFormat="false" ht="12.75" hidden="false" customHeight="false" outlineLevel="0" collapsed="false">
      <c r="H981" s="438"/>
      <c r="I981" s="438"/>
    </row>
    <row r="982" customFormat="false" ht="12.75" hidden="false" customHeight="false" outlineLevel="0" collapsed="false">
      <c r="H982" s="438"/>
      <c r="I982" s="438"/>
    </row>
    <row r="983" customFormat="false" ht="12.75" hidden="false" customHeight="false" outlineLevel="0" collapsed="false">
      <c r="H983" s="438"/>
      <c r="I983" s="438"/>
    </row>
    <row r="984" customFormat="false" ht="12.75" hidden="false" customHeight="false" outlineLevel="0" collapsed="false">
      <c r="H984" s="438"/>
      <c r="I984" s="438"/>
    </row>
    <row r="985" customFormat="false" ht="12.75" hidden="false" customHeight="false" outlineLevel="0" collapsed="false">
      <c r="H985" s="438"/>
      <c r="I985" s="438"/>
    </row>
    <row r="986" customFormat="false" ht="12.75" hidden="false" customHeight="false" outlineLevel="0" collapsed="false">
      <c r="H986" s="438"/>
      <c r="I986" s="438"/>
    </row>
    <row r="987" customFormat="false" ht="12.75" hidden="false" customHeight="false" outlineLevel="0" collapsed="false">
      <c r="H987" s="438"/>
      <c r="I987" s="438"/>
    </row>
    <row r="988" customFormat="false" ht="12.75" hidden="false" customHeight="false" outlineLevel="0" collapsed="false">
      <c r="H988" s="438"/>
      <c r="I988" s="438"/>
    </row>
    <row r="989" customFormat="false" ht="12.75" hidden="false" customHeight="false" outlineLevel="0" collapsed="false">
      <c r="H989" s="438"/>
      <c r="I989" s="438"/>
    </row>
    <row r="990" customFormat="false" ht="12.75" hidden="false" customHeight="false" outlineLevel="0" collapsed="false">
      <c r="H990" s="438"/>
      <c r="I990" s="438"/>
    </row>
    <row r="991" customFormat="false" ht="12.75" hidden="false" customHeight="false" outlineLevel="0" collapsed="false">
      <c r="H991" s="438"/>
      <c r="I991" s="438"/>
    </row>
    <row r="992" customFormat="false" ht="12.75" hidden="false" customHeight="false" outlineLevel="0" collapsed="false">
      <c r="H992" s="438"/>
      <c r="I992" s="438"/>
    </row>
    <row r="993" customFormat="false" ht="12.75" hidden="false" customHeight="false" outlineLevel="0" collapsed="false">
      <c r="H993" s="438"/>
      <c r="I993" s="438"/>
    </row>
    <row r="994" customFormat="false" ht="12.75" hidden="false" customHeight="false" outlineLevel="0" collapsed="false">
      <c r="H994" s="438"/>
      <c r="I994" s="438"/>
    </row>
    <row r="995" customFormat="false" ht="12.75" hidden="false" customHeight="false" outlineLevel="0" collapsed="false">
      <c r="H995" s="438"/>
      <c r="I995" s="438"/>
    </row>
    <row r="996" customFormat="false" ht="12.75" hidden="false" customHeight="false" outlineLevel="0" collapsed="false">
      <c r="H996" s="438"/>
      <c r="I996" s="438"/>
    </row>
    <row r="997" customFormat="false" ht="12.75" hidden="false" customHeight="false" outlineLevel="0" collapsed="false">
      <c r="H997" s="438"/>
      <c r="I997" s="438"/>
    </row>
    <row r="998" customFormat="false" ht="12.75" hidden="false" customHeight="false" outlineLevel="0" collapsed="false">
      <c r="H998" s="438"/>
      <c r="I998" s="438"/>
    </row>
    <row r="999" customFormat="false" ht="12.75" hidden="false" customHeight="false" outlineLevel="0" collapsed="false">
      <c r="H999" s="438"/>
      <c r="I999" s="438"/>
    </row>
    <row r="1000" customFormat="false" ht="12.75" hidden="false" customHeight="false" outlineLevel="0" collapsed="false">
      <c r="H1000" s="438"/>
      <c r="I1000" s="438"/>
    </row>
    <row r="1001" customFormat="false" ht="12.75" hidden="false" customHeight="false" outlineLevel="0" collapsed="false">
      <c r="H1001" s="438"/>
      <c r="I1001" s="438"/>
    </row>
    <row r="1002" customFormat="false" ht="12.75" hidden="false" customHeight="false" outlineLevel="0" collapsed="false">
      <c r="H1002" s="438"/>
      <c r="I1002" s="438"/>
    </row>
    <row r="1003" customFormat="false" ht="12.75" hidden="false" customHeight="false" outlineLevel="0" collapsed="false">
      <c r="H1003" s="438"/>
      <c r="I1003" s="438"/>
    </row>
    <row r="1004" customFormat="false" ht="12.75" hidden="false" customHeight="false" outlineLevel="0" collapsed="false">
      <c r="H1004" s="438"/>
      <c r="I1004" s="438"/>
    </row>
    <row r="1005" customFormat="false" ht="12.75" hidden="false" customHeight="false" outlineLevel="0" collapsed="false">
      <c r="H1005" s="438"/>
      <c r="I1005" s="438"/>
    </row>
    <row r="1006" customFormat="false" ht="12.75" hidden="false" customHeight="false" outlineLevel="0" collapsed="false">
      <c r="H1006" s="438"/>
      <c r="I1006" s="438"/>
    </row>
    <row r="1007" customFormat="false" ht="12.75" hidden="false" customHeight="false" outlineLevel="0" collapsed="false">
      <c r="H1007" s="438"/>
      <c r="I1007" s="438"/>
    </row>
    <row r="1008" customFormat="false" ht="12.75" hidden="false" customHeight="false" outlineLevel="0" collapsed="false">
      <c r="H1008" s="438"/>
      <c r="I1008" s="438"/>
    </row>
    <row r="1009" customFormat="false" ht="12.75" hidden="false" customHeight="false" outlineLevel="0" collapsed="false">
      <c r="H1009" s="438"/>
      <c r="I1009" s="438"/>
    </row>
    <row r="1010" customFormat="false" ht="12.75" hidden="false" customHeight="false" outlineLevel="0" collapsed="false">
      <c r="H1010" s="438"/>
      <c r="I1010" s="438"/>
    </row>
    <row r="1011" customFormat="false" ht="12.75" hidden="false" customHeight="false" outlineLevel="0" collapsed="false">
      <c r="H1011" s="438"/>
      <c r="I1011" s="438"/>
    </row>
    <row r="1012" customFormat="false" ht="12.75" hidden="false" customHeight="false" outlineLevel="0" collapsed="false">
      <c r="H1012" s="438"/>
      <c r="I1012" s="438"/>
    </row>
    <row r="1013" customFormat="false" ht="12.75" hidden="false" customHeight="false" outlineLevel="0" collapsed="false">
      <c r="H1013" s="438"/>
      <c r="I1013" s="438"/>
    </row>
    <row r="1014" customFormat="false" ht="12.75" hidden="false" customHeight="false" outlineLevel="0" collapsed="false">
      <c r="H1014" s="438"/>
      <c r="I1014" s="438"/>
    </row>
    <row r="1015" customFormat="false" ht="12.75" hidden="false" customHeight="false" outlineLevel="0" collapsed="false">
      <c r="H1015" s="438"/>
      <c r="I1015" s="438"/>
    </row>
    <row r="1016" customFormat="false" ht="12.75" hidden="false" customHeight="false" outlineLevel="0" collapsed="false">
      <c r="H1016" s="438"/>
      <c r="I1016" s="438"/>
    </row>
    <row r="1017" customFormat="false" ht="12.75" hidden="false" customHeight="false" outlineLevel="0" collapsed="false">
      <c r="H1017" s="438"/>
      <c r="I1017" s="438"/>
    </row>
    <row r="1018" customFormat="false" ht="12.75" hidden="false" customHeight="false" outlineLevel="0" collapsed="false">
      <c r="H1018" s="438"/>
      <c r="I1018" s="438"/>
    </row>
    <row r="1019" customFormat="false" ht="12.75" hidden="false" customHeight="false" outlineLevel="0" collapsed="false">
      <c r="H1019" s="438"/>
      <c r="I1019" s="438"/>
    </row>
    <row r="1020" customFormat="false" ht="12.75" hidden="false" customHeight="false" outlineLevel="0" collapsed="false">
      <c r="H1020" s="438"/>
      <c r="I1020" s="438"/>
    </row>
    <row r="1021" customFormat="false" ht="12.75" hidden="false" customHeight="false" outlineLevel="0" collapsed="false">
      <c r="H1021" s="438"/>
      <c r="I1021" s="438"/>
    </row>
    <row r="1022" customFormat="false" ht="12.75" hidden="false" customHeight="false" outlineLevel="0" collapsed="false">
      <c r="H1022" s="438"/>
      <c r="I1022" s="438"/>
    </row>
    <row r="1023" customFormat="false" ht="12.75" hidden="false" customHeight="false" outlineLevel="0" collapsed="false">
      <c r="H1023" s="438"/>
      <c r="I1023" s="438"/>
    </row>
    <row r="1024" customFormat="false" ht="12.75" hidden="false" customHeight="false" outlineLevel="0" collapsed="false">
      <c r="H1024" s="438"/>
      <c r="I1024" s="438"/>
    </row>
    <row r="1025" customFormat="false" ht="12.75" hidden="false" customHeight="false" outlineLevel="0" collapsed="false">
      <c r="H1025" s="438"/>
      <c r="I1025" s="438"/>
    </row>
    <row r="1026" customFormat="false" ht="12.75" hidden="false" customHeight="false" outlineLevel="0" collapsed="false">
      <c r="H1026" s="438"/>
      <c r="I1026" s="438"/>
    </row>
    <row r="1027" customFormat="false" ht="12.75" hidden="false" customHeight="false" outlineLevel="0" collapsed="false">
      <c r="H1027" s="438"/>
      <c r="I1027" s="438"/>
    </row>
    <row r="1028" customFormat="false" ht="12.75" hidden="false" customHeight="false" outlineLevel="0" collapsed="false">
      <c r="H1028" s="438"/>
      <c r="I1028" s="438"/>
    </row>
    <row r="1029" customFormat="false" ht="12.75" hidden="false" customHeight="false" outlineLevel="0" collapsed="false">
      <c r="H1029" s="438"/>
      <c r="I1029" s="438"/>
    </row>
    <row r="1030" customFormat="false" ht="12.75" hidden="false" customHeight="false" outlineLevel="0" collapsed="false">
      <c r="H1030" s="438"/>
      <c r="I1030" s="438"/>
    </row>
    <row r="1031" customFormat="false" ht="12.75" hidden="false" customHeight="false" outlineLevel="0" collapsed="false">
      <c r="H1031" s="438"/>
      <c r="I1031" s="438"/>
    </row>
    <row r="1032" customFormat="false" ht="12.75" hidden="false" customHeight="false" outlineLevel="0" collapsed="false">
      <c r="H1032" s="438"/>
      <c r="I1032" s="438"/>
    </row>
    <row r="1033" customFormat="false" ht="12.75" hidden="false" customHeight="false" outlineLevel="0" collapsed="false">
      <c r="H1033" s="438"/>
      <c r="I1033" s="438"/>
    </row>
    <row r="1034" customFormat="false" ht="12.75" hidden="false" customHeight="false" outlineLevel="0" collapsed="false">
      <c r="H1034" s="438"/>
      <c r="I1034" s="438"/>
    </row>
    <row r="1035" customFormat="false" ht="12.75" hidden="false" customHeight="false" outlineLevel="0" collapsed="false">
      <c r="H1035" s="438"/>
      <c r="I1035" s="438"/>
    </row>
    <row r="1036" customFormat="false" ht="12.75" hidden="false" customHeight="false" outlineLevel="0" collapsed="false">
      <c r="H1036" s="438"/>
      <c r="I1036" s="438"/>
    </row>
    <row r="1037" customFormat="false" ht="12.75" hidden="false" customHeight="false" outlineLevel="0" collapsed="false">
      <c r="H1037" s="438"/>
      <c r="I1037" s="438"/>
    </row>
    <row r="1038" customFormat="false" ht="12.75" hidden="false" customHeight="false" outlineLevel="0" collapsed="false">
      <c r="H1038" s="438"/>
      <c r="I1038" s="438"/>
    </row>
    <row r="1039" customFormat="false" ht="12.75" hidden="false" customHeight="false" outlineLevel="0" collapsed="false">
      <c r="H1039" s="438"/>
      <c r="I1039" s="438"/>
    </row>
    <row r="1040" customFormat="false" ht="12.75" hidden="false" customHeight="false" outlineLevel="0" collapsed="false">
      <c r="H1040" s="438"/>
      <c r="I1040" s="438"/>
    </row>
    <row r="1041" customFormat="false" ht="12.75" hidden="false" customHeight="false" outlineLevel="0" collapsed="false">
      <c r="H1041" s="438"/>
      <c r="I1041" s="438"/>
    </row>
    <row r="1042" customFormat="false" ht="12.75" hidden="false" customHeight="false" outlineLevel="0" collapsed="false">
      <c r="H1042" s="438"/>
      <c r="I1042" s="438"/>
    </row>
    <row r="1043" customFormat="false" ht="12.75" hidden="false" customHeight="false" outlineLevel="0" collapsed="false">
      <c r="H1043" s="438"/>
      <c r="I1043" s="438"/>
    </row>
    <row r="1044" customFormat="false" ht="12.75" hidden="false" customHeight="false" outlineLevel="0" collapsed="false">
      <c r="H1044" s="438"/>
      <c r="I1044" s="438"/>
    </row>
    <row r="1045" customFormat="false" ht="12.75" hidden="false" customHeight="false" outlineLevel="0" collapsed="false">
      <c r="H1045" s="438"/>
      <c r="I1045" s="438"/>
    </row>
    <row r="1046" customFormat="false" ht="12.75" hidden="false" customHeight="false" outlineLevel="0" collapsed="false">
      <c r="H1046" s="438"/>
      <c r="I1046" s="438"/>
    </row>
    <row r="1047" customFormat="false" ht="12.75" hidden="false" customHeight="false" outlineLevel="0" collapsed="false">
      <c r="H1047" s="438"/>
      <c r="I1047" s="438"/>
    </row>
    <row r="1048" customFormat="false" ht="12.75" hidden="false" customHeight="false" outlineLevel="0" collapsed="false">
      <c r="H1048" s="438"/>
      <c r="I1048" s="438"/>
    </row>
    <row r="1049" customFormat="false" ht="12.75" hidden="false" customHeight="false" outlineLevel="0" collapsed="false">
      <c r="H1049" s="438"/>
      <c r="I1049" s="438"/>
    </row>
    <row r="1050" customFormat="false" ht="12.75" hidden="false" customHeight="false" outlineLevel="0" collapsed="false">
      <c r="H1050" s="438"/>
      <c r="I1050" s="438"/>
    </row>
    <row r="1051" customFormat="false" ht="12.75" hidden="false" customHeight="false" outlineLevel="0" collapsed="false">
      <c r="H1051" s="438"/>
      <c r="I1051" s="438"/>
    </row>
    <row r="1052" customFormat="false" ht="12.75" hidden="false" customHeight="false" outlineLevel="0" collapsed="false">
      <c r="H1052" s="438"/>
      <c r="I1052" s="438"/>
    </row>
    <row r="1053" customFormat="false" ht="12.75" hidden="false" customHeight="false" outlineLevel="0" collapsed="false">
      <c r="H1053" s="438"/>
      <c r="I1053" s="438"/>
    </row>
    <row r="1054" customFormat="false" ht="12.75" hidden="false" customHeight="false" outlineLevel="0" collapsed="false">
      <c r="H1054" s="438"/>
      <c r="I1054" s="438"/>
    </row>
    <row r="1055" customFormat="false" ht="12.75" hidden="false" customHeight="false" outlineLevel="0" collapsed="false">
      <c r="H1055" s="438"/>
      <c r="I1055" s="438"/>
    </row>
  </sheetData>
  <mergeCells count="1">
    <mergeCell ref="H18:K18"/>
  </mergeCells>
  <conditionalFormatting sqref="C26">
    <cfRule type="cellIs" priority="2" operator="notEqual" aboveAverage="0" equalAverage="0" bottom="0" percent="0" rank="0" text="" dxfId="116">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261</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2024-05-28T12:30:31Z</dcterms:modified>
  <cp:revision>15</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